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SAMU-Hub\SAMU-Hub-Modeles\nomenclature_parser\in\"/>
    </mc:Choice>
  </mc:AlternateContent>
  <xr:revisionPtr revIDLastSave="0" documentId="13_ncr:1_{CA9CA1DD-F911-4A73-86D7-7B7227BE85AB}" xr6:coauthVersionLast="47" xr6:coauthVersionMax="47" xr10:uidLastSave="{00000000-0000-0000-0000-000000000000}"/>
  <bookViews>
    <workbookView xWindow="-108" yWindow="-108" windowWidth="23256" windowHeight="12456" tabRatio="859" xr2:uid="{00000000-000D-0000-FFFF-FFFF00000000}"/>
  </bookViews>
  <sheets>
    <sheet name="#Sommaire" sheetId="1" r:id="rId1"/>
    <sheet name="Filiere" sheetId="2" r:id="rId2"/>
    <sheet name="Type d'intervention" sheetId="3" r:id="rId3"/>
    <sheet name="Origine de l'appel" sheetId="4" r:id="rId4"/>
    <sheet name="Nature de fait" sheetId="5" r:id="rId5"/>
    <sheet name="Type de lieu" sheetId="6" r:id="rId6"/>
    <sheet name="Risque, menace et sensibilité" sheetId="7" r:id="rId7"/>
    <sheet name="Motif de recours médico-secouri" sheetId="8" r:id="rId8"/>
    <sheet name="Etats du dossier" sheetId="9" r:id="rId9"/>
    <sheet name="Nombre de patients-victimes" sheetId="10" r:id="rId10"/>
    <sheet name="Type du patient-victime" sheetId="11" r:id="rId11"/>
    <sheet name="Attribution du dossier" sheetId="12" r:id="rId12"/>
    <sheet name="Priorité de régulation médicale" sheetId="13" r:id="rId13"/>
    <sheet name="Lieu - Source ou type d'id" sheetId="14" r:id="rId14"/>
    <sheet name="Precision" sheetId="15" r:id="rId15"/>
    <sheet name="Nom de la source" sheetId="16" r:id="rId16"/>
    <sheet name="Type d'objet" sheetId="17" r:id="rId17"/>
    <sheet name="Signalement" sheetId="18" r:id="rId18"/>
    <sheet name="Canal" sheetId="19" r:id="rId19"/>
    <sheet name="Type de contact" sheetId="20" r:id="rId20"/>
    <sheet name="Langue" sheetId="21" r:id="rId21"/>
    <sheet name="Type de requérant" sheetId="22" r:id="rId22"/>
    <sheet name="Difficultés de communication" sheetId="23" r:id="rId23"/>
    <sheet name="Patient - type d'Id" sheetId="24" r:id="rId24"/>
    <sheet name="Sexe" sheetId="25" r:id="rId25"/>
    <sheet name="Niveau de soin" sheetId="26" r:id="rId26"/>
    <sheet name="Role" sheetId="27" r:id="rId27"/>
    <sheet name="Type de decision" sheetId="28" r:id="rId28"/>
    <sheet name="Type de ressource" sheetId="29" r:id="rId29"/>
    <sheet name="Type de vecteurs" sheetId="30" r:id="rId30"/>
    <sheet name="Niveau de prise en charge" sheetId="31" r:id="rId31"/>
    <sheet name="Type de destination" sheetId="32" r:id="rId32"/>
    <sheet name="Effet à obtenir" sheetId="33" r:id="rId33"/>
    <sheet name="Cadre conventionnel" sheetId="34" r:id="rId34"/>
    <sheet name="Delai d'intervention" sheetId="35" r:id="rId35"/>
    <sheet name="Annulation DR" sheetId="36" r:id="rId36"/>
    <sheet name="Reponse demande ressources" sheetId="37" r:id="rId37"/>
    <sheet name="Statut du vecteur" sheetId="38" r:id="rId38"/>
    <sheet name="Etape message" sheetId="39" r:id="rId39"/>
    <sheet name="#Type de devenir du patient" sheetId="40" r:id="rId40"/>
  </sheets>
  <definedNames>
    <definedName name="_xlnm._FilterDatabase" localSheetId="0" hidden="1">'#Sommaire'!$A$2:$Q$40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1" l="1"/>
  <c r="E40" i="1"/>
  <c r="D40" i="1"/>
  <c r="F39" i="1"/>
  <c r="E39" i="1"/>
  <c r="D39" i="1"/>
  <c r="F38" i="1"/>
  <c r="E38" i="1"/>
  <c r="D38" i="1"/>
  <c r="F37" i="1"/>
  <c r="E37" i="1"/>
  <c r="D37" i="1"/>
  <c r="F36" i="1"/>
  <c r="E36" i="1"/>
  <c r="D36" i="1"/>
  <c r="F35" i="1"/>
  <c r="E35" i="1"/>
  <c r="D35" i="1"/>
  <c r="F34" i="1"/>
  <c r="E34" i="1"/>
  <c r="D34" i="1"/>
  <c r="F33" i="1"/>
  <c r="E33" i="1"/>
  <c r="D33" i="1"/>
  <c r="F32" i="1"/>
  <c r="E32" i="1"/>
  <c r="D32" i="1"/>
  <c r="F31" i="1"/>
  <c r="E31" i="1"/>
  <c r="D31" i="1"/>
  <c r="F30" i="1"/>
  <c r="E30" i="1"/>
  <c r="D30" i="1"/>
  <c r="F29" i="1"/>
  <c r="E29" i="1"/>
  <c r="D29" i="1"/>
  <c r="F28" i="1"/>
  <c r="E28" i="1"/>
  <c r="D28" i="1"/>
  <c r="F27" i="1"/>
  <c r="E27" i="1"/>
  <c r="D27" i="1"/>
  <c r="F26" i="1"/>
  <c r="E26" i="1"/>
  <c r="D26" i="1"/>
  <c r="F25" i="1"/>
  <c r="E25" i="1"/>
  <c r="D25" i="1"/>
  <c r="F24" i="1"/>
  <c r="E24" i="1"/>
  <c r="D24" i="1"/>
  <c r="F23" i="1"/>
  <c r="E23" i="1"/>
  <c r="D23" i="1"/>
  <c r="F22" i="1"/>
  <c r="E22" i="1"/>
  <c r="D22" i="1"/>
  <c r="F21" i="1"/>
  <c r="E21" i="1"/>
  <c r="D21" i="1"/>
  <c r="F20" i="1"/>
  <c r="E20" i="1"/>
  <c r="D20" i="1"/>
  <c r="F19" i="1"/>
  <c r="E19" i="1"/>
  <c r="D19" i="1"/>
  <c r="F18" i="1"/>
  <c r="E18" i="1"/>
  <c r="D18" i="1"/>
  <c r="F17" i="1"/>
  <c r="E17" i="1"/>
  <c r="D17" i="1"/>
  <c r="F16" i="1"/>
  <c r="E16" i="1"/>
  <c r="D16" i="1"/>
  <c r="F15" i="1"/>
  <c r="E15" i="1"/>
  <c r="D15" i="1"/>
  <c r="F14" i="1"/>
  <c r="E14" i="1"/>
  <c r="D14" i="1"/>
  <c r="F13" i="1"/>
  <c r="E13" i="1"/>
  <c r="D13" i="1"/>
  <c r="F12" i="1"/>
  <c r="E12" i="1"/>
  <c r="D12" i="1"/>
  <c r="F11" i="1"/>
  <c r="E11" i="1"/>
  <c r="D11" i="1"/>
  <c r="F10" i="1"/>
  <c r="E10" i="1"/>
  <c r="D10" i="1"/>
  <c r="F9" i="1"/>
  <c r="E9" i="1"/>
  <c r="D9" i="1"/>
  <c r="F8" i="1"/>
  <c r="E8" i="1"/>
  <c r="D8" i="1"/>
  <c r="F7" i="1"/>
  <c r="E7" i="1"/>
  <c r="D7" i="1"/>
  <c r="F6" i="1"/>
  <c r="E6" i="1"/>
  <c r="D6" i="1"/>
  <c r="F5" i="1"/>
  <c r="E5" i="1"/>
  <c r="D5" i="1"/>
  <c r="F4" i="1"/>
  <c r="E4" i="1"/>
  <c r="D4" i="1"/>
  <c r="F3" i="1"/>
  <c r="E3" i="1"/>
  <c r="D3" i="1"/>
</calcChain>
</file>

<file path=xl/sharedStrings.xml><?xml version="1.0" encoding="utf-8"?>
<sst xmlns="http://schemas.openxmlformats.org/spreadsheetml/2006/main" count="4369" uniqueCount="3481">
  <si>
    <t>Identifiant nomenclature</t>
  </si>
  <si>
    <t>HubSante.lieu</t>
  </si>
  <si>
    <t>Référentiel nomenclature</t>
  </si>
  <si>
    <t>CISU</t>
  </si>
  <si>
    <t>Nom Nomenclature</t>
  </si>
  <si>
    <t>Code_Type_de_lieu</t>
  </si>
  <si>
    <t>Nombre de niveau</t>
  </si>
  <si>
    <t>3</t>
  </si>
  <si>
    <t>Description</t>
  </si>
  <si>
    <t>Décrit le type de lieu où se situe l'affaire/dossier</t>
  </si>
  <si>
    <t>Code</t>
  </si>
  <si>
    <t>Libellé niveau 1</t>
  </si>
  <si>
    <t>Libellé niveau 2</t>
  </si>
  <si>
    <t>Libellé niveau 3</t>
  </si>
  <si>
    <t>Commentaire</t>
  </si>
  <si>
    <t>L01.00.00</t>
  </si>
  <si>
    <t>Domicile</t>
  </si>
  <si>
    <t>L01.01.00</t>
  </si>
  <si>
    <t>Maison particulière, pavillon</t>
  </si>
  <si>
    <t>L01.01.01</t>
  </si>
  <si>
    <t>L01.01.02</t>
  </si>
  <si>
    <t>Abords, terrasse, jardin, … non couvert</t>
  </si>
  <si>
    <t>L01.01.03</t>
  </si>
  <si>
    <t>Privée, enterrée ou non, fixe ou non</t>
  </si>
  <si>
    <t>L01.01.04</t>
  </si>
  <si>
    <t>Abri indépendant du domicile de type garage, atelier, abri de jardin, grange, etc.</t>
  </si>
  <si>
    <t>L01.02.00</t>
  </si>
  <si>
    <t>Lieu d'habitation collectif ou foyer d'hébergement</t>
  </si>
  <si>
    <t>L01.02.01</t>
  </si>
  <si>
    <t>A l'intérieur de l'immeuble (sans précision)</t>
  </si>
  <si>
    <t>L01.02.02</t>
  </si>
  <si>
    <t>L01.02.03</t>
  </si>
  <si>
    <t>L01.02.04</t>
  </si>
  <si>
    <t>L01.02.05</t>
  </si>
  <si>
    <t>Ascenseur</t>
  </si>
  <si>
    <t>L01.02.06</t>
  </si>
  <si>
    <t>L01.02.07</t>
  </si>
  <si>
    <t>L01.02.08</t>
  </si>
  <si>
    <t>L01.02.09</t>
  </si>
  <si>
    <t>L01.02.10</t>
  </si>
  <si>
    <t>L01.02.11</t>
  </si>
  <si>
    <t>L01.02.12</t>
  </si>
  <si>
    <t>L01.03.00</t>
  </si>
  <si>
    <t>Habitat spécifique</t>
  </si>
  <si>
    <t>L01.03.01</t>
  </si>
  <si>
    <t>Péniche</t>
  </si>
  <si>
    <t>L01.03.02</t>
  </si>
  <si>
    <t>Mobil-home</t>
  </si>
  <si>
    <t>L01.03.03</t>
  </si>
  <si>
    <t>Habitat précaire</t>
  </si>
  <si>
    <t>L01.04.00</t>
  </si>
  <si>
    <t>Autre type de domicile</t>
  </si>
  <si>
    <t>L02.00.00</t>
  </si>
  <si>
    <t>Circulation/transport</t>
  </si>
  <si>
    <t>L02.01.00</t>
  </si>
  <si>
    <t>Voie publique hors voie rapide</t>
  </si>
  <si>
    <t>Voie sans aucune séparation de chaussée</t>
  </si>
  <si>
    <t>L02.02.00</t>
  </si>
  <si>
    <t>Voie rapide</t>
  </si>
  <si>
    <t>L02.02.01</t>
  </si>
  <si>
    <t>Voie rapide présentant au moins 2 X 2 voies</t>
  </si>
  <si>
    <t>L02.02.02</t>
  </si>
  <si>
    <t>L02.02.03</t>
  </si>
  <si>
    <t>L02.02.05</t>
  </si>
  <si>
    <t>L02.03.00</t>
  </si>
  <si>
    <t>L02.03.01</t>
  </si>
  <si>
    <t>Voie ferrée souterraine ou couverte</t>
  </si>
  <si>
    <t>L02.03.02</t>
  </si>
  <si>
    <t>Voie ferrée aérienne</t>
  </si>
  <si>
    <t>L02.04.00</t>
  </si>
  <si>
    <t>Voie fluviale</t>
  </si>
  <si>
    <t>L02.05.00</t>
  </si>
  <si>
    <t>A bord d’un moyen de transport</t>
  </si>
  <si>
    <t>L02.05.01</t>
  </si>
  <si>
    <t>Catégorie de véhicules qui regroupe les voitures de tourisme et les véhicules utilitaires (jusqu'à 3,5 tonnes)</t>
  </si>
  <si>
    <t>L02.05.02</t>
  </si>
  <si>
    <t>Poids lourd de plus de 3,5 tonnes affecté au transport de biens et embarquant donc un nombre réduit de passagers</t>
  </si>
  <si>
    <t>L02.05.03</t>
  </si>
  <si>
    <t>Véhicule de grande dimension affecté au transport de passagers (Bus car autocar)</t>
  </si>
  <si>
    <t>L02.05.04</t>
  </si>
  <si>
    <t>L02.05.05</t>
  </si>
  <si>
    <t>L02.05.06</t>
  </si>
  <si>
    <t>L02.05.07</t>
  </si>
  <si>
    <t>L02.05.08</t>
  </si>
  <si>
    <t>Tout moyen de transport de marchandises par voie aérienne embarquant au moins 1 pilote à son bord</t>
  </si>
  <si>
    <t>L02.05.09</t>
  </si>
  <si>
    <t>Tout moyen de transport de personnes par voie aérienne embarquant au moins 1 pilote à son bord</t>
  </si>
  <si>
    <t>L02.05.10</t>
  </si>
  <si>
    <t>Tout moyen de transport militaire par voie aérienne embarquant au moins 1 pilote à son bord</t>
  </si>
  <si>
    <t>L02.05.11</t>
  </si>
  <si>
    <t>Tout moyen de transport de marchandises par voie ferroviaire</t>
  </si>
  <si>
    <t>L02.05.12</t>
  </si>
  <si>
    <t>Tout moyen de transport de personnes par voie ferroviaire</t>
  </si>
  <si>
    <t>L02.05.13</t>
  </si>
  <si>
    <t>L02.05.14</t>
  </si>
  <si>
    <t>L02.05.15</t>
  </si>
  <si>
    <t>L02.05.16</t>
  </si>
  <si>
    <t>L02.06.00</t>
  </si>
  <si>
    <t>Aéroport / aérodrome</t>
  </si>
  <si>
    <t>L02.06.01</t>
  </si>
  <si>
    <t>L02.06.02</t>
  </si>
  <si>
    <t>L02.06.03</t>
  </si>
  <si>
    <t>L02.06.04</t>
  </si>
  <si>
    <t>L02.06.05</t>
  </si>
  <si>
    <t>L02.06.06</t>
  </si>
  <si>
    <t>Aérodrome – toutes zones</t>
  </si>
  <si>
    <t>Zone critique à accès réglementé</t>
  </si>
  <si>
    <t>L02.07.00</t>
  </si>
  <si>
    <t>Gare ferroviaire et routière</t>
  </si>
  <si>
    <t>Dont billetterie</t>
  </si>
  <si>
    <t>L02.07.01</t>
  </si>
  <si>
    <t>Hall de gare</t>
  </si>
  <si>
    <t>L02.07.02</t>
  </si>
  <si>
    <t>Quai de gare</t>
  </si>
  <si>
    <t>L02.08.00</t>
  </si>
  <si>
    <t>Autre type de lieu lié à la circulation ou au transport</t>
  </si>
  <si>
    <t>L03.00.00</t>
  </si>
  <si>
    <t>Local d’activité professionnelle</t>
  </si>
  <si>
    <t>L03.01.00</t>
  </si>
  <si>
    <t>Local administratif</t>
  </si>
  <si>
    <t>Ex : Bureau, back-office administratif d’un local commercial</t>
  </si>
  <si>
    <t>L03.02.00</t>
  </si>
  <si>
    <t>Local agricole</t>
  </si>
  <si>
    <t>L03.03.00</t>
  </si>
  <si>
    <t>Local artisanal</t>
  </si>
  <si>
    <t>Lieu d’activité professionnelle impliquant un nombre réduit de travailleurs manuels (ex : caractère familial)</t>
  </si>
  <si>
    <t>L03.05.00</t>
  </si>
  <si>
    <t>Autre local d’activité professionnelle</t>
  </si>
  <si>
    <t>L04.00.00</t>
  </si>
  <si>
    <t>Lieu accueillant du public</t>
  </si>
  <si>
    <t>L04.01.00</t>
  </si>
  <si>
    <t>Espace public non couvert</t>
  </si>
  <si>
    <t>Ex : square, parc</t>
  </si>
  <si>
    <t>L04.02.00</t>
  </si>
  <si>
    <t>Centre commercial / magasin</t>
  </si>
  <si>
    <t>L04.02.01</t>
  </si>
  <si>
    <t>Boutique</t>
  </si>
  <si>
    <t>L04.02.02</t>
  </si>
  <si>
    <t>Grande surface</t>
  </si>
  <si>
    <t>L04.02.03</t>
  </si>
  <si>
    <t>Centre commercial</t>
  </si>
  <si>
    <t>L04.03.00</t>
  </si>
  <si>
    <t>Parc de stationnement ouvert au public</t>
  </si>
  <si>
    <t>L04.03.01</t>
  </si>
  <si>
    <t>L04.03.02</t>
  </si>
  <si>
    <t>L04.03.03</t>
  </si>
  <si>
    <t>L04.04.00</t>
  </si>
  <si>
    <t>Lieu de culte</t>
  </si>
  <si>
    <t>L04.05.00</t>
  </si>
  <si>
    <t>Cimetière</t>
  </si>
  <si>
    <t>L04.06.00</t>
  </si>
  <si>
    <t>Espace évènementiel et/ou culturel</t>
  </si>
  <si>
    <t>L04.06.01</t>
  </si>
  <si>
    <t>Cinéma / théâtre / salle de concert</t>
  </si>
  <si>
    <t>L04.06.02</t>
  </si>
  <si>
    <t>Musée / monument touristique</t>
  </si>
  <si>
    <t>L04.06.03</t>
  </si>
  <si>
    <t>Parc des expositions</t>
  </si>
  <si>
    <t>L04.06.04</t>
  </si>
  <si>
    <t>Parc d’attractions / fête foraine</t>
  </si>
  <si>
    <t>L04.06.05</t>
  </si>
  <si>
    <t>Zoo</t>
  </si>
  <si>
    <t>L04.07.00</t>
  </si>
  <si>
    <t>Établissement de santé</t>
  </si>
  <si>
    <t>L04.07.03</t>
  </si>
  <si>
    <t>Lieu privatif de liberté dans l’établissement de santé</t>
  </si>
  <si>
    <t>Dont psychiatrie, unité hospitalière sécurisée interrégionale (UHSI)</t>
  </si>
  <si>
    <t>L04.08.00</t>
  </si>
  <si>
    <t>Local de profession de santé</t>
  </si>
  <si>
    <t>Dont centres et cabinets « individuels »</t>
  </si>
  <si>
    <t>L04.08.01</t>
  </si>
  <si>
    <t>Cabinet médical ou paramédical</t>
  </si>
  <si>
    <t>L04.08.02</t>
  </si>
  <si>
    <t>L04.09.00</t>
  </si>
  <si>
    <t>Établissement médico-social</t>
  </si>
  <si>
    <t>L04.09.01</t>
  </si>
  <si>
    <t>L04.09.02</t>
  </si>
  <si>
    <t>Etablissement pour personnes handicapées</t>
  </si>
  <si>
    <t>L04.10.00</t>
  </si>
  <si>
    <t>L04.11.00</t>
  </si>
  <si>
    <t>Enceinte sportive</t>
  </si>
  <si>
    <t>L04.11.01</t>
  </si>
  <si>
    <t>Stade</t>
  </si>
  <si>
    <t>L04.11.02</t>
  </si>
  <si>
    <t>L04.11.03</t>
  </si>
  <si>
    <t>L04.11.04</t>
  </si>
  <si>
    <t>Circuit ou installation pour sport motorisé</t>
  </si>
  <si>
    <t>L04.12.00</t>
  </si>
  <si>
    <t>Hébergement touristique</t>
  </si>
  <si>
    <t>L04.12.01</t>
  </si>
  <si>
    <t>Hôtel</t>
  </si>
  <si>
    <t>L04.12.02</t>
  </si>
  <si>
    <t>Camping et hôtel de plein air</t>
  </si>
  <si>
    <t>L04.12.03</t>
  </si>
  <si>
    <t>Résidence / club de vacances</t>
  </si>
  <si>
    <t>L04.12.04</t>
  </si>
  <si>
    <t>Refuge de montagne </t>
  </si>
  <si>
    <t>L04.13.00</t>
  </si>
  <si>
    <t>Lieu d’enseignement</t>
  </si>
  <si>
    <t>L04.13.01</t>
  </si>
  <si>
    <t>Ecole maternelle et élémentaire</t>
  </si>
  <si>
    <t>L04.13.02</t>
  </si>
  <si>
    <t>Collège</t>
  </si>
  <si>
    <t>L04.13.03</t>
  </si>
  <si>
    <t>Lycée</t>
  </si>
  <si>
    <t>L04.13.04</t>
  </si>
  <si>
    <t>L04.14.00</t>
  </si>
  <si>
    <t>Lieu de restauration / bar</t>
  </si>
  <si>
    <t>L04.14.01</t>
  </si>
  <si>
    <t>Etablissement de nuit</t>
  </si>
  <si>
    <t>Ex : discothèque, club privé</t>
  </si>
  <si>
    <t>L04.14.02</t>
  </si>
  <si>
    <t>Bar / restaurant</t>
  </si>
  <si>
    <t>Dont bar dansant</t>
  </si>
  <si>
    <t>L04.15.00</t>
  </si>
  <si>
    <t>L04.16.00</t>
  </si>
  <si>
    <t>Autre lieu accueillant du public</t>
  </si>
  <si>
    <t>L05.00.00</t>
  </si>
  <si>
    <t>Milieu naturel</t>
  </si>
  <si>
    <t>L05.01.00</t>
  </si>
  <si>
    <t>Plaine et campagne</t>
  </si>
  <si>
    <t>L05.01.01</t>
  </si>
  <si>
    <t>Etendue cultivée pouvant présenter un risque d’incendie ou une difficulté d’accessibilité / visibilité (ex : champ de maïs ou autres plants de grande hauteur)</t>
  </si>
  <si>
    <t>Etendue couverte d’arbres ou de broussailles et pouvant présenter un risque d’incendie ou une difficulté d’accessibilité / visibilité</t>
  </si>
  <si>
    <t>L05.01.04</t>
  </si>
  <si>
    <t>Haute forêt</t>
  </si>
  <si>
    <t>Etendue couverte d’arbres située en milieu montagneux et pouvant présenter un risque d’incendie ou une difficulté d’accessibilité / visibilité</t>
  </si>
  <si>
    <t>L05.02.00</t>
  </si>
  <si>
    <t>Espace montagneux ou vallonné</t>
  </si>
  <si>
    <t>L05.02.01</t>
  </si>
  <si>
    <t>Zone vallonnée</t>
  </si>
  <si>
    <t>Zone potentiellement difficile d’accès par voie carrossable</t>
  </si>
  <si>
    <t>L05.02.02</t>
  </si>
  <si>
    <t>Moyenne montagne – hors voies de circulation</t>
  </si>
  <si>
    <t>L05.02.03</t>
  </si>
  <si>
    <t>Haute montagne</t>
  </si>
  <si>
    <t>L05.02.04</t>
  </si>
  <si>
    <t>Domaine skiable</t>
  </si>
  <si>
    <t>L05.03.00</t>
  </si>
  <si>
    <t>Milieu aquatique en eau douce</t>
  </si>
  <si>
    <t>L05.03.01</t>
  </si>
  <si>
    <t>L05.03.02</t>
  </si>
  <si>
    <t>L05.04.00</t>
  </si>
  <si>
    <t>Milieu maritime</t>
  </si>
  <si>
    <t>L05.04.01</t>
  </si>
  <si>
    <t>L05.04.02</t>
  </si>
  <si>
    <t>L05.04.04</t>
  </si>
  <si>
    <t>Eaux côtières</t>
  </si>
  <si>
    <t>L05.04.05</t>
  </si>
  <si>
    <t>Haute mer</t>
  </si>
  <si>
    <t>L05.04.06</t>
  </si>
  <si>
    <t>Falaise</t>
  </si>
  <si>
    <t>L05.05.00</t>
  </si>
  <si>
    <t>Milieu naturel souterrain</t>
  </si>
  <si>
    <t>L05.06.00</t>
  </si>
  <si>
    <t>Milieu naturel sous-marin</t>
  </si>
  <si>
    <t>L05.07.00</t>
  </si>
  <si>
    <t>Autre type de milieu naturel</t>
  </si>
  <si>
    <t>L06.00.00</t>
  </si>
  <si>
    <t>Zone ou site particulier</t>
  </si>
  <si>
    <t>L06.01.00</t>
  </si>
  <si>
    <t>Site industriel</t>
  </si>
  <si>
    <t>L06.01.01</t>
  </si>
  <si>
    <t>Site de stockage ou de production pétro-chimique</t>
  </si>
  <si>
    <t>L06.01.02</t>
  </si>
  <si>
    <t>Site de stockage ou de production d’explosifs</t>
  </si>
  <si>
    <t>L06.01.03</t>
  </si>
  <si>
    <t>L06.01.04</t>
  </si>
  <si>
    <t>Silo</t>
  </si>
  <si>
    <t>L06.01.05</t>
  </si>
  <si>
    <t>Site de stockage ou de production agro-alimentaire</t>
  </si>
  <si>
    <t>L06.01.06</t>
  </si>
  <si>
    <t>L06.01.07</t>
  </si>
  <si>
    <t>Laboratoire P3/P4</t>
  </si>
  <si>
    <t>L06.01.08</t>
  </si>
  <si>
    <t>Autre type de site industriel</t>
  </si>
  <si>
    <t>L06.02.00</t>
  </si>
  <si>
    <t>Dont parc éolien, barrage, etc.</t>
  </si>
  <si>
    <t>L06.03.00</t>
  </si>
  <si>
    <t>Site nucléaire</t>
  </si>
  <si>
    <t>L06.03.01</t>
  </si>
  <si>
    <t>Centrale nucléaire de production d’électricité</t>
  </si>
  <si>
    <t>L06.03.02</t>
  </si>
  <si>
    <t>Site de production de radio-éléments</t>
  </si>
  <si>
    <t>L06.03.03</t>
  </si>
  <si>
    <t>L06.03.04</t>
  </si>
  <si>
    <t>Site stockant ou utilisant des sources nucléaires ou radiologiques</t>
  </si>
  <si>
    <t>Ex : équipements de santé nucléaire</t>
  </si>
  <si>
    <t>L06.03.05</t>
  </si>
  <si>
    <t>Site stockant des déchets nucléaires</t>
  </si>
  <si>
    <t>L06.04.00</t>
  </si>
  <si>
    <t>L06.05.00</t>
  </si>
  <si>
    <t>Chantier</t>
  </si>
  <si>
    <t>L06.05.01</t>
  </si>
  <si>
    <t>Chantier de surface</t>
  </si>
  <si>
    <t>Chantier situé au niveau du sol ou en hauteur</t>
  </si>
  <si>
    <t>L06.05.02</t>
  </si>
  <si>
    <t>Chantier souterrain</t>
  </si>
  <si>
    <t>L06.06.00</t>
  </si>
  <si>
    <t>Administration publique</t>
  </si>
  <si>
    <t>L06.06.01</t>
  </si>
  <si>
    <t>L06.06.02</t>
  </si>
  <si>
    <t>Enceinte militaire</t>
  </si>
  <si>
    <t>Hors gendarmerie</t>
  </si>
  <si>
    <t>L06.06.03</t>
  </si>
  <si>
    <t>Ex : tribunaux</t>
  </si>
  <si>
    <t>L06.06.04</t>
  </si>
  <si>
    <t>Autre bâtiment officiel d’État</t>
  </si>
  <si>
    <t>Préfecture, Ministère, ambassades, …</t>
  </si>
  <si>
    <t>L06.07.00</t>
  </si>
  <si>
    <t>Zone de rassemblement</t>
  </si>
  <si>
    <t>L06.07.01</t>
  </si>
  <si>
    <t>Zone de rassemblement festif</t>
  </si>
  <si>
    <t>Ex : teknival</t>
  </si>
  <si>
    <t>L06.07.02</t>
  </si>
  <si>
    <t>Autre zone de rassemblement</t>
  </si>
  <si>
    <t>L07.00.00</t>
  </si>
  <si>
    <t>ID unique</t>
  </si>
  <si>
    <t>Objet(s)  niveau 1 (MDD)</t>
  </si>
  <si>
    <t>Libellé de la donnée (MDD)</t>
  </si>
  <si>
    <t>Référentiel source</t>
  </si>
  <si>
    <t>Nom de la nomenclature</t>
  </si>
  <si>
    <t xml:space="preserve">Lien </t>
  </si>
  <si>
    <t>Statut Nomenclature</t>
  </si>
  <si>
    <t>RC-EDA</t>
  </si>
  <si>
    <t>RS-EDA</t>
  </si>
  <si>
    <t>RS-EDA-MAJ</t>
  </si>
  <si>
    <t>RS-RPIS</t>
  </si>
  <si>
    <t>RS-BPV</t>
  </si>
  <si>
    <t>RS-RI</t>
  </si>
  <si>
    <t>RS-DR</t>
  </si>
  <si>
    <t>RS-RR</t>
  </si>
  <si>
    <t>RS-SR</t>
  </si>
  <si>
    <t>RC-REF</t>
  </si>
  <si>
    <t>HubSante.filiere</t>
  </si>
  <si>
    <t>Filiere</t>
  </si>
  <si>
    <t>Lien nomenclature</t>
  </si>
  <si>
    <t>V1 validée métier</t>
  </si>
  <si>
    <t>X</t>
  </si>
  <si>
    <t>HubSante.intervention</t>
  </si>
  <si>
    <t>Type d'intervention</t>
  </si>
  <si>
    <t>HubSante.origine</t>
  </si>
  <si>
    <t>Qualification de l'affaire/dossier</t>
  </si>
  <si>
    <t>Origine de l'appel</t>
  </si>
  <si>
    <t>HubSante.fait</t>
  </si>
  <si>
    <t>Nature de fait</t>
  </si>
  <si>
    <t>Type de lieu</t>
  </si>
  <si>
    <t>HubSante.risque</t>
  </si>
  <si>
    <t>Risque, menace et sensibilité</t>
  </si>
  <si>
    <t>HubSante.motif</t>
  </si>
  <si>
    <t>Motif de recours médico-secouriste</t>
  </si>
  <si>
    <t>HubSante.etat</t>
  </si>
  <si>
    <t>Etat du dossier</t>
  </si>
  <si>
    <t>HubSante.nbVictimes</t>
  </si>
  <si>
    <t>Nombre de patients-victimes</t>
  </si>
  <si>
    <t>HubSante.patient</t>
  </si>
  <si>
    <t>Type du patient-victime</t>
  </si>
  <si>
    <t>HubSante.attribution</t>
  </si>
  <si>
    <t>Attribution du dossier</t>
  </si>
  <si>
    <t>HubSante.priorite</t>
  </si>
  <si>
    <t>Priorité de régulation médicale</t>
  </si>
  <si>
    <t>HubSante.idLieu</t>
  </si>
  <si>
    <t>Localisation</t>
  </si>
  <si>
    <t>Lieu - Source ou type d'id</t>
  </si>
  <si>
    <t>HubSante.precision</t>
  </si>
  <si>
    <t>Precision</t>
  </si>
  <si>
    <t>HubSante.systeme</t>
  </si>
  <si>
    <t>Nom de la source</t>
  </si>
  <si>
    <t>HubSante.objetSource</t>
  </si>
  <si>
    <t>Type d'objet</t>
  </si>
  <si>
    <t>HubSante.signalement</t>
  </si>
  <si>
    <t>Alerte initiale</t>
  </si>
  <si>
    <t>Signalement</t>
  </si>
  <si>
    <t>HubSante.canal</t>
  </si>
  <si>
    <t>Canal</t>
  </si>
  <si>
    <t>HubSante.typeCom</t>
  </si>
  <si>
    <t>Type de contact</t>
  </si>
  <si>
    <t>HubSante.langue</t>
  </si>
  <si>
    <t>Langue</t>
  </si>
  <si>
    <t>Validée</t>
  </si>
  <si>
    <t>HubSante.typeAppelant</t>
  </si>
  <si>
    <t>Type de requérant</t>
  </si>
  <si>
    <t>HubSante.communication</t>
  </si>
  <si>
    <t>Difficultés de communication</t>
  </si>
  <si>
    <t>HubSante.typeIdPatient</t>
  </si>
  <si>
    <t>Patient</t>
  </si>
  <si>
    <t>Patient - type d'Id</t>
  </si>
  <si>
    <t>HubSante.sexe</t>
  </si>
  <si>
    <t xml:space="preserve">Sexe </t>
  </si>
  <si>
    <t>HubSante.niveauSoin</t>
  </si>
  <si>
    <t>Qualification / Patient</t>
  </si>
  <si>
    <t>Niveau de soin</t>
  </si>
  <si>
    <t>HubSante.role</t>
  </si>
  <si>
    <t>Observation médicale</t>
  </si>
  <si>
    <t>Role</t>
  </si>
  <si>
    <t>HubSante.typeDecision</t>
  </si>
  <si>
    <t>Décisions</t>
  </si>
  <si>
    <t>Type de decision</t>
  </si>
  <si>
    <t>HubSante.typeRessource</t>
  </si>
  <si>
    <t>Décisions / Ressource engagée</t>
  </si>
  <si>
    <t>Type de ressource</t>
  </si>
  <si>
    <t>HubSante.typeVecteur</t>
  </si>
  <si>
    <t>Type de vecteurs</t>
  </si>
  <si>
    <t>HubSante.typePEC</t>
  </si>
  <si>
    <t>Ressource engagée</t>
  </si>
  <si>
    <t>Niveau de prise en charge</t>
  </si>
  <si>
    <t>HubSante.typeOrientation</t>
  </si>
  <si>
    <t>Type d'orientation</t>
  </si>
  <si>
    <t>HubSante.effet</t>
  </si>
  <si>
    <t>Demande de ressource</t>
  </si>
  <si>
    <t>Effet à obtenir</t>
  </si>
  <si>
    <t>HubSante.cadre</t>
  </si>
  <si>
    <t>Cadre conventionnel</t>
  </si>
  <si>
    <t>HubSante.delai</t>
  </si>
  <si>
    <t>Delai d'intervention</t>
  </si>
  <si>
    <t>HubSante.etatDemande</t>
  </si>
  <si>
    <t>resourcesRequest</t>
  </si>
  <si>
    <t>Etat annulation</t>
  </si>
  <si>
    <t>HubSante.reponseDemande</t>
  </si>
  <si>
    <t>Réponse à la demande de ressources</t>
  </si>
  <si>
    <t>Reponse demande ressources</t>
  </si>
  <si>
    <t>HubSante.statutVecteur</t>
  </si>
  <si>
    <t>Ressource engagée / resourcesStatus</t>
  </si>
  <si>
    <t>Statut du vecteur</t>
  </si>
  <si>
    <t>HubSante.etape</t>
  </si>
  <si>
    <t>Etape d'intégration du dossier</t>
  </si>
  <si>
    <t>V1 hub Santé</t>
  </si>
  <si>
    <t>ENUM</t>
  </si>
  <si>
    <t>FILIERE</t>
  </si>
  <si>
    <t>1</t>
  </si>
  <si>
    <t>Décrit la filière compétente pour traiter le dossier.</t>
  </si>
  <si>
    <t>AMU</t>
  </si>
  <si>
    <t>Aide Médicale d'Urgence</t>
  </si>
  <si>
    <t>Filière dédiée à l'aide médicale d'urgence</t>
  </si>
  <si>
    <t>NEONAT</t>
  </si>
  <si>
    <t>Néonatalité</t>
  </si>
  <si>
    <t>Filière dédiée à la néonatalité</t>
  </si>
  <si>
    <t>PSY</t>
  </si>
  <si>
    <t>Psychiatrie</t>
  </si>
  <si>
    <t>Filière dédiée à la psychiatrie</t>
  </si>
  <si>
    <t>SNP</t>
  </si>
  <si>
    <t>Soins Non Programmés</t>
  </si>
  <si>
    <t>Filière dédiée aux soins non programmés</t>
  </si>
  <si>
    <t>TYPE_Intervention</t>
  </si>
  <si>
    <t>Décrit le type d'intervention (primaire, secondaire, etc.)</t>
  </si>
  <si>
    <t>T1</t>
  </si>
  <si>
    <t>Primaire</t>
  </si>
  <si>
    <t>Prise en charge médicale spécialisée d’un ou de plusieurs patients ne se
trouvant pas admis dans un établissement de santé et dont l’état requiert de façon urgente une
expertise médicale pour des soins d’urgences ou de réanimation et pour leur orientation.</t>
  </si>
  <si>
    <t>T2-INTER</t>
  </si>
  <si>
    <t>Transfert Inter Hospitalier</t>
  </si>
  <si>
    <t>Prise en charge médicale spécialisée d’un patient hospitalisé ou pris en charge par un service (d’urgences ou non), au sein d’un établissement de santé vers un établissement de santé ne faisant pas partie de la même entité juridique, que le transport ait finalement lieu ou non.</t>
  </si>
  <si>
    <t>T2-INTRA</t>
  </si>
  <si>
    <t>Transfert Intra Hospitalier</t>
  </si>
  <si>
    <t xml:space="preserve">Prise en charge médicale spécialisée d’un patient hospitalisé ou pris en charge par un service (d’urgences ou non), au sein d’un établissement de santé vers n même établissement de santé ou entre deux établissements de santé appartenant à la même entité juridique. </t>
  </si>
  <si>
    <t>T3</t>
  </si>
  <si>
    <t>Retour</t>
  </si>
  <si>
    <t>Prise en charge médicale spécialisée d’un patient hospitalisé en vue de son retour à son domicile ou dans une structure n’étant pas un établissement de santé (par exemple un EHPAD).</t>
  </si>
  <si>
    <t>T4</t>
  </si>
  <si>
    <t>Rapat/Evasan</t>
  </si>
  <si>
    <t>Prise en charge médicale spécialisée d’un patient en vue de son transport le plus souvent vers un établissement de soins, par exemple dans le cadre d’un rapprochement familial.</t>
  </si>
  <si>
    <t>ORIGINE</t>
  </si>
  <si>
    <t>Décrit l'origine de l'appel</t>
  </si>
  <si>
    <t>Ligne 15</t>
  </si>
  <si>
    <t>Le requérant a contacté directement le CRRA en composant le 15.</t>
  </si>
  <si>
    <t>Ligne PDSA</t>
  </si>
  <si>
    <t>Le requérant a contacté directement le CRRA en composant le numéro d’une ligne PDSA (116117 et autres lignes encore fonctionnelles)</t>
  </si>
  <si>
    <t>AUTOCOM</t>
  </si>
  <si>
    <t>Ligne hôpital</t>
  </si>
  <si>
    <t>Le requérant a contacté directement le CRRA en composant un numéro interne de l’établissement de santé siège du Samu Centre 15.</t>
  </si>
  <si>
    <t>Ligne 112</t>
  </si>
  <si>
    <t>Le requérant a contacté directement le CRRA en composant le numéro 112</t>
  </si>
  <si>
    <t>Ligne 115</t>
  </si>
  <si>
    <t>Le requérant a contacté directement le CRRA en composant le numéro 115</t>
  </si>
  <si>
    <t>CRRA</t>
  </si>
  <si>
    <t>CRRA (autres lignes)</t>
  </si>
  <si>
    <t>Le requérant a contacté directement le CRRA en composant un autre numéro pour contacter le Samu – Centre 15.</t>
  </si>
  <si>
    <t>AUTREC15</t>
  </si>
  <si>
    <t>Autre CRRA</t>
  </si>
  <si>
    <t>Le requérant a contacté en premier un autre Samu Centre 15 qui a retransmis l’appel au CRRA</t>
  </si>
  <si>
    <t>CTA-CONF</t>
  </si>
  <si>
    <t>CTA-CODIS en conf</t>
  </si>
  <si>
    <t>Le requérant a contacté en premier le ou les CTA CODIS correspondant(s) habituel(s) du Samu qui a retransmis l’appel au CRRA ; appel avec mise en interconnexion par conférence.</t>
  </si>
  <si>
    <t>CTA-PI</t>
  </si>
  <si>
    <t>CTA-CODIS pour info</t>
  </si>
  <si>
    <t>Le requérant a contacté en premier le ou les CTA CODIS correspondant(s) habituel(s) du Samu qui a retransmis l’appel au CRRA ; appel avec simple information.</t>
  </si>
  <si>
    <t>AUTRECTA</t>
  </si>
  <si>
    <t>Autre CTA-CODIS</t>
  </si>
  <si>
    <t>Le requérant a contacté en premier un CTA CODIS distant qui n’est pas un correspondant habituel du Samu qui a retransmis l’appel au CRRA.</t>
  </si>
  <si>
    <t>CNR</t>
  </si>
  <si>
    <t>CNR 114</t>
  </si>
  <si>
    <t>Le requérant a contacté en premier le centre national relais pour les sourds et malentendants qui a retransmis l’appel au CRRA.</t>
  </si>
  <si>
    <t>FDO</t>
  </si>
  <si>
    <t>CORG, CIC</t>
  </si>
  <si>
    <t>Le requérant a contacté en premier un standard de forces de l’ordre (police, gendarmerie, …) qui a retransmis l’appel au CRRA.</t>
  </si>
  <si>
    <t>SNATED</t>
  </si>
  <si>
    <t>Ligne 119 (SNATED)</t>
  </si>
  <si>
    <t>Le requérant a contacté en premier le standard de la protection de l’enfance qui a retransmis l’appel au CRRA.</t>
  </si>
  <si>
    <t>PDSSOS</t>
  </si>
  <si>
    <t>Asso PDSA et SOS</t>
  </si>
  <si>
    <t>Le requérant a contacté en premier un standard d’une association de PDSA, type SOS médecins ou autres qui a retransmis l’appel au CRRA.</t>
  </si>
  <si>
    <t>TELASSIST</t>
  </si>
  <si>
    <t>Téléassistance</t>
  </si>
  <si>
    <t>Le requérant a contacté en premier une structure de télésurveillance ou d’assistance médicale qui a retransmis l’appel au CRRA.</t>
  </si>
  <si>
    <t>CROSS</t>
  </si>
  <si>
    <t>Le requérant a contacté en premier une structure publique d’urgence type CROSS maritime qui a retransmis l’appel au CRRA.</t>
  </si>
  <si>
    <t>PUBLIC</t>
  </si>
  <si>
    <t>Autre centre d'appel</t>
  </si>
  <si>
    <t>Le requérant a contacté en premier une structure publique d’urgence type associations ne participant pas à la PDSA, … qui a retransmis l’appel au CRRA.</t>
  </si>
  <si>
    <t>DATA</t>
  </si>
  <si>
    <t>Flux Data ECall</t>
  </si>
  <si>
    <t>L’appel est arrivé au CRRA via un flux de données(flux e-call : système d'appel d'urgence automatique)</t>
  </si>
  <si>
    <t>AUTRE</t>
  </si>
  <si>
    <t>Autre structure</t>
  </si>
  <si>
    <t>Si le central d’appel d’urgence est déterminé mais ne fait pas partie des choix précédents ou lorsque l’information n’est pas disponible.</t>
  </si>
  <si>
    <t>Code_Nature_de_fait</t>
  </si>
  <si>
    <t>Décrit la nature de fait de l'affaire/dossier</t>
  </si>
  <si>
    <t>C01.00.00</t>
  </si>
  <si>
    <t>Accident de la circulation</t>
  </si>
  <si>
    <t>C01.01.00</t>
  </si>
  <si>
    <t>C01.01.01</t>
  </si>
  <si>
    <t>C01.01.02</t>
  </si>
  <si>
    <t>C01.01.03</t>
  </si>
  <si>
    <t>Véhicule de grande dimension affecté au transport de passagers</t>
  </si>
  <si>
    <t>C01.01.04</t>
  </si>
  <si>
    <t>C01.01.05</t>
  </si>
  <si>
    <t>C01.01.06</t>
  </si>
  <si>
    <t>C01.02.00</t>
  </si>
  <si>
    <t>Accident ferroviaire</t>
  </si>
  <si>
    <t>C01.02.01</t>
  </si>
  <si>
    <t>L’implication d'un train « l'emporte » sur les moyens routiers</t>
  </si>
  <si>
    <t>C01.02.02</t>
  </si>
  <si>
    <t>C01.03.00</t>
  </si>
  <si>
    <t>Accident maritime ou fluvial</t>
  </si>
  <si>
    <t>C01.03.01</t>
  </si>
  <si>
    <t>Tout moyen de transport de personnes par voie maritime, avec ou sans moteur (voilier, navire de plaisance, paquebot de croisière, …)</t>
  </si>
  <si>
    <t>C01.03.02</t>
  </si>
  <si>
    <t>Tout moyen de transport de marchandises par voie maritime, avec ou sans moteur (barque, navire de pêche, cargo, …)</t>
  </si>
  <si>
    <t>C01.04.00</t>
  </si>
  <si>
    <t>Accident aérien</t>
  </si>
  <si>
    <t>C01.04.01</t>
  </si>
  <si>
    <t>C01.04.02</t>
  </si>
  <si>
    <t>C01.04.03</t>
  </si>
  <si>
    <t>C01.04.04</t>
  </si>
  <si>
    <t>Petit avion sans équipage embarqué, télécommandé ou programmé</t>
  </si>
  <si>
    <t>C01.05.00</t>
  </si>
  <si>
    <t>Autre type d’accident de circulation</t>
  </si>
  <si>
    <t>C02.00.00</t>
  </si>
  <si>
    <t>Atteinte aux personnes</t>
  </si>
  <si>
    <t>C02.01.00</t>
  </si>
  <si>
    <t>Un ou plusieurs actes de violence de nature à mettre en péril les institutions de la République ou à porter atteinte à l'intégrité du territoire national (Article 412-1 du Code Pénal) - Dont attentat sur autorité / tuerie planifiée</t>
  </si>
  <si>
    <t>C02.02.00</t>
  </si>
  <si>
    <t>Prise d’otage</t>
  </si>
  <si>
    <t>Détention de personnes contre leur volonté, le plus souvent dans un but revendicatif</t>
  </si>
  <si>
    <t>C02.03.00</t>
  </si>
  <si>
    <t>Homicide ou infanticide</t>
  </si>
  <si>
    <t>C02.03.01</t>
  </si>
  <si>
    <t>Homicide</t>
  </si>
  <si>
    <t>Meurtre volontaire ou involontaire d’un autre être humain</t>
  </si>
  <si>
    <t>C02.03.02</t>
  </si>
  <si>
    <t>Infanticide</t>
  </si>
  <si>
    <t>Meurtre volontaire ou involontaire d’un autre être humain âgé de moins de 15 ans</t>
  </si>
  <si>
    <t>C02.04.00</t>
  </si>
  <si>
    <t>Enlèvement / séquestration</t>
  </si>
  <si>
    <t>C02.04.01</t>
  </si>
  <si>
    <t>Alerte enlèvement</t>
  </si>
  <si>
    <t>C02.04.02</t>
  </si>
  <si>
    <t>Enlèvement</t>
  </si>
  <si>
    <t>Enlèvement d’une personne (il ne s’agit pas d’une disparition, même inquiétante)</t>
  </si>
  <si>
    <t>C02.04.03</t>
  </si>
  <si>
    <t>Séquestration</t>
  </si>
  <si>
    <t>Action de retenir une personne enfermée contre son gré en dehors de toute autorité légale en usant de violence, de ruse ou de la menace</t>
  </si>
  <si>
    <t>C02.05.00</t>
  </si>
  <si>
    <t>Pathologie / maladie</t>
  </si>
  <si>
    <t>C02.05.01</t>
  </si>
  <si>
    <t>Tout problème médical autre qu’obstétrique ou psychiatrique (liste détaillée disponible dans les motifs de recours médico-secouriste)</t>
  </si>
  <si>
    <t>C02.05.02</t>
  </si>
  <si>
    <t>Tout problème médical relatif à la grossesse et à l'accouchement</t>
  </si>
  <si>
    <t>C02.06.00</t>
  </si>
  <si>
    <t>C02.06.01</t>
  </si>
  <si>
    <t>Intoxication alimentaire collective (TIAC)</t>
  </si>
  <si>
    <t>Apparition d’au moins deux cas similaires d’une symptomatologie, en général gastro-intestinale, dont on peut rapporter la cause à une même origine alimentaire</t>
  </si>
  <si>
    <t>C02.07.00</t>
  </si>
  <si>
    <t>Personne exposée (à)</t>
  </si>
  <si>
    <t>C02.07.01</t>
  </si>
  <si>
    <t>C02.07.02</t>
  </si>
  <si>
    <t>C02.07.03</t>
  </si>
  <si>
    <t>C02.07.04</t>
  </si>
  <si>
    <t>NRBC : nucléaire, radiologique, biologique et/ou chimique</t>
  </si>
  <si>
    <t>C02.07.05</t>
  </si>
  <si>
    <t>C02.08.00</t>
  </si>
  <si>
    <t>Traumatisme / Accident</t>
  </si>
  <si>
    <t>C02.08.01</t>
  </si>
  <si>
    <t>Accident avec machine professionnelle / Accident du travail</t>
  </si>
  <si>
    <t>A l’occasion et par le fait du travail dans un milieu professionnel</t>
  </si>
  <si>
    <t>C02.08.02</t>
  </si>
  <si>
    <t>Accident domestique</t>
  </si>
  <si>
    <t>C02.08.03</t>
  </si>
  <si>
    <t>Autre accident (hors sport et loisirs)</t>
  </si>
  <si>
    <t>C02.08.04</t>
  </si>
  <si>
    <t>C02.08.05</t>
  </si>
  <si>
    <t>C02.08.06</t>
  </si>
  <si>
    <t>Blessures, piqûre, morsure d'animaux</t>
  </si>
  <si>
    <t>C02.08.07</t>
  </si>
  <si>
    <t>Pendaison / strangulation accidentelle</t>
  </si>
  <si>
    <t>C02.08.08</t>
  </si>
  <si>
    <t>Etouffement / fausse route</t>
  </si>
  <si>
    <t>C02.09.00</t>
  </si>
  <si>
    <t>Accident de sport ou de loisirs</t>
  </si>
  <si>
    <t>C02.09.01</t>
  </si>
  <si>
    <t>Accident de chasse</t>
  </si>
  <si>
    <t>C02.09.02</t>
  </si>
  <si>
    <t>Accident de plongée</t>
  </si>
  <si>
    <t>C02.09.03</t>
  </si>
  <si>
    <t>Accident de spéléologie</t>
  </si>
  <si>
    <t>C02.09.04</t>
  </si>
  <si>
    <t>Accident en montagne</t>
  </si>
  <si>
    <t>C02.09.05</t>
  </si>
  <si>
    <t>Accident de parachutisme ou deltaplane</t>
  </si>
  <si>
    <t>C02.09.06</t>
  </si>
  <si>
    <t>C02.09.07</t>
  </si>
  <si>
    <t>Autre accident de sport ou de loisirs</t>
  </si>
  <si>
    <t>C02.10.00</t>
  </si>
  <si>
    <t>Noyade</t>
  </si>
  <si>
    <t>C02.11.00</t>
  </si>
  <si>
    <t>Chute</t>
  </si>
  <si>
    <t>C02.11.01</t>
  </si>
  <si>
    <t>Chute de grande hauteur</t>
  </si>
  <si>
    <t>C02.11.02</t>
  </si>
  <si>
    <t>Chute de faible hauteur</t>
  </si>
  <si>
    <t>Chute de moins de 3 mètres (y compris de sa hauteur)</t>
  </si>
  <si>
    <t>C02.12.00</t>
  </si>
  <si>
    <t>C02.13.00</t>
  </si>
  <si>
    <t>C02.13.01</t>
  </si>
  <si>
    <t>C02.13.02</t>
  </si>
  <si>
    <t>C02.13.03</t>
  </si>
  <si>
    <t>C02.13.04</t>
  </si>
  <si>
    <t>C02.13.05</t>
  </si>
  <si>
    <t>C02.13.06</t>
  </si>
  <si>
    <t>C02.13.07</t>
  </si>
  <si>
    <t>C02.13.08</t>
  </si>
  <si>
    <t>Autre type de tentative de suicide</t>
  </si>
  <si>
    <t>C02.14.00</t>
  </si>
  <si>
    <t>Atteinte sexuelle</t>
  </si>
  <si>
    <t>C02.14.01</t>
  </si>
  <si>
    <t>Suspicion de viol</t>
  </si>
  <si>
    <t>C02.14.02</t>
  </si>
  <si>
    <t>Agression sexuelle</t>
  </si>
  <si>
    <t>Toute atteinte sexuelle sans pénétration commise sur une victime avec violence, contrainte ou menace. Par exemple, des attouchements.</t>
  </si>
  <si>
    <t>C02.14.03</t>
  </si>
  <si>
    <t>Exhibition sexuelle</t>
  </si>
  <si>
    <t>C02.14.04</t>
  </si>
  <si>
    <t>Harcèlement sexuel</t>
  </si>
  <si>
    <t>Fait d'imposer à une personne, de façon répétée, des propos ou comportements à connotation sexuelle qui :
&gt; portent atteinte à sa dignité en raison de leur caractère dégradant ou humiliant,
&gt; ou créent à son encontre une situation intimidante, hostile ou offensante.
Est assimilée au harcèlement sexuel toute forme de pression grave (même non répétée) dans le but réel ou apparent d'obtenir un acte sexuel, au profit de l'auteur des faits ou d'un tiers.</t>
  </si>
  <si>
    <t>C02.15.00</t>
  </si>
  <si>
    <t>Agression ou violence</t>
  </si>
  <si>
    <t>C02.15.01</t>
  </si>
  <si>
    <t>Rixe ou bagarre</t>
  </si>
  <si>
    <t>C02.15.02</t>
  </si>
  <si>
    <t>Agression ou violence physique</t>
  </si>
  <si>
    <t>Dont agression sur autorité / agent public et dont violences sport</t>
  </si>
  <si>
    <t>C02.15.03</t>
  </si>
  <si>
    <t>Agression verbale</t>
  </si>
  <si>
    <t>Dont agression sur autorité / agent public et incivilités</t>
  </si>
  <si>
    <t>C02.15.04</t>
  </si>
  <si>
    <t>Violences intra familiales</t>
  </si>
  <si>
    <t>C02.15.05</t>
  </si>
  <si>
    <t>En droit pénal, violence envers une personne, lorsque cette violence n'est pas qualifiée de blessure</t>
  </si>
  <si>
    <t>C02.15.06</t>
  </si>
  <si>
    <t>Autre agression ou menace</t>
  </si>
  <si>
    <t>Dont menace, outrage rébellion, incident frontière</t>
  </si>
  <si>
    <t>C02.16.00</t>
  </si>
  <si>
    <t>Autre atteinte aux personnes</t>
  </si>
  <si>
    <t>C02.16.01</t>
  </si>
  <si>
    <t>Jeux dangereux</t>
  </si>
  <si>
    <t>C02.16.03</t>
  </si>
  <si>
    <t>C03.00.00</t>
  </si>
  <si>
    <t>Atteinte aux biens / animal</t>
  </si>
  <si>
    <t>C03.01.00</t>
  </si>
  <si>
    <t>Dégradation volontaire de lieux, biens ou véhicules</t>
  </si>
  <si>
    <t>C03.01.01</t>
  </si>
  <si>
    <t>Dégradation de bâtiment ou de local</t>
  </si>
  <si>
    <t>Dont sabotage (sans atteinte de personne) et TAGS</t>
  </si>
  <si>
    <t>C03.01.02</t>
  </si>
  <si>
    <t>Dégradation de véhicule</t>
  </si>
  <si>
    <t>C03.01.03</t>
  </si>
  <si>
    <t>C03.01.04</t>
  </si>
  <si>
    <t>C03.01.05</t>
  </si>
  <si>
    <t>Profanation de cimetière ou lieu de culte</t>
  </si>
  <si>
    <t>C03.02.00</t>
  </si>
  <si>
    <t>Vol</t>
  </si>
  <si>
    <t>C03.02.01</t>
  </si>
  <si>
    <t>Vol à l’arraché</t>
  </si>
  <si>
    <t>Vol avec violence commis en arrachant de force à la victime un objet convoité</t>
  </si>
  <si>
    <t>C03.02.02</t>
  </si>
  <si>
    <t>Vol à la portière</t>
  </si>
  <si>
    <t>Vol commis en ouvrant ou en brisant une portière de véhicule</t>
  </si>
  <si>
    <t>C03.02.03</t>
  </si>
  <si>
    <t>Vol à l’étalage</t>
  </si>
  <si>
    <t>C03.02.04</t>
  </si>
  <si>
    <t>Vol à la roulotte</t>
  </si>
  <si>
    <t>Vol commis dans un véhicule ou dans une roulotte</t>
  </si>
  <si>
    <t>C03.02.05</t>
  </si>
  <si>
    <t>Vol de véhicule</t>
  </si>
  <si>
    <t>C03.02.06</t>
  </si>
  <si>
    <t>Vol de carburant</t>
  </si>
  <si>
    <t>C03.02.07</t>
  </si>
  <si>
    <t>Vol de DAB ou dans DAB</t>
  </si>
  <si>
    <t>DAB : Distributeur automatique de billets</t>
  </si>
  <si>
    <t>C03.02.08</t>
  </si>
  <si>
    <t>Vol de fret</t>
  </si>
  <si>
    <t>C03.02.09</t>
  </si>
  <si>
    <t>Vol de métaux</t>
  </si>
  <si>
    <t>C03.02.10</t>
  </si>
  <si>
    <t>Vol par ruse</t>
  </si>
  <si>
    <t>C03.02.11</t>
  </si>
  <si>
    <t>Vol d’armes</t>
  </si>
  <si>
    <t>C03.02.12</t>
  </si>
  <si>
    <t>Vol à main armée</t>
  </si>
  <si>
    <t>C03.02.13</t>
  </si>
  <si>
    <t>Vol avec violences, extorsion, racket</t>
  </si>
  <si>
    <t>C03.02.14</t>
  </si>
  <si>
    <t>Car jacking</t>
  </si>
  <si>
    <t>La piraterie routière ou carjacking est un vol de voiture ou autres véhicules motorisés avec menaces ou violence sur le conducteur du véhicule</t>
  </si>
  <si>
    <t>C03.02.15</t>
  </si>
  <si>
    <t>Autre type de vol</t>
  </si>
  <si>
    <t>C03.03.00</t>
  </si>
  <si>
    <t>Cambriolage</t>
  </si>
  <si>
    <t>C03.03.01</t>
  </si>
  <si>
    <t>Home jacking</t>
  </si>
  <si>
    <t>Le home-jacking consiste à s'introduire dans le domicile d'un particulier afin d'y récupérer les clés de sa voiture et repartir avec le véhicule</t>
  </si>
  <si>
    <t>C03.03.02</t>
  </si>
  <si>
    <t>Autre type de cambriolage</t>
  </si>
  <si>
    <t>C03.04.00</t>
  </si>
  <si>
    <t>Intrusion</t>
  </si>
  <si>
    <t>C03.04.01</t>
  </si>
  <si>
    <t>Violation de domicile</t>
  </si>
  <si>
    <t>C03.04.02</t>
  </si>
  <si>
    <t>Déclenchement d’alarme intrusion</t>
  </si>
  <si>
    <t>C03.05.00</t>
  </si>
  <si>
    <t>C03.06.00</t>
  </si>
  <si>
    <t>Autre atteinte aux biens</t>
  </si>
  <si>
    <t>C03.07.00</t>
  </si>
  <si>
    <t>Disparition d'animal</t>
  </si>
  <si>
    <t>C03.08.00</t>
  </si>
  <si>
    <t>Découverte / divagation d'animal</t>
  </si>
  <si>
    <t>C03.09.00</t>
  </si>
  <si>
    <t>Découverte d’animal mort / carcasse d’animal</t>
  </si>
  <si>
    <t>C03.10.00</t>
  </si>
  <si>
    <t>Hyménoptères</t>
  </si>
  <si>
    <t>Ex : abeilles</t>
  </si>
  <si>
    <t>C03.11.00</t>
  </si>
  <si>
    <t>Animal en difficulté / blessé</t>
  </si>
  <si>
    <t>C03.12.00</t>
  </si>
  <si>
    <t>Animal dangereux ou sauvage</t>
  </si>
  <si>
    <t>C03.13.00</t>
  </si>
  <si>
    <t>Epizootie</t>
  </si>
  <si>
    <t>Ex : grippe aviaire</t>
  </si>
  <si>
    <t>C03.14.00</t>
  </si>
  <si>
    <t>Braconnage</t>
  </si>
  <si>
    <t>C03.15.00</t>
  </si>
  <si>
    <t>Autre fait d’animal</t>
  </si>
  <si>
    <t>C04.00.00</t>
  </si>
  <si>
    <t>Incendie</t>
  </si>
  <si>
    <t>En cas d’incendie et d’explosion, c’est le type d’explosion qui doit être saisi</t>
  </si>
  <si>
    <t>C04.01.00</t>
  </si>
  <si>
    <t>Incendie d'un moyen de transport / véhicule</t>
  </si>
  <si>
    <t>C04.01.01</t>
  </si>
  <si>
    <t>C04.01.02</t>
  </si>
  <si>
    <t>C04.01.03</t>
  </si>
  <si>
    <t>C04.01.04</t>
  </si>
  <si>
    <t>C04.01.05</t>
  </si>
  <si>
    <t>C04.01.06</t>
  </si>
  <si>
    <t>C04.01.07</t>
  </si>
  <si>
    <t>C04.01.08</t>
  </si>
  <si>
    <t>C04.01.09</t>
  </si>
  <si>
    <t>C04.01.10</t>
  </si>
  <si>
    <t>C04.01.11</t>
  </si>
  <si>
    <t>C04.02.00</t>
  </si>
  <si>
    <t>C04.02.01</t>
  </si>
  <si>
    <t>C04.02.02</t>
  </si>
  <si>
    <t>C04.02.03</t>
  </si>
  <si>
    <t>C04.02.04</t>
  </si>
  <si>
    <t>C04.03.00</t>
  </si>
  <si>
    <t>Incendie en milieu agricole</t>
  </si>
  <si>
    <t>C04.04.00</t>
  </si>
  <si>
    <t>Incendie en milieu industriel</t>
  </si>
  <si>
    <t>C04.05.00</t>
  </si>
  <si>
    <t>Incendie de forêt / végétation</t>
  </si>
  <si>
    <t>C04.06.00</t>
  </si>
  <si>
    <t>C04.08.00</t>
  </si>
  <si>
    <t>Autre type d’incendie</t>
  </si>
  <si>
    <t>Alarme incendie</t>
  </si>
  <si>
    <t>C05.00.00</t>
  </si>
  <si>
    <t>Explosion</t>
  </si>
  <si>
    <t>C05.00.01</t>
  </si>
  <si>
    <t>Explosion d'un moyen de transport / véhicule</t>
  </si>
  <si>
    <t>C05.00.02</t>
  </si>
  <si>
    <t>Explosion d'un bâtiment / local</t>
  </si>
  <si>
    <t>C05.00.03</t>
  </si>
  <si>
    <t>Explosion d’un silo / lieu de stockage</t>
  </si>
  <si>
    <t>C05.00.04</t>
  </si>
  <si>
    <t>Explosion d’un(e) substance / engin explosif</t>
  </si>
  <si>
    <t>C05.00.05</t>
  </si>
  <si>
    <t>Autre type d’explosion</t>
  </si>
  <si>
    <t>C06.00.00</t>
  </si>
  <si>
    <t>Suspicion d'infractions</t>
  </si>
  <si>
    <t>C06.01.00</t>
  </si>
  <si>
    <t>Prostitution / Racolage</t>
  </si>
  <si>
    <t>C06.02.00</t>
  </si>
  <si>
    <t>Détention d’arme</t>
  </si>
  <si>
    <t>C06.03.00</t>
  </si>
  <si>
    <t>Infractions au code de la route</t>
  </si>
  <si>
    <t>C06.03.01</t>
  </si>
  <si>
    <t>Stationnement dangereux</t>
  </si>
  <si>
    <t>C06.03.02</t>
  </si>
  <si>
    <t>Conduite délictueuse ou dangereuse</t>
  </si>
  <si>
    <t>C06.03.03</t>
  </si>
  <si>
    <t>Conduite en état alcoolique</t>
  </si>
  <si>
    <t>C06.03.04</t>
  </si>
  <si>
    <t>Stationnement irrégulier sensible</t>
  </si>
  <si>
    <t>C06.03.05</t>
  </si>
  <si>
    <t>Délit de fuite</t>
  </si>
  <si>
    <t>C06.03.06</t>
  </si>
  <si>
    <t>Conduite à contre-sens</t>
  </si>
  <si>
    <t>C06.04.00</t>
  </si>
  <si>
    <t>Infractions à la législation sur le travail</t>
  </si>
  <si>
    <t>C06.04.01</t>
  </si>
  <si>
    <t>Infractions à la législation sur les professions réglementées</t>
  </si>
  <si>
    <t>C06.04.02</t>
  </si>
  <si>
    <t>Vente à la sauvette</t>
  </si>
  <si>
    <t>Les ventes à la sauvette sont des ventes qui sont faites sans autorisation sur le domaine public</t>
  </si>
  <si>
    <t>C06.05.00</t>
  </si>
  <si>
    <t>Trafic de stupéfiants</t>
  </si>
  <si>
    <t>C06.06.00</t>
  </si>
  <si>
    <t>Affaire liée a la législation sur les séjours en France</t>
  </si>
  <si>
    <t>C06.06.01</t>
  </si>
  <si>
    <t>ESI : étranger en situation irrégulière</t>
  </si>
  <si>
    <t>C06.07.00</t>
  </si>
  <si>
    <t>Occupation illégale d’un lieu</t>
  </si>
  <si>
    <t>C06.07.01</t>
  </si>
  <si>
    <t>C06.07.02</t>
  </si>
  <si>
    <t>Lieu de culte clandestin</t>
  </si>
  <si>
    <t>C06.08.00</t>
  </si>
  <si>
    <t>C06.08.01</t>
  </si>
  <si>
    <t>Infraction aérienne</t>
  </si>
  <si>
    <t>C06.08.02</t>
  </si>
  <si>
    <t>C06.08.03</t>
  </si>
  <si>
    <t>Fausse monnaie</t>
  </si>
  <si>
    <t>Contrefaçon frauduleuse de la monnaie (pièces, billets)</t>
  </si>
  <si>
    <t>C06.08.04</t>
  </si>
  <si>
    <t>Orpaillage</t>
  </si>
  <si>
    <t>Prospection et extraction artisanale de l’or dans les rivières.</t>
  </si>
  <si>
    <t>C06.08.05</t>
  </si>
  <si>
    <t>Jeux illégaux</t>
  </si>
  <si>
    <t>Ex : jeux d’argent et paris clandestins</t>
  </si>
  <si>
    <t>C06.08.06</t>
  </si>
  <si>
    <t>Non respect décision de justice</t>
  </si>
  <si>
    <t>C07.00.00</t>
  </si>
  <si>
    <t>Ordre public</t>
  </si>
  <si>
    <t>C07.01.00</t>
  </si>
  <si>
    <t>Alerte à la bombe</t>
  </si>
  <si>
    <t>Violences collectives en milieu urbain</t>
  </si>
  <si>
    <t>C07.02.00</t>
  </si>
  <si>
    <t>Violence urbaine</t>
  </si>
  <si>
    <t>Différends et litiges inter-personnels</t>
  </si>
  <si>
    <t>Différend familial</t>
  </si>
  <si>
    <t>Refus de représenter un enfant mineur à la personne en droit de le réclamer</t>
  </si>
  <si>
    <t>Différend de voisinage</t>
  </si>
  <si>
    <t>Dont locatifs, usagers et personnes chargées d'une mission de service public</t>
  </si>
  <si>
    <t>Dont litiges commerciaux, droit du travail</t>
  </si>
  <si>
    <t>C07.04.00</t>
  </si>
  <si>
    <t>Rassemblement</t>
  </si>
  <si>
    <t>C07.04.01</t>
  </si>
  <si>
    <t>Grève</t>
  </si>
  <si>
    <t>C07.04.02</t>
  </si>
  <si>
    <t>Manifestation</t>
  </si>
  <si>
    <t>C07.04.03</t>
  </si>
  <si>
    <t>Free party / rave party / teknival</t>
  </si>
  <si>
    <t>C07.04.04</t>
  </si>
  <si>
    <t>Autre rassemblement</t>
  </si>
  <si>
    <t>C07.05.00</t>
  </si>
  <si>
    <t>Ivresse publique et manifeste</t>
  </si>
  <si>
    <t>C07.06.00</t>
  </si>
  <si>
    <t>C07.07.00</t>
  </si>
  <si>
    <t>Nuisances particulières</t>
  </si>
  <si>
    <t>C07.07.01</t>
  </si>
  <si>
    <t>C07.07.02</t>
  </si>
  <si>
    <t>Nuisance aéronautique</t>
  </si>
  <si>
    <t>C07.07.03</t>
  </si>
  <si>
    <t>Tapage</t>
  </si>
  <si>
    <t>C07.07.04</t>
  </si>
  <si>
    <t>Ouverture intempestives de bouches incendies</t>
  </si>
  <si>
    <t>C07.07.05</t>
  </si>
  <si>
    <t>Perturbateurs - indésirables</t>
  </si>
  <si>
    <t>C07.08.00</t>
  </si>
  <si>
    <t>Détournement</t>
  </si>
  <si>
    <t>C07.08.01</t>
  </si>
  <si>
    <t>Détournement d’aéronef</t>
  </si>
  <si>
    <t>C07.08.02</t>
  </si>
  <si>
    <t>Détournement de navire</t>
  </si>
  <si>
    <t>C07.08.03</t>
  </si>
  <si>
    <t>Détournement de véhicule</t>
  </si>
  <si>
    <t>C07.09.00</t>
  </si>
  <si>
    <t>Comportement suspect ou dangereux</t>
  </si>
  <si>
    <t>C07.09.01</t>
  </si>
  <si>
    <t>Forcené</t>
  </si>
  <si>
    <t>Personne intensément violente</t>
  </si>
  <si>
    <t>C07.09.02</t>
  </si>
  <si>
    <t>Personne dangereuse</t>
  </si>
  <si>
    <t>C07.09.03</t>
  </si>
  <si>
    <t>Personne suspecte rôdeur</t>
  </si>
  <si>
    <t>C07.09.05</t>
  </si>
  <si>
    <t>C07.10.00</t>
  </si>
  <si>
    <t>Véhicule suspect</t>
  </si>
  <si>
    <t>C07.11.00</t>
  </si>
  <si>
    <t>Colis, bagages ou enveloppes suspects</t>
  </si>
  <si>
    <t>C07.12.00</t>
  </si>
  <si>
    <t>Coups de feu</t>
  </si>
  <si>
    <t>C07.13.00</t>
  </si>
  <si>
    <t>Autres troubles à l’ordre public</t>
  </si>
  <si>
    <t>C07.13.01</t>
  </si>
  <si>
    <t>Mutinerie / incident en centre de détention</t>
  </si>
  <si>
    <t>C07.13.02</t>
  </si>
  <si>
    <t>Rodéo automobile</t>
  </si>
  <si>
    <t>Course bruyante et agitée d'autos, de motos</t>
  </si>
  <si>
    <t>C07.13.03</t>
  </si>
  <si>
    <t>Attroupement</t>
  </si>
  <si>
    <t>C07.13.04</t>
  </si>
  <si>
    <t>Blocage de site</t>
  </si>
  <si>
    <t>C07.13.05</t>
  </si>
  <si>
    <t>Survol illicite</t>
  </si>
  <si>
    <t>C07.13.06</t>
  </si>
  <si>
    <t>Incident</t>
  </si>
  <si>
    <t>C07.13.07</t>
  </si>
  <si>
    <t>Autre trouble à l’ordre public</t>
  </si>
  <si>
    <t>dont personne excitée</t>
  </si>
  <si>
    <t>C08.00.00</t>
  </si>
  <si>
    <t>C08.01.00</t>
  </si>
  <si>
    <t>Inondation</t>
  </si>
  <si>
    <t>C08.02.00</t>
  </si>
  <si>
    <t>Avalanche</t>
  </si>
  <si>
    <t>C08.03.00</t>
  </si>
  <si>
    <t>Tremblement de terre</t>
  </si>
  <si>
    <t>C08.04.00</t>
  </si>
  <si>
    <t>Foudre</t>
  </si>
  <si>
    <t>C08.05.00</t>
  </si>
  <si>
    <t>C08.06.00</t>
  </si>
  <si>
    <t>Éboulement / effondrement</t>
  </si>
  <si>
    <t>C08.07.00</t>
  </si>
  <si>
    <t>Affaissement de la chaussée</t>
  </si>
  <si>
    <t>C08.08.00</t>
  </si>
  <si>
    <t>Pollution</t>
  </si>
  <si>
    <t>C08.08.01</t>
  </si>
  <si>
    <t>Pollution terrestre</t>
  </si>
  <si>
    <t>C08.08.02</t>
  </si>
  <si>
    <t>Pollution aquatique</t>
  </si>
  <si>
    <t>C08.09.00</t>
  </si>
  <si>
    <t>Intempérie importante</t>
  </si>
  <si>
    <t>C08.10.00</t>
  </si>
  <si>
    <t>C08.10.01</t>
  </si>
  <si>
    <t>Catastrophe naturelle</t>
  </si>
  <si>
    <t>C09.00.00</t>
  </si>
  <si>
    <t>C09.01.00</t>
  </si>
  <si>
    <t>Électricité</t>
  </si>
  <si>
    <t>C09.01.01</t>
  </si>
  <si>
    <t>Court-circuit</t>
  </si>
  <si>
    <t>C09.01.02</t>
  </si>
  <si>
    <t>Panne électrique</t>
  </si>
  <si>
    <t>C09.01.03</t>
  </si>
  <si>
    <t>Fil électrique tombé</t>
  </si>
  <si>
    <t>C09.01.04</t>
  </si>
  <si>
    <t>Rupture / Arrachement de câble (ou support)</t>
  </si>
  <si>
    <t>C09.02.00</t>
  </si>
  <si>
    <t>Fuite d’eau</t>
  </si>
  <si>
    <t>C09.03.00</t>
  </si>
  <si>
    <t>Fuite de gaz</t>
  </si>
  <si>
    <t>C09.03.01</t>
  </si>
  <si>
    <t>C09.04.00</t>
  </si>
  <si>
    <t>Fuite d’autres fluides</t>
  </si>
  <si>
    <t>C09.04.01</t>
  </si>
  <si>
    <t>Fuite de fluides liquides</t>
  </si>
  <si>
    <t>C09.04.02</t>
  </si>
  <si>
    <t>Fuite de fluides gazeux</t>
  </si>
  <si>
    <t>C09.05.00</t>
  </si>
  <si>
    <t>Immeuble en péril</t>
  </si>
  <si>
    <t>C09.06.00</t>
  </si>
  <si>
    <t>Panne d’ascenseur</t>
  </si>
  <si>
    <t>C09.07.00</t>
  </si>
  <si>
    <t>Chaudière surchauffée</t>
  </si>
  <si>
    <t>C09.08.00</t>
  </si>
  <si>
    <t>C10.00.00</t>
  </si>
  <si>
    <t>Disparitions et découvertes</t>
  </si>
  <si>
    <t>C10.01.00</t>
  </si>
  <si>
    <t>Disparition ou découverte d’individu</t>
  </si>
  <si>
    <t>C10.01.01</t>
  </si>
  <si>
    <t>Fuite de malfaiteur / évasion</t>
  </si>
  <si>
    <t>Personnes recherchées pour raison judiciaire</t>
  </si>
  <si>
    <t>C10.01.02</t>
  </si>
  <si>
    <t>Fuite de personnes avec troubles psychiatriques/neurologiques </t>
  </si>
  <si>
    <t>C10.01.03</t>
  </si>
  <si>
    <t>Disparition de personne vulnérable</t>
  </si>
  <si>
    <t>Dont mineurs et personnes âgées et/ou handicapées</t>
  </si>
  <si>
    <t>C10.01.04</t>
  </si>
  <si>
    <t>Absence de réponse aux appels</t>
  </si>
  <si>
    <t>C10.01.05</t>
  </si>
  <si>
    <t>Autre disparition inquiétante</t>
  </si>
  <si>
    <t>Dont retard inquiétant</t>
  </si>
  <si>
    <t>C10.01.06</t>
  </si>
  <si>
    <t>Fugue</t>
  </si>
  <si>
    <t>C10.01.08</t>
  </si>
  <si>
    <t>Découverte de personne égarée</t>
  </si>
  <si>
    <t>Dont mineurs, majeurs et personnes sur autoroute</t>
  </si>
  <si>
    <t>Découverte de cadavre</t>
  </si>
  <si>
    <t>C10.03.00</t>
  </si>
  <si>
    <t>Disparition ou découverte d’objet</t>
  </si>
  <si>
    <t>C10.03.01</t>
  </si>
  <si>
    <t>Disparition d'objet</t>
  </si>
  <si>
    <t>Dont perte</t>
  </si>
  <si>
    <t>C10.03.02</t>
  </si>
  <si>
    <t>Découverte d’objet</t>
  </si>
  <si>
    <t>Dont coffre-fort</t>
  </si>
  <si>
    <t>C10.04.00</t>
  </si>
  <si>
    <t>Disparition ou découverte d’engin explosif</t>
  </si>
  <si>
    <t>C10.04.01</t>
  </si>
  <si>
    <t>Disparition d’engin explosif</t>
  </si>
  <si>
    <t>C10.04.02</t>
  </si>
  <si>
    <t>Découverte d’engin explosif</t>
  </si>
  <si>
    <t>C10.05.00</t>
  </si>
  <si>
    <t>Découverte de stupéfiants</t>
  </si>
  <si>
    <t>C10.06.00</t>
  </si>
  <si>
    <t>Découverte d’armes</t>
  </si>
  <si>
    <t>C10.07.00</t>
  </si>
  <si>
    <t>Découverte de véhicule volé</t>
  </si>
  <si>
    <t>C10.08.00</t>
  </si>
  <si>
    <t>Autre découverte</t>
  </si>
  <si>
    <t>C11.00.00</t>
  </si>
  <si>
    <t>Autre nature de fait</t>
  </si>
  <si>
    <t>C11.01.00</t>
  </si>
  <si>
    <t>Alarme</t>
  </si>
  <si>
    <t>Dont télésurveillance et RAMSES</t>
  </si>
  <si>
    <t>C11.02.00</t>
  </si>
  <si>
    <t>Demande de sécurisation</t>
  </si>
  <si>
    <t>C11.02.01</t>
  </si>
  <si>
    <t>Protection de Drop Zone</t>
  </si>
  <si>
    <t>C11.02.02</t>
  </si>
  <si>
    <t>Visite sensible autorité / convoi escorte</t>
  </si>
  <si>
    <t>C11.03.00</t>
  </si>
  <si>
    <t>Demande d’information et d’orientation</t>
  </si>
  <si>
    <t>C11.03.01</t>
  </si>
  <si>
    <t>Demande de renseignement</t>
  </si>
  <si>
    <t>C11.03.02</t>
  </si>
  <si>
    <t>Conseil et orientation</t>
  </si>
  <si>
    <t>C11.04.00</t>
  </si>
  <si>
    <t>Appels malveillants, appels anonymes intempestifs</t>
  </si>
  <si>
    <t>C11.05.00</t>
  </si>
  <si>
    <t>C11.05.01</t>
  </si>
  <si>
    <t>Echouement, naufrage</t>
  </si>
  <si>
    <t>C11.05.02</t>
  </si>
  <si>
    <t>Dépannage véhicule</t>
  </si>
  <si>
    <t>C11.05.03</t>
  </si>
  <si>
    <t>Porte verrouillée</t>
  </si>
  <si>
    <t>C11.06.00</t>
  </si>
  <si>
    <t>Code_Risque-Menace-Sensibilité</t>
  </si>
  <si>
    <t>Décrit les risques, menaces ou sensibilités de l'affaire/dossier</t>
  </si>
  <si>
    <t>R01</t>
  </si>
  <si>
    <t>Dommage exclusivement matériel</t>
  </si>
  <si>
    <t>Usage métier DGGN permettant la graduation matériel / corporel / mortel</t>
  </si>
  <si>
    <t>R02</t>
  </si>
  <si>
    <t>Auteur(s) en fuite</t>
  </si>
  <si>
    <t>R03</t>
  </si>
  <si>
    <t>Présence d’individu(s) ou public menaçant</t>
  </si>
  <si>
    <t>R04</t>
  </si>
  <si>
    <t>Présence d’individu(s) muni(s) d’une arme blanche</t>
  </si>
  <si>
    <t>R05</t>
  </si>
  <si>
    <t>Présence d’individu(s) muni(s) d’une arme à feu</t>
  </si>
  <si>
    <t>R06</t>
  </si>
  <si>
    <t>Suspicion d'attaque terroriste</t>
  </si>
  <si>
    <t>R07</t>
  </si>
  <si>
    <t>Présence de matière ou matériel dangereux</t>
  </si>
  <si>
    <t>Ex : armes, matière dangereuse non identifiée</t>
  </si>
  <si>
    <t>R08</t>
  </si>
  <si>
    <t>Présence de matière radiologique ou nucléaire civile ou militaire</t>
  </si>
  <si>
    <t>A saisir si le caractère civil ou militaire n’est pas connu</t>
  </si>
  <si>
    <t>R11</t>
  </si>
  <si>
    <t>Présence de matière bactériologique</t>
  </si>
  <si>
    <t>R12</t>
  </si>
  <si>
    <t>Présence de matière chimique</t>
  </si>
  <si>
    <t>R13</t>
  </si>
  <si>
    <t>Risque d'explosion, présence de gaz</t>
  </si>
  <si>
    <t>R14</t>
  </si>
  <si>
    <t>Risque lié à l'incendie</t>
  </si>
  <si>
    <t>R15</t>
  </si>
  <si>
    <t>Risque d'effondrement</t>
  </si>
  <si>
    <t>R16</t>
  </si>
  <si>
    <t>Présence d'animal dangereux</t>
  </si>
  <si>
    <t>R17</t>
  </si>
  <si>
    <t>Nuée d'insectes</t>
  </si>
  <si>
    <t>R18</t>
  </si>
  <si>
    <t>R19</t>
  </si>
  <si>
    <t>Risque électrique/ risque lié à une ligne HT ou THT</t>
  </si>
  <si>
    <t>HT / THT : Haute Tension / Très Haute Tension</t>
  </si>
  <si>
    <t>R20</t>
  </si>
  <si>
    <t>Difficulté d’accès sur site</t>
  </si>
  <si>
    <t>Ex : milieu montagneux hors voie carrossable</t>
  </si>
  <si>
    <t>R21</t>
  </si>
  <si>
    <t>Difficulté d’accès au patient/victime</t>
  </si>
  <si>
    <t>Ex : porte verrouillée</t>
  </si>
  <si>
    <t>R22</t>
  </si>
  <si>
    <t>Gêne à la circulation</t>
  </si>
  <si>
    <t>R23</t>
  </si>
  <si>
    <t>Implication d’une autorité</t>
  </si>
  <si>
    <t>En vue d’un traitement avec remontée hiérarchique</t>
  </si>
  <si>
    <t>R24</t>
  </si>
  <si>
    <t>Implication d’un agent public</t>
  </si>
  <si>
    <t>En vue d’un traitement sans remontée hiérarchique systématique</t>
  </si>
  <si>
    <t>R25</t>
  </si>
  <si>
    <t>Implication d’une personnalité</t>
  </si>
  <si>
    <t>Ex : VIP</t>
  </si>
  <si>
    <t>R26</t>
  </si>
  <si>
    <t>Implication de plusieurs personnes (2 à 10)</t>
  </si>
  <si>
    <t>En vue de permettre aux forces de sécurité d’adapter leur dispositif d’intervention. Les autres informations contextuelles (nature des personnes impliquées, attitude, …) sont à qualifier en champ libre. A aborder par l’opérateur en même temps que le nombre de patients/victimes.</t>
  </si>
  <si>
    <t>R27</t>
  </si>
  <si>
    <t>Implication de nombreuses personnes (11 et+)</t>
  </si>
  <si>
    <t>R28</t>
  </si>
  <si>
    <t>Patient/Victime incarcéré</t>
  </si>
  <si>
    <t>R31</t>
  </si>
  <si>
    <t>Patient/Victime dans l'eau</t>
  </si>
  <si>
    <t>R32</t>
  </si>
  <si>
    <t>Patient/Victime confiné</t>
  </si>
  <si>
    <t>R33</t>
  </si>
  <si>
    <t>Patient/Victime violent</t>
  </si>
  <si>
    <t>R34</t>
  </si>
  <si>
    <t>Patient/Victime vulnérable</t>
  </si>
  <si>
    <t>Ex : personnes mineures</t>
  </si>
  <si>
    <t>R35</t>
  </si>
  <si>
    <t>Patient/Victime contagieux</t>
  </si>
  <si>
    <t>Ex : prise en charge de patients tuberculeux</t>
  </si>
  <si>
    <t>R37</t>
  </si>
  <si>
    <t>Situation instable/indéterminée</t>
  </si>
  <si>
    <t>En vue d’alerter les professionnels intervenant sur place d'un possible risque de dégradation de la situation (ex: reconnaissance sur site non achevée)</t>
  </si>
  <si>
    <t>Code_Motif_patient-victime</t>
  </si>
  <si>
    <t>2</t>
  </si>
  <si>
    <t>Décrit le motif de recours médico-secouriste.</t>
  </si>
  <si>
    <t>Détresse respiratoire</t>
  </si>
  <si>
    <t>Malaise avec perte de connaissance initiale</t>
  </si>
  <si>
    <t>Trouble digestif</t>
  </si>
  <si>
    <t>Problème social ou sanitaire</t>
  </si>
  <si>
    <t>Personne restant à terre suite à une chute</t>
  </si>
  <si>
    <t>Etats_Dossier</t>
  </si>
  <si>
    <t>PROGRAM</t>
  </si>
  <si>
    <t>Programmé</t>
  </si>
  <si>
    <t>L'état « Programmé » est spécifique au DRM, il correspond à une création de dossier en avance de phase. Il est en particulier utilisé pour les TIH, dossiers pour lesquels la future régulation et prise en charge est connue. Un dossier à l’état « Programmé » contient la date et l’heure à laquelle le dossier doit s’activer.</t>
  </si>
  <si>
    <t>ACTIF</t>
  </si>
  <si>
    <t>Actif</t>
  </si>
  <si>
    <t>L'état « Actif » est un premier stade d’un dossier dans le cycle de vie (en dehors de l’état « Programmé » qui ne fait pas partie des états par lesquels passe l’ensemble des dossiers). L’état « Actif » qualifie le début de la prise en charge du dossier (au décroché de l’appel) et la phase de régulation médicale, cet état concerne l’ensemble des dossiers en cours d’instruction.</t>
  </si>
  <si>
    <t>ACHEVE</t>
  </si>
  <si>
    <t>Achévé</t>
  </si>
  <si>
    <t xml:space="preserve">L’état « Achevé » qualifie la fin de la phase active du dossier. Le dossier atteint l’état « Achevé » dès lors toutes les décisions possibles ont été prises et que les actions découlant de ces décisions ont été menées à leur terme :
- Les patients sont arrivés à destination,
- La prise en charge des patients a été assurée et est conforme à la décision prise,
- Les véhicules sont arrivés à destination et ne transportent plus aucuns patients,
- Les équipes d’intervention n’ont plus de patients en charge. 
Les dossiers à l’état « Achevé » restent modifiables par les agents du CRRA. </t>
  </si>
  <si>
    <t>VALIDE</t>
  </si>
  <si>
    <t>Validé</t>
  </si>
  <si>
    <t xml:space="preserve">L’état « Validé » marque la fin de la phase de régulation médicale. Le dossier passe automatiquement à l’état « Validé » dès lors :
- Qu’il est complet (il contient toutes les informations et codifications obligatoires),
- Qu’il est cohérent,
- Que les identités des patients ont été vérifiées (contrôle optionnel).
Tout dossier à l’état « Validé » reste modifiable (les notes et observations déjà présentes sont figées mais de nouvelles notes et observations peuvent être rédigées). Par ailleurs de nouvelles décisions peuvent être prises (en fonction de l’évolution de la situation du patient) ce qui a pour effet de renvoyer le dossier au début de son cycle de vie, à savoir à l’état « Actif ». </t>
  </si>
  <si>
    <t>CLOTURE</t>
  </si>
  <si>
    <t>Cloturé</t>
  </si>
  <si>
    <t>Etat « Clôturé » : tout dossier à l’état « Validé » passera à l’état « Clôturé » 24 heures après son passage à l’état « Actif ». Dès lors que le dossier est à l’état « Clôturé », le dossier n’est plus modifiable, sauf autorisation spécifique sur des champs précis. Par ailleurs, contrairement à l’état « Validé », un dossier à l’état « Clôturé » n’est plus réactivable (tout nouvel appel concernant le dossier qui nécessiterait une nouvelle prise de décision conduirait à l’ouverture d’un nouveau dossier). L’état « Clôturé » incarne la phase médico-administrative du dossier permettant la bonne tenue des tâches suivantes : 
- tâches médicales pour certains DRM : contrôles qualité, certificats médicaux, attestations, courriers au médecin traitant…
- tâches de secrétariat et actions administratives : prescriptions de transport, contrôles qualité, courriers, pré facturations, facturations, etc.</t>
  </si>
  <si>
    <t>CLASSE</t>
  </si>
  <si>
    <t>Classé</t>
  </si>
  <si>
    <t>Etat « Classé » : le passage à l’état « Classé » incarne la fin de la phase médico-administrative. Le dossier atteint cet état dès lors qu’il est à l’état « Clôturé ». Tout dossier à l’état « Classé » n’est plus modifiable (seules des notes peuvent être ajoutées par certains utilisateurs autorisés). Le passage à l’état « Classé » est par ailleurs automatique 3 mois après l’ouverture du dossier.</t>
  </si>
  <si>
    <t>ARCHIVE</t>
  </si>
  <si>
    <t>Archivé</t>
  </si>
  <si>
    <t>Etat « Archivé » : un dossier passera à l’état « Archivé » dès lors qu’il est à l’état « Classé » et qu’il respecte toutes les obligations du test d’archivage. Dès lors que le dossier est « Archivé », toute modification de champs devient impossible. Le dossier n’est par ailleurs plus disponible dans le SI-Samu (les données utiles à des fins statistiques seront anonymisées dans le respect des règles en vigueur et conservées dans les bases de données existantes). L’archivage ne pourra être réalisé qu’après un délai minimal à respecter (ex : 2 ou 5 ans)</t>
  </si>
  <si>
    <t>NOMBRE_Patient_Victime</t>
  </si>
  <si>
    <t>Décrit le nombre de patient/victimes</t>
  </si>
  <si>
    <t>PLUSIEURS</t>
  </si>
  <si>
    <t>BEAUCOUP</t>
  </si>
  <si>
    <t>INCONNU</t>
  </si>
  <si>
    <t>NON DEFINI</t>
  </si>
  <si>
    <t>TYPE_Patient_Victime</t>
  </si>
  <si>
    <t>Décrit le type de patient/victime principal</t>
  </si>
  <si>
    <t>NOURRISSON</t>
  </si>
  <si>
    <t>ENFANT</t>
  </si>
  <si>
    <t>ADULTE</t>
  </si>
  <si>
    <t>SENIOR</t>
  </si>
  <si>
    <t>ENCEINTE</t>
  </si>
  <si>
    <t>SI-SAMU</t>
  </si>
  <si>
    <t>DEVENIRD</t>
  </si>
  <si>
    <t>Décrit le type de dossier, et son attribution</t>
  </si>
  <si>
    <t>DRM</t>
  </si>
  <si>
    <t>Dossier de régulation médicale</t>
  </si>
  <si>
    <t>DRM.MRU</t>
  </si>
  <si>
    <t>DRM MRU</t>
  </si>
  <si>
    <t>Dossier de type médecine d’urgence</t>
  </si>
  <si>
    <t>DRM.MRU.MU</t>
  </si>
  <si>
    <t xml:space="preserve"> </t>
  </si>
  <si>
    <t>Régulation MU</t>
  </si>
  <si>
    <t>Dossier de type médecine d’urgence régulé par un médecin urgentiste. Le dossier devient de type DRM</t>
  </si>
  <si>
    <t>DRM.MRU.INDISPMU</t>
  </si>
  <si>
    <t>Régulation ML par indisponibilité MU</t>
  </si>
  <si>
    <t>Dossier de type médecine d'urgence régulé par un médecin libéral du fait de l’indisponibilité des MU. Le dossier devient de type DRM</t>
  </si>
  <si>
    <t>DRM.MRU.SSE</t>
  </si>
  <si>
    <t>Régulation de crise - NOVI</t>
  </si>
  <si>
    <t>Dossier relevant de la gestion de crise – NOmbreuses Victimes. Le dossier devient de type DRM</t>
  </si>
  <si>
    <t>DRM.MRU.PLANBLAN</t>
  </si>
  <si>
    <t>Régulation Plan Blanc</t>
  </si>
  <si>
    <t>Dossier régulé dans le cadre d’ un dispositif plan blanc. Le dossier devient de type DRM</t>
  </si>
  <si>
    <t>DRM.MRU.PCSAMU</t>
  </si>
  <si>
    <t>Régulation par un PC mobile</t>
  </si>
  <si>
    <t>Dossier régulé depuis un poste de commandement  mobile. Le dossier devient de type DRM</t>
  </si>
  <si>
    <t>DRM.SPE</t>
  </si>
  <si>
    <t>DRM SPE</t>
  </si>
  <si>
    <t>DRM.SPE.DENT</t>
  </si>
  <si>
    <t>Régulation dentaire</t>
  </si>
  <si>
    <t>Dossier régulé par un chirurgien dentiste au sein du CRRA. Le dossier devient de type DRM</t>
  </si>
  <si>
    <t>DRM.SPE.GERIA</t>
  </si>
  <si>
    <t>Régulation gériatrique</t>
  </si>
  <si>
    <t>Dossier régulé par un gériatre au sein du CRRA. Le dossier devient de type DRM</t>
  </si>
  <si>
    <t>DRM.SPE.PEDIA</t>
  </si>
  <si>
    <t>Régulation pédiatrie</t>
  </si>
  <si>
    <t>Dossier régulé par un pédiatre au sein du CRRA. Le dossier devient de type DRM</t>
  </si>
  <si>
    <t>DRM.SPE.OBST</t>
  </si>
  <si>
    <t>Régulation obstétrique</t>
  </si>
  <si>
    <t>Dossier relevant d'une coordination périnatale. Le dossier devient de type DRM</t>
  </si>
  <si>
    <t>DRM.SPE.PSY</t>
  </si>
  <si>
    <t>Régulation psychiatrie</t>
  </si>
  <si>
    <t>Dossier régulé par un psychiatre au sein du CRRA. Le dossier devient de type DRM</t>
  </si>
  <si>
    <t>DRM.SPE.TOXICOL</t>
  </si>
  <si>
    <t>Régulation toxicologique</t>
  </si>
  <si>
    <t>Dossier régulé par un toxicologue au sein du CRRA. Le dossier devient de type DRM</t>
  </si>
  <si>
    <t>DRM.SPE.AUTRESPE</t>
  </si>
  <si>
    <t>Régulation autre spécialité</t>
  </si>
  <si>
    <t>DRM.MRL</t>
  </si>
  <si>
    <t>DRM MRL</t>
  </si>
  <si>
    <t>Dossier de type médecine libérale</t>
  </si>
  <si>
    <t>DRM.MRL.MG</t>
  </si>
  <si>
    <t>Régulation ML</t>
  </si>
  <si>
    <t>Dossier de type médecine libérale régulé par un médecin libéral. Le dossier devient de type DRM</t>
  </si>
  <si>
    <t>DRM.MRL.INDISPMG</t>
  </si>
  <si>
    <t>Régulation MU par indisponibilité ML</t>
  </si>
  <si>
    <t>Dossier de type médecine libérale régulé par un médecin urgentiste du fait de l’indisponibilité des ML. Le dossier devient de type DRM</t>
  </si>
  <si>
    <t>DRM.MRL.ABSML</t>
  </si>
  <si>
    <t>Régulation MU par absence de régulation ML</t>
  </si>
  <si>
    <t>Dossier de type médecine libérale régulé par un médecin urgentiste du fait de l’absence de régulation ML. Le dossier devient de type DRM</t>
  </si>
  <si>
    <t>DR</t>
  </si>
  <si>
    <t>Dossier de régulation</t>
  </si>
  <si>
    <t>DR.DREG</t>
  </si>
  <si>
    <t>Dossier Régulation</t>
  </si>
  <si>
    <t>DR.DREG.DRARM</t>
  </si>
  <si>
    <t>Pas d’acte de régulation médicale - Prise en charge ARM</t>
  </si>
  <si>
    <t>Dossier ne relevant pas de la régulation médicale et pas dans le cadre des autre cas identifié (voir cas suivant). Le dossier est de type DR</t>
  </si>
  <si>
    <t>DR.DREG.DRDAC</t>
  </si>
  <si>
    <t>Pas d’acte de régulation médicale - Prise en charge DAC</t>
  </si>
  <si>
    <t>DR.DREG.DRMED</t>
  </si>
  <si>
    <t>Pas d’acte de régulation médicale - Transmission d'informations sur un médecin (procédure dégradée)</t>
  </si>
  <si>
    <t>Dossier ne relevant pas de la régulation médicale – réponse apportée à une demande de renseignements sur un médecin. Le dossier est de type DR</t>
  </si>
  <si>
    <t>DR.DREG.DRPHARMA</t>
  </si>
  <si>
    <t>Pas d’acte de régulation médicale - Transmission d'informations sur une pharmacie</t>
  </si>
  <si>
    <t>Dossier ne relevant pas de la régulation médicale – réponse apportée à une demande de renseignements sur une pharmacie. Le dossier est de type DR</t>
  </si>
  <si>
    <t>DR.DREG.DRDENT</t>
  </si>
  <si>
    <t>Pas d’acte de régulation médicale - Transmission d'informations sur un dentiste</t>
  </si>
  <si>
    <t>Dossier ne relevant pas de la régulation médicale – réponse apportée à une demande de renseignements sur un dentiste. Le dossier est de type DR</t>
  </si>
  <si>
    <t>DR.DREG.DRINFO</t>
  </si>
  <si>
    <t>Pas d’acte de régulation médicale - Information générale</t>
  </si>
  <si>
    <t>Dossier ne relevant pas de la régulation médicale – réponse apportée à une demande de renseignements d’ordre général. Le dossier est de type DR</t>
  </si>
  <si>
    <t>DR.DREG.DOS-SIS</t>
  </si>
  <si>
    <t>Pas d’acte de régulation médicale - Appel pour les pompiers</t>
  </si>
  <si>
    <t>Dossier ne rentrant pas dans le cadre des missions du Samu et confié aux pompiers. Le dossier est de type DR</t>
  </si>
  <si>
    <t>DR.DREG.DOS-FDO</t>
  </si>
  <si>
    <t>Pas d’acte de régulation médicale - Appel pour les forces de l’ordre</t>
  </si>
  <si>
    <t>Dossier ne rentrant pas dans le cadre des missions du Samu et confié aux forces de l'ordre. Le dossier est de type DR</t>
  </si>
  <si>
    <t>D</t>
  </si>
  <si>
    <t>Dossier</t>
  </si>
  <si>
    <t>D.D-MALV</t>
  </si>
  <si>
    <t>Erreur / Malveillant</t>
  </si>
  <si>
    <t>Dossier de type erreur ou appel malveillant</t>
  </si>
  <si>
    <t>D.D-MALV.ERR</t>
  </si>
  <si>
    <t>Erreur de numéro, erreur d'acheminement</t>
  </si>
  <si>
    <t>Le requérant s’est trompé de numéro de téléphone ou a mal été orienté par un interlocuteur précédent. Le dossier reste de type D</t>
  </si>
  <si>
    <t>D.D-MALV.NRP</t>
  </si>
  <si>
    <t xml:space="preserve">Appel raccroché / pas de réponse </t>
  </si>
  <si>
    <t>L’appel est raccroché ou sans réponse de l’appelant à l’ouverture du dossier. Le dossier reste de type D</t>
  </si>
  <si>
    <t>D.D-MALV.MALV</t>
  </si>
  <si>
    <t>Appel malveillant, canular</t>
  </si>
  <si>
    <t>Appel malveillant : insultes, canular, fausses informations. Il ne s’agit pas d’une erreur de numéro. Le dossier reste de type D</t>
  </si>
  <si>
    <t>D.D-MALV.FAX</t>
  </si>
  <si>
    <t>Tonalité de fax, porteuse</t>
  </si>
  <si>
    <t>Tonalité de fax ou d’une porteuse  présente au décroché. Le dossier reste de type D</t>
  </si>
  <si>
    <t>D.D-MALV.ITERATIF</t>
  </si>
  <si>
    <t>Dossier existant, appel itératif (hors SI-Samu)</t>
  </si>
  <si>
    <t>Appels pour un dossier déjà existant. Entraine la recherche et l’ouverture du dossier préexistant avec rattachement de l’appel à ce dossier (option à supprimer dès l'intégration au SI-Samu)</t>
  </si>
  <si>
    <t>D.D-IDENT</t>
  </si>
  <si>
    <t>Appel identifié</t>
  </si>
  <si>
    <t>Dossier en rapport avec un appel qui n'est ni un DR ni un DRM</t>
  </si>
  <si>
    <t>D.D-IDENT.ADMIN</t>
  </si>
  <si>
    <t>Appel administratif</t>
  </si>
  <si>
    <t>Dossier ne relevant pas de la régulation médicale – et concerne la gestion administrative d’un dossier clôturé. Le dossier reste de type D</t>
  </si>
  <si>
    <t>D.D-IDENT.PERSO</t>
  </si>
  <si>
    <t>Appel personnel</t>
  </si>
  <si>
    <t>L’appel concerne une communication pour un membre du personnel et a un caractère privé. Le dossier reste de type D</t>
  </si>
  <si>
    <t>D.D-IDENT.AUTRE</t>
  </si>
  <si>
    <t>Autre type d’appel</t>
  </si>
  <si>
    <t>Autre type d’appel non régulé et relevant pas d’un problème médical, social ou sanitaire. Le dossier reste de type D</t>
  </si>
  <si>
    <t>PRIORITE</t>
  </si>
  <si>
    <t>Décrit la priorité de régulation médicale.</t>
  </si>
  <si>
    <t>P0</t>
  </si>
  <si>
    <t>Urgence vitale</t>
  </si>
  <si>
    <t>Régulation médicale pour une urgence vitale</t>
  </si>
  <si>
    <t>P1</t>
  </si>
  <si>
    <t>Prioritaire</t>
  </si>
  <si>
    <t>Régulation médicale urgente et prioritaire</t>
  </si>
  <si>
    <t>P2</t>
  </si>
  <si>
    <t>Non Urgent</t>
  </si>
  <si>
    <t>Régulation médicale non urgente (valeur attribuée par défaut)</t>
  </si>
  <si>
    <t>P3</t>
  </si>
  <si>
    <t>Différé</t>
  </si>
  <si>
    <t xml:space="preserve">Régulation médicale différée </t>
  </si>
  <si>
    <t>NR</t>
  </si>
  <si>
    <t>Non régulé</t>
  </si>
  <si>
    <t>Pas d’acte de régulation médicale</t>
  </si>
  <si>
    <t>SOURCE_Id_Lieu</t>
  </si>
  <si>
    <t>Décrit le type d'idenfiant possible pour un lieu  (société / établissement)</t>
  </si>
  <si>
    <t>FINESS_ADMINISTRATIF</t>
  </si>
  <si>
    <t>FINESS_GEOGRAPHIQUE</t>
  </si>
  <si>
    <t>SIREN</t>
  </si>
  <si>
    <t>SIRET</t>
  </si>
  <si>
    <t>APE_NAF</t>
  </si>
  <si>
    <t>PRECISION</t>
  </si>
  <si>
    <t>Décrit le niveau de précision des coordonnées GPS envoyées</t>
  </si>
  <si>
    <t>VILLE</t>
  </si>
  <si>
    <t>Précision à l'échelle de la ville</t>
  </si>
  <si>
    <t>RUE</t>
  </si>
  <si>
    <t>Précision à l'échelle de la rue</t>
  </si>
  <si>
    <t>ADRESSE</t>
  </si>
  <si>
    <t>Adresse précise</t>
  </si>
  <si>
    <t>EXACTE</t>
  </si>
  <si>
    <t>Point coordonnée GPS exact</t>
  </si>
  <si>
    <t>INCONNUE</t>
  </si>
  <si>
    <t>Précision de la localisation non évaluable par l'émetteur</t>
  </si>
  <si>
    <t>SOURCE_Loc</t>
  </si>
  <si>
    <t>Décrit le système fournissant le localisant</t>
  </si>
  <si>
    <t>BAN</t>
  </si>
  <si>
    <t>IGN</t>
  </si>
  <si>
    <t>NEXSIS</t>
  </si>
  <si>
    <t>TYPE_Objet_Sys</t>
  </si>
  <si>
    <t>Décrit le type d'objet dans le système</t>
  </si>
  <si>
    <t>MANUEL</t>
  </si>
  <si>
    <t>CARTE</t>
  </si>
  <si>
    <t>PHOTO</t>
  </si>
  <si>
    <t>SITE_INTERNET</t>
  </si>
  <si>
    <t>SIGNALEMENT</t>
  </si>
  <si>
    <t>Décrit le niveau de signalement de l'alerte</t>
  </si>
  <si>
    <t>STANDARD</t>
  </si>
  <si>
    <t>ATTENTION</t>
  </si>
  <si>
    <t>CONTACT_Canal</t>
  </si>
  <si>
    <t>Décrit le type de canal utilisé pour le contact</t>
  </si>
  <si>
    <t>APPLICATION</t>
  </si>
  <si>
    <t>BAU</t>
  </si>
  <si>
    <t>DAU</t>
  </si>
  <si>
    <t>DEFIBRILLATEUR</t>
  </si>
  <si>
    <t>ECALL</t>
  </si>
  <si>
    <t>PERSONNE</t>
  </si>
  <si>
    <t>CONTACT_Type</t>
  </si>
  <si>
    <t>Décrit le type de contact</t>
  </si>
  <si>
    <t>EMAIL</t>
  </si>
  <si>
    <t>FAX</t>
  </si>
  <si>
    <t>MSS</t>
  </si>
  <si>
    <t>POSTAL</t>
  </si>
  <si>
    <t>RADIO</t>
  </si>
  <si>
    <t>TEL</t>
  </si>
  <si>
    <t>WEB</t>
  </si>
  <si>
    <t>ISO-639.1</t>
  </si>
  <si>
    <t>LANGUE</t>
  </si>
  <si>
    <t>Décrit la langue parlée par l'appelant / le requérant.  Source : https://www.loc.gov/standards/iso639-2/php/code_list.php</t>
  </si>
  <si>
    <t>aa</t>
  </si>
  <si>
    <t>Afar</t>
  </si>
  <si>
    <t>afar</t>
  </si>
  <si>
    <t>ab</t>
  </si>
  <si>
    <t>Abkhazian</t>
  </si>
  <si>
    <t>abkhaze</t>
  </si>
  <si>
    <t>ae</t>
  </si>
  <si>
    <t>Avestan</t>
  </si>
  <si>
    <t>avestique</t>
  </si>
  <si>
    <t>af</t>
  </si>
  <si>
    <t>Afrikaans</t>
  </si>
  <si>
    <t>afrikaans</t>
  </si>
  <si>
    <t>ak</t>
  </si>
  <si>
    <t>Akan</t>
  </si>
  <si>
    <t>akan</t>
  </si>
  <si>
    <t>am</t>
  </si>
  <si>
    <t>Amharic</t>
  </si>
  <si>
    <t>amharique</t>
  </si>
  <si>
    <t>an</t>
  </si>
  <si>
    <t>Aragonese</t>
  </si>
  <si>
    <t>aragonais</t>
  </si>
  <si>
    <t>ar</t>
  </si>
  <si>
    <t>Arabic</t>
  </si>
  <si>
    <t>arabe</t>
  </si>
  <si>
    <t>as</t>
  </si>
  <si>
    <t>Assamese</t>
  </si>
  <si>
    <t>assamais</t>
  </si>
  <si>
    <t>av</t>
  </si>
  <si>
    <t>Avaric</t>
  </si>
  <si>
    <t>avar</t>
  </si>
  <si>
    <t>ay</t>
  </si>
  <si>
    <t>Aymara</t>
  </si>
  <si>
    <t>aymara</t>
  </si>
  <si>
    <t>az</t>
  </si>
  <si>
    <t>Azerbaijani</t>
  </si>
  <si>
    <t>azéri</t>
  </si>
  <si>
    <t>ba</t>
  </si>
  <si>
    <t>Bashkir</t>
  </si>
  <si>
    <t>bachkir</t>
  </si>
  <si>
    <t>be</t>
  </si>
  <si>
    <t>Belarusian</t>
  </si>
  <si>
    <t>biélorusse</t>
  </si>
  <si>
    <t>bg</t>
  </si>
  <si>
    <t>Bulgarian</t>
  </si>
  <si>
    <t>bulgare</t>
  </si>
  <si>
    <t>bi</t>
  </si>
  <si>
    <t>Bislama</t>
  </si>
  <si>
    <t>bichlamar</t>
  </si>
  <si>
    <t>bm</t>
  </si>
  <si>
    <t>Bambara</t>
  </si>
  <si>
    <t>bambara</t>
  </si>
  <si>
    <t>bn</t>
  </si>
  <si>
    <t>Bengali</t>
  </si>
  <si>
    <t>bengali</t>
  </si>
  <si>
    <t>bo</t>
  </si>
  <si>
    <t>Tibetan</t>
  </si>
  <si>
    <t>tibétain</t>
  </si>
  <si>
    <t>br</t>
  </si>
  <si>
    <t>Breton</t>
  </si>
  <si>
    <t>breton</t>
  </si>
  <si>
    <t>bs</t>
  </si>
  <si>
    <t>Bosnian</t>
  </si>
  <si>
    <t>bosniaque</t>
  </si>
  <si>
    <t>ca</t>
  </si>
  <si>
    <t>Catalan; Valencian</t>
  </si>
  <si>
    <t>catalan; valencien</t>
  </si>
  <si>
    <t>ce</t>
  </si>
  <si>
    <t>Chechen</t>
  </si>
  <si>
    <t>tchétchène</t>
  </si>
  <si>
    <t>ch</t>
  </si>
  <si>
    <t>Chamorro</t>
  </si>
  <si>
    <t>chamorro</t>
  </si>
  <si>
    <t>co</t>
  </si>
  <si>
    <t>Corsican</t>
  </si>
  <si>
    <t>corse</t>
  </si>
  <si>
    <t>cr</t>
  </si>
  <si>
    <t>Cree</t>
  </si>
  <si>
    <t>cree</t>
  </si>
  <si>
    <t>cs</t>
  </si>
  <si>
    <t>Czech</t>
  </si>
  <si>
    <t>tchèque</t>
  </si>
  <si>
    <t>cu</t>
  </si>
  <si>
    <t>Church Slavic; Old Slavonic; Church Slavonic; Old Bulgarian; Old Church Slavonic</t>
  </si>
  <si>
    <t>slavon d'église; vieux slave; slavon liturgique; vieux bulgare</t>
  </si>
  <si>
    <t>cv</t>
  </si>
  <si>
    <t>Chuvash</t>
  </si>
  <si>
    <t>tchouvache</t>
  </si>
  <si>
    <t>cy</t>
  </si>
  <si>
    <t>Welsh</t>
  </si>
  <si>
    <t>gallois</t>
  </si>
  <si>
    <t>da</t>
  </si>
  <si>
    <t>Danish</t>
  </si>
  <si>
    <t>danois</t>
  </si>
  <si>
    <t>de</t>
  </si>
  <si>
    <t>German</t>
  </si>
  <si>
    <t>allemand</t>
  </si>
  <si>
    <t>dv</t>
  </si>
  <si>
    <t>Divehi; Dhivehi; Maldivian</t>
  </si>
  <si>
    <t>maldivien</t>
  </si>
  <si>
    <t>dz</t>
  </si>
  <si>
    <t>Dzongkha</t>
  </si>
  <si>
    <t>dzongkha</t>
  </si>
  <si>
    <t>ee</t>
  </si>
  <si>
    <t>Ewe</t>
  </si>
  <si>
    <t>éwé</t>
  </si>
  <si>
    <t>el</t>
  </si>
  <si>
    <t>Greek, Modern (1453-)</t>
  </si>
  <si>
    <t>grec moderne (après 1453)</t>
  </si>
  <si>
    <t>en</t>
  </si>
  <si>
    <t>English</t>
  </si>
  <si>
    <t>anglais</t>
  </si>
  <si>
    <t>eo</t>
  </si>
  <si>
    <t>Esperanto</t>
  </si>
  <si>
    <t>espéranto</t>
  </si>
  <si>
    <t>es</t>
  </si>
  <si>
    <t>Spanish; Castilian</t>
  </si>
  <si>
    <t>espagnol; castillan</t>
  </si>
  <si>
    <t>et</t>
  </si>
  <si>
    <t>Estonian</t>
  </si>
  <si>
    <t>estonien</t>
  </si>
  <si>
    <t>eu</t>
  </si>
  <si>
    <t>Basque</t>
  </si>
  <si>
    <t>basque</t>
  </si>
  <si>
    <t>fa</t>
  </si>
  <si>
    <t>Persian</t>
  </si>
  <si>
    <t>persan</t>
  </si>
  <si>
    <t>ff</t>
  </si>
  <si>
    <t>Fulah</t>
  </si>
  <si>
    <t>peul</t>
  </si>
  <si>
    <t>fi</t>
  </si>
  <si>
    <t>Finnish</t>
  </si>
  <si>
    <t>finnois</t>
  </si>
  <si>
    <t>fj</t>
  </si>
  <si>
    <t>Fijian</t>
  </si>
  <si>
    <t>fidjien</t>
  </si>
  <si>
    <t>fo</t>
  </si>
  <si>
    <t>Faroese</t>
  </si>
  <si>
    <t>féroïen</t>
  </si>
  <si>
    <t>fr</t>
  </si>
  <si>
    <t>French</t>
  </si>
  <si>
    <t>français</t>
  </si>
  <si>
    <t>fy</t>
  </si>
  <si>
    <t>Western Frisian</t>
  </si>
  <si>
    <t>frison occidental</t>
  </si>
  <si>
    <t>ga</t>
  </si>
  <si>
    <t>Irish</t>
  </si>
  <si>
    <t>irlandais</t>
  </si>
  <si>
    <t>gd</t>
  </si>
  <si>
    <t>Gaelic; Scottish Gaelic</t>
  </si>
  <si>
    <t>gaélique; gaélique écossais</t>
  </si>
  <si>
    <t>gl</t>
  </si>
  <si>
    <t>Galician</t>
  </si>
  <si>
    <t>galicien</t>
  </si>
  <si>
    <t>gn</t>
  </si>
  <si>
    <t>Guarani</t>
  </si>
  <si>
    <t>guarani</t>
  </si>
  <si>
    <t>gu</t>
  </si>
  <si>
    <t>Gujarati</t>
  </si>
  <si>
    <t>goudjrati</t>
  </si>
  <si>
    <t>gv</t>
  </si>
  <si>
    <t>Manx</t>
  </si>
  <si>
    <t>manx; mannois</t>
  </si>
  <si>
    <t>ha</t>
  </si>
  <si>
    <t>Hausa</t>
  </si>
  <si>
    <t>haoussa</t>
  </si>
  <si>
    <t>he</t>
  </si>
  <si>
    <t>Hebrew</t>
  </si>
  <si>
    <t>hébreu</t>
  </si>
  <si>
    <t>hi</t>
  </si>
  <si>
    <t>Hindi</t>
  </si>
  <si>
    <t>hindi</t>
  </si>
  <si>
    <t>ho</t>
  </si>
  <si>
    <t>Hiri Motu</t>
  </si>
  <si>
    <t>hiri motu</t>
  </si>
  <si>
    <t>hr</t>
  </si>
  <si>
    <t>Croatian</t>
  </si>
  <si>
    <t>croate</t>
  </si>
  <si>
    <t>ht</t>
  </si>
  <si>
    <t>Haitian; Haitian Creole</t>
  </si>
  <si>
    <t>haïtien; créole haïtien</t>
  </si>
  <si>
    <t>hu</t>
  </si>
  <si>
    <t>Hungarian</t>
  </si>
  <si>
    <t>hongrois</t>
  </si>
  <si>
    <t>hy</t>
  </si>
  <si>
    <t>Armenian</t>
  </si>
  <si>
    <t>arménien</t>
  </si>
  <si>
    <t>hz</t>
  </si>
  <si>
    <t>Herero</t>
  </si>
  <si>
    <t>herero</t>
  </si>
  <si>
    <t>ia</t>
  </si>
  <si>
    <t>Interlingua (International Auxiliary Language Association)</t>
  </si>
  <si>
    <t>interlingua (langue auxiliaire internationale)</t>
  </si>
  <si>
    <t>id</t>
  </si>
  <si>
    <t>Indonesian</t>
  </si>
  <si>
    <t>indonésien</t>
  </si>
  <si>
    <t>ie</t>
  </si>
  <si>
    <t>Interlingue; Occidental</t>
  </si>
  <si>
    <t>interlingue</t>
  </si>
  <si>
    <t>ig</t>
  </si>
  <si>
    <t>Igbo</t>
  </si>
  <si>
    <t>igbo</t>
  </si>
  <si>
    <t>ii</t>
  </si>
  <si>
    <t>Sichuan Yi; Nuosu</t>
  </si>
  <si>
    <t>yi de Sichuan</t>
  </si>
  <si>
    <t>ik</t>
  </si>
  <si>
    <t>Inupiaq</t>
  </si>
  <si>
    <t>inupiaq</t>
  </si>
  <si>
    <t>io</t>
  </si>
  <si>
    <t>Ido</t>
  </si>
  <si>
    <t>ido</t>
  </si>
  <si>
    <t>is</t>
  </si>
  <si>
    <t>Icelandic</t>
  </si>
  <si>
    <t>islandais</t>
  </si>
  <si>
    <t>it</t>
  </si>
  <si>
    <t>Italian</t>
  </si>
  <si>
    <t>italien</t>
  </si>
  <si>
    <t>iu</t>
  </si>
  <si>
    <t>Inuktitut</t>
  </si>
  <si>
    <t>inuktitut</t>
  </si>
  <si>
    <t>ja</t>
  </si>
  <si>
    <t>Japanese</t>
  </si>
  <si>
    <t>japonais</t>
  </si>
  <si>
    <t>jv</t>
  </si>
  <si>
    <t>Javanese</t>
  </si>
  <si>
    <t>javanais</t>
  </si>
  <si>
    <t>ka</t>
  </si>
  <si>
    <t>Georgian</t>
  </si>
  <si>
    <t>géorgien</t>
  </si>
  <si>
    <t>kg</t>
  </si>
  <si>
    <t>Kongo</t>
  </si>
  <si>
    <t>kongo</t>
  </si>
  <si>
    <t>ki</t>
  </si>
  <si>
    <t>Kikuyu; Gikuyu</t>
  </si>
  <si>
    <t>kikuyu</t>
  </si>
  <si>
    <t>kj</t>
  </si>
  <si>
    <t>Kuanyama; Kwanyama</t>
  </si>
  <si>
    <t>kuanyama; kwanyama</t>
  </si>
  <si>
    <t>kk</t>
  </si>
  <si>
    <t>Kazakh</t>
  </si>
  <si>
    <t>kazakh</t>
  </si>
  <si>
    <t>kl</t>
  </si>
  <si>
    <t>Kalaallisut; Greenlandic</t>
  </si>
  <si>
    <t>groenlandais</t>
  </si>
  <si>
    <t>km</t>
  </si>
  <si>
    <t>Central Khmer</t>
  </si>
  <si>
    <t>khmer central</t>
  </si>
  <si>
    <t>kn</t>
  </si>
  <si>
    <t>Kannada</t>
  </si>
  <si>
    <t>kannada</t>
  </si>
  <si>
    <t>ko</t>
  </si>
  <si>
    <t>Korean</t>
  </si>
  <si>
    <t>coréen</t>
  </si>
  <si>
    <t>kr</t>
  </si>
  <si>
    <t>Kanuri</t>
  </si>
  <si>
    <t>kanouri</t>
  </si>
  <si>
    <t>ks</t>
  </si>
  <si>
    <t>Kashmiri</t>
  </si>
  <si>
    <t>kashmiri</t>
  </si>
  <si>
    <t>ku</t>
  </si>
  <si>
    <t>Kurdish</t>
  </si>
  <si>
    <t>kurde</t>
  </si>
  <si>
    <t>kv</t>
  </si>
  <si>
    <t>Komi</t>
  </si>
  <si>
    <t>kom</t>
  </si>
  <si>
    <t>kw</t>
  </si>
  <si>
    <t>Cornish</t>
  </si>
  <si>
    <t>cornique</t>
  </si>
  <si>
    <t>ky</t>
  </si>
  <si>
    <t>Kirghiz; Kyrgyz</t>
  </si>
  <si>
    <t>kirghiz</t>
  </si>
  <si>
    <t>la</t>
  </si>
  <si>
    <t>Latin</t>
  </si>
  <si>
    <t>latin</t>
  </si>
  <si>
    <t>lb</t>
  </si>
  <si>
    <t>Luxembourgish; Letzeburgesch</t>
  </si>
  <si>
    <t>luxembourgeois</t>
  </si>
  <si>
    <t>lg</t>
  </si>
  <si>
    <t>Ganda</t>
  </si>
  <si>
    <t>ganda</t>
  </si>
  <si>
    <t>li</t>
  </si>
  <si>
    <t>Limburgan; Limburger; Limburgish</t>
  </si>
  <si>
    <t>limbourgeois</t>
  </si>
  <si>
    <t>ln</t>
  </si>
  <si>
    <t>Lingala</t>
  </si>
  <si>
    <t>lingala</t>
  </si>
  <si>
    <t>lo</t>
  </si>
  <si>
    <t>Lao</t>
  </si>
  <si>
    <t>lao</t>
  </si>
  <si>
    <t>lt</t>
  </si>
  <si>
    <t>Lithuanian</t>
  </si>
  <si>
    <t>lituanien</t>
  </si>
  <si>
    <t>lu</t>
  </si>
  <si>
    <t>Luba-Katanga</t>
  </si>
  <si>
    <t>luba-katanga</t>
  </si>
  <si>
    <t>lv</t>
  </si>
  <si>
    <t>Latvian</t>
  </si>
  <si>
    <t>letton</t>
  </si>
  <si>
    <t>mg</t>
  </si>
  <si>
    <t>Malagasy</t>
  </si>
  <si>
    <t>malgache</t>
  </si>
  <si>
    <t>mh</t>
  </si>
  <si>
    <t>Marshallese</t>
  </si>
  <si>
    <t>marshall</t>
  </si>
  <si>
    <t>mi</t>
  </si>
  <si>
    <t>Maori</t>
  </si>
  <si>
    <t>maori</t>
  </si>
  <si>
    <t>mk</t>
  </si>
  <si>
    <t>Macedonian</t>
  </si>
  <si>
    <t>macédonien</t>
  </si>
  <si>
    <t>ml</t>
  </si>
  <si>
    <t>Malayalam</t>
  </si>
  <si>
    <t>malayalam</t>
  </si>
  <si>
    <t>mn</t>
  </si>
  <si>
    <t>Mongolian</t>
  </si>
  <si>
    <t>mongol</t>
  </si>
  <si>
    <t>mr</t>
  </si>
  <si>
    <t>Marathi</t>
  </si>
  <si>
    <t>marathe</t>
  </si>
  <si>
    <t>ms</t>
  </si>
  <si>
    <t>Malay</t>
  </si>
  <si>
    <t>malais</t>
  </si>
  <si>
    <t>mt</t>
  </si>
  <si>
    <t>Maltese</t>
  </si>
  <si>
    <t>maltais</t>
  </si>
  <si>
    <t>my</t>
  </si>
  <si>
    <t>Burmese</t>
  </si>
  <si>
    <t>birman</t>
  </si>
  <si>
    <t>na</t>
  </si>
  <si>
    <t>Nauru</t>
  </si>
  <si>
    <t>nauruan</t>
  </si>
  <si>
    <t>nb</t>
  </si>
  <si>
    <t>Bokmål, Norwegian; Norwegian Bokmål</t>
  </si>
  <si>
    <t>norvégien bokmål</t>
  </si>
  <si>
    <t>nd</t>
  </si>
  <si>
    <t>Ndebele, North; North Ndebele</t>
  </si>
  <si>
    <t>ndébélé du Nord</t>
  </si>
  <si>
    <t>ne</t>
  </si>
  <si>
    <t>Nepali</t>
  </si>
  <si>
    <t>népalais</t>
  </si>
  <si>
    <t>ng</t>
  </si>
  <si>
    <t>Ndonga</t>
  </si>
  <si>
    <t>ndonga</t>
  </si>
  <si>
    <t>nl</t>
  </si>
  <si>
    <t>Dutch; Flemish</t>
  </si>
  <si>
    <t>néerlandais; flamand</t>
  </si>
  <si>
    <t>nn</t>
  </si>
  <si>
    <t>Norwegian Nynorsk; Nynorsk, Norwegian</t>
  </si>
  <si>
    <t>norvégien nynorsk; nynorsk, norvégien</t>
  </si>
  <si>
    <t>no</t>
  </si>
  <si>
    <t>Norwegian</t>
  </si>
  <si>
    <t>norvégien</t>
  </si>
  <si>
    <t>nr</t>
  </si>
  <si>
    <t>Ndebele, South; South Ndebele</t>
  </si>
  <si>
    <t>ndébélé du Sud</t>
  </si>
  <si>
    <t>nv</t>
  </si>
  <si>
    <t>Navajo; Navaho</t>
  </si>
  <si>
    <t>navaho</t>
  </si>
  <si>
    <t>ny</t>
  </si>
  <si>
    <t>Chichewa; Chewa; Nyanja</t>
  </si>
  <si>
    <t>chichewa; chewa; nyanja</t>
  </si>
  <si>
    <t>oc</t>
  </si>
  <si>
    <t>Occitan (post 1500)</t>
  </si>
  <si>
    <t>occitan (après 1500)</t>
  </si>
  <si>
    <t>oj</t>
  </si>
  <si>
    <t>Ojibwa</t>
  </si>
  <si>
    <t>ojibwa</t>
  </si>
  <si>
    <t>om</t>
  </si>
  <si>
    <t>Oromo</t>
  </si>
  <si>
    <t>galla</t>
  </si>
  <si>
    <t>or</t>
  </si>
  <si>
    <t>Oriya</t>
  </si>
  <si>
    <t>oriya</t>
  </si>
  <si>
    <t>os</t>
  </si>
  <si>
    <t>Ossetian; Ossetic</t>
  </si>
  <si>
    <t>ossète</t>
  </si>
  <si>
    <t>pa</t>
  </si>
  <si>
    <t>Panjabi; Punjabi</t>
  </si>
  <si>
    <t>pendjabi</t>
  </si>
  <si>
    <t>pi</t>
  </si>
  <si>
    <t>Pali</t>
  </si>
  <si>
    <t>pali</t>
  </si>
  <si>
    <t>pl</t>
  </si>
  <si>
    <t>Polish</t>
  </si>
  <si>
    <t>polonais</t>
  </si>
  <si>
    <t>ps</t>
  </si>
  <si>
    <t>Pushto; Pashto</t>
  </si>
  <si>
    <t>pachto</t>
  </si>
  <si>
    <t>pt</t>
  </si>
  <si>
    <t>Portuguese</t>
  </si>
  <si>
    <t>portugais</t>
  </si>
  <si>
    <t>qu</t>
  </si>
  <si>
    <t>Quechua</t>
  </si>
  <si>
    <t>quechua</t>
  </si>
  <si>
    <t>rm</t>
  </si>
  <si>
    <t>Romansh</t>
  </si>
  <si>
    <t>romanche</t>
  </si>
  <si>
    <t>rn</t>
  </si>
  <si>
    <t>Rundi</t>
  </si>
  <si>
    <t>rundi</t>
  </si>
  <si>
    <t>ro</t>
  </si>
  <si>
    <t>Romanian; Moldavian; Moldovan</t>
  </si>
  <si>
    <t>roumain; moldave</t>
  </si>
  <si>
    <t>ru</t>
  </si>
  <si>
    <t>Russian</t>
  </si>
  <si>
    <t>russe</t>
  </si>
  <si>
    <t>rw</t>
  </si>
  <si>
    <t>Kinyarwanda</t>
  </si>
  <si>
    <t>rwanda</t>
  </si>
  <si>
    <t>sa</t>
  </si>
  <si>
    <t>Sanskrit</t>
  </si>
  <si>
    <t>sanskrit</t>
  </si>
  <si>
    <t>sc</t>
  </si>
  <si>
    <t>Sardinian</t>
  </si>
  <si>
    <t>sarde</t>
  </si>
  <si>
    <t>sd</t>
  </si>
  <si>
    <t>Sindhi</t>
  </si>
  <si>
    <t>sindhi</t>
  </si>
  <si>
    <t>se</t>
  </si>
  <si>
    <t>Northern Sami</t>
  </si>
  <si>
    <t>sami du Nord</t>
  </si>
  <si>
    <t>sg</t>
  </si>
  <si>
    <t>Sango</t>
  </si>
  <si>
    <t>sango</t>
  </si>
  <si>
    <t>si</t>
  </si>
  <si>
    <t>Sinhala; Sinhalese</t>
  </si>
  <si>
    <t>singhalais</t>
  </si>
  <si>
    <t>sk</t>
  </si>
  <si>
    <t>Slovak</t>
  </si>
  <si>
    <t>slovaque</t>
  </si>
  <si>
    <t>sl</t>
  </si>
  <si>
    <t>Slovenian</t>
  </si>
  <si>
    <t>slovène</t>
  </si>
  <si>
    <t>sm</t>
  </si>
  <si>
    <t>Samoan</t>
  </si>
  <si>
    <t>samoan</t>
  </si>
  <si>
    <t>sn</t>
  </si>
  <si>
    <t>Shona</t>
  </si>
  <si>
    <t>shona</t>
  </si>
  <si>
    <t>so</t>
  </si>
  <si>
    <t>Somali</t>
  </si>
  <si>
    <t>somali</t>
  </si>
  <si>
    <t>sq</t>
  </si>
  <si>
    <t>Albanian</t>
  </si>
  <si>
    <t>albanais</t>
  </si>
  <si>
    <t>sr</t>
  </si>
  <si>
    <t>Serbian</t>
  </si>
  <si>
    <t>serbe</t>
  </si>
  <si>
    <t>ss</t>
  </si>
  <si>
    <t>Swati</t>
  </si>
  <si>
    <t>swati</t>
  </si>
  <si>
    <t>st</t>
  </si>
  <si>
    <t>Sotho, Southern</t>
  </si>
  <si>
    <t>sotho du Sud</t>
  </si>
  <si>
    <t>su</t>
  </si>
  <si>
    <t>Sundanese</t>
  </si>
  <si>
    <t>soundanais</t>
  </si>
  <si>
    <t>sv</t>
  </si>
  <si>
    <t>Swedish</t>
  </si>
  <si>
    <t>suédois</t>
  </si>
  <si>
    <t>sw</t>
  </si>
  <si>
    <t>Swahili</t>
  </si>
  <si>
    <t>swahili</t>
  </si>
  <si>
    <t>ta</t>
  </si>
  <si>
    <t>Tamil</t>
  </si>
  <si>
    <t>tamoul</t>
  </si>
  <si>
    <t>te</t>
  </si>
  <si>
    <t>Telugu</t>
  </si>
  <si>
    <t>télougou</t>
  </si>
  <si>
    <t>tg</t>
  </si>
  <si>
    <t>Tajik</t>
  </si>
  <si>
    <t>tadjik</t>
  </si>
  <si>
    <t>th</t>
  </si>
  <si>
    <t>Thai</t>
  </si>
  <si>
    <t>thaï</t>
  </si>
  <si>
    <t>ti</t>
  </si>
  <si>
    <t>Tigrinya</t>
  </si>
  <si>
    <t>tigrigna</t>
  </si>
  <si>
    <t>tk</t>
  </si>
  <si>
    <t>Turkmen</t>
  </si>
  <si>
    <t>turkmène</t>
  </si>
  <si>
    <t>tl</t>
  </si>
  <si>
    <t>Tagalog</t>
  </si>
  <si>
    <t>tagalog</t>
  </si>
  <si>
    <t>tn</t>
  </si>
  <si>
    <t>Tswana</t>
  </si>
  <si>
    <t>tswana</t>
  </si>
  <si>
    <t>to</t>
  </si>
  <si>
    <t>Tonga (Tonga Islands)</t>
  </si>
  <si>
    <t>tongan (Îles Tonga)</t>
  </si>
  <si>
    <t>tr</t>
  </si>
  <si>
    <t>Turkish</t>
  </si>
  <si>
    <t>turc</t>
  </si>
  <si>
    <t>ts</t>
  </si>
  <si>
    <t>Tsonga</t>
  </si>
  <si>
    <t>tsonga</t>
  </si>
  <si>
    <t>tt</t>
  </si>
  <si>
    <t>Tatar</t>
  </si>
  <si>
    <t>tatar</t>
  </si>
  <si>
    <t>tw</t>
  </si>
  <si>
    <t>Twi</t>
  </si>
  <si>
    <t>twi</t>
  </si>
  <si>
    <t>ty</t>
  </si>
  <si>
    <t>Tahitian</t>
  </si>
  <si>
    <t>tahitien</t>
  </si>
  <si>
    <t>ug</t>
  </si>
  <si>
    <t>Uighur; Uyghur</t>
  </si>
  <si>
    <t>ouïgour</t>
  </si>
  <si>
    <t>uk</t>
  </si>
  <si>
    <t>Ukrainian</t>
  </si>
  <si>
    <t>ukrainien</t>
  </si>
  <si>
    <t>ur</t>
  </si>
  <si>
    <t>Urdu</t>
  </si>
  <si>
    <t>ourdou</t>
  </si>
  <si>
    <t>uz</t>
  </si>
  <si>
    <t>Uzbek</t>
  </si>
  <si>
    <t>ouszbek</t>
  </si>
  <si>
    <t>ve</t>
  </si>
  <si>
    <t>Venda</t>
  </si>
  <si>
    <t>venda</t>
  </si>
  <si>
    <t>vi</t>
  </si>
  <si>
    <t>Vietnamese</t>
  </si>
  <si>
    <t>vietnamien</t>
  </si>
  <si>
    <t>vo</t>
  </si>
  <si>
    <t>Volapük</t>
  </si>
  <si>
    <t>volapük</t>
  </si>
  <si>
    <t>wa</t>
  </si>
  <si>
    <t>Walloon</t>
  </si>
  <si>
    <t>wallon</t>
  </si>
  <si>
    <t>wo</t>
  </si>
  <si>
    <t>Wolof</t>
  </si>
  <si>
    <t>wolof</t>
  </si>
  <si>
    <t>xh</t>
  </si>
  <si>
    <t>Xhosa</t>
  </si>
  <si>
    <t>xhosa</t>
  </si>
  <si>
    <t>yi</t>
  </si>
  <si>
    <t>Yiddish</t>
  </si>
  <si>
    <t>yiddish</t>
  </si>
  <si>
    <t>yo</t>
  </si>
  <si>
    <t>Yoruba</t>
  </si>
  <si>
    <t>yoruba</t>
  </si>
  <si>
    <t>za</t>
  </si>
  <si>
    <t>Zhuang; Chuang</t>
  </si>
  <si>
    <t>zhuang; chuang</t>
  </si>
  <si>
    <t>zh</t>
  </si>
  <si>
    <t>Chinese</t>
  </si>
  <si>
    <t>chinois</t>
  </si>
  <si>
    <t>zu</t>
  </si>
  <si>
    <t>Zulu</t>
  </si>
  <si>
    <t>zoulou</t>
  </si>
  <si>
    <t>TYPAPPLT</t>
  </si>
  <si>
    <t>Décrit le type de requérant/appelant</t>
  </si>
  <si>
    <t>SUJET</t>
  </si>
  <si>
    <t>Le patient lui-même</t>
  </si>
  <si>
    <t>Le patient lui-même, victime de l’événement signalé et bénéficiaire des moyens qui pourraient être décidés même s’il a une des fonctions ou titres ci-dessous.</t>
  </si>
  <si>
    <t>FAMILLE</t>
  </si>
  <si>
    <t>Famille ou proche du patient</t>
  </si>
  <si>
    <t xml:space="preserve">Requérant qui se présente comme membre de la famille ou proche (concubin, compagnon, colocataire, ...) de la victime de l’événement signalé même s’il a un des titres ou une des fonctions ci-dessous. </t>
  </si>
  <si>
    <t>TIERS</t>
  </si>
  <si>
    <t>Autre particulier ou passant</t>
  </si>
  <si>
    <t>Particulier qui n’a pas une des fonctions ou titres ci-dessous et qui ne fait pas partie de la famille de la victime.</t>
  </si>
  <si>
    <t>POMPIER</t>
  </si>
  <si>
    <t>Pompier</t>
  </si>
  <si>
    <t>Le requérant est un pompier professionnel ou volontaire en activité et agissant dans le cadre de sa profession au moment de l’appel.</t>
  </si>
  <si>
    <t>AMBULANC</t>
  </si>
  <si>
    <t xml:space="preserve">Ambulancier </t>
  </si>
  <si>
    <t>Le requérant est un ambulancier agissant dans le cadre de sa profession au moment de l’appel.</t>
  </si>
  <si>
    <t>AMBULANC.AASC</t>
  </si>
  <si>
    <t>Secouriste aasc</t>
  </si>
  <si>
    <t>Pour tout secouriste actif d'une association aggrée de sécurité civile et n’est pas un professionnel de santé.</t>
  </si>
  <si>
    <t>AMBULANC.AUTRESEC</t>
  </si>
  <si>
    <t>Autre secouriste</t>
  </si>
  <si>
    <t>Secouriste du travail ou requerant qui se revendique secouriste</t>
  </si>
  <si>
    <t>SECOUR</t>
  </si>
  <si>
    <t>Secouriste actif</t>
  </si>
  <si>
    <t>Pour tout secouriste actif ( secouriste du travail ou agissant pour une association de secourisme) mais uniquement s’il est en activité et n’est pas un professionnel de santé.</t>
  </si>
  <si>
    <t>MED</t>
  </si>
  <si>
    <t>Médecin</t>
  </si>
  <si>
    <t>Regroupe les médecins de toute spécialité, de tout statut mais uniquement s’ils sont en activité et agissent dans le cadre de leur profession au moment de l’appel.</t>
  </si>
  <si>
    <t>MED.MEDSOS</t>
  </si>
  <si>
    <t>Médecin SOS ou association PDS</t>
  </si>
  <si>
    <t>Déclinaison du type Médecin : Regroupe les médecins SOS, uniquement s’ils sont en activité et agissent dans le cadre de leur profession au moment de l’appel.</t>
  </si>
  <si>
    <t>MED.MRL</t>
  </si>
  <si>
    <t>Médecin régulateur libéral</t>
  </si>
  <si>
    <t>Déclinaison du type Médecin : Regroupe les demandes issues des médecins régulateurs généralistes lorsque le DRM n’est pas encore créé dans le SI-Samu (par exemple quand il a été jusque-là uniquement renseigné dans un SI-PDSA).</t>
  </si>
  <si>
    <t>MED.EFFML</t>
  </si>
  <si>
    <t>Effecteur de médecine libérale</t>
  </si>
  <si>
    <t>Déclinaison du type Médecin : Regroupe les demandes issues des médecins effecteurs de médecine générale (hors médecins de SOS ou association de PDSA) lorsque le DRM n’est pas encore créé dans le SI-Samu (par exemple quand il a été jusque-là uniquement renseigné dans un SI-PDSA).</t>
  </si>
  <si>
    <t>SANTE</t>
  </si>
  <si>
    <t>Autre acteur de santé</t>
  </si>
  <si>
    <t>Regroupe tous les autres professionnels de santé, de toute spécialité, de tout statut mais uniquement s’ils sont en activité et agissent dans le cadre de leur profession au moment de l’appel.</t>
  </si>
  <si>
    <t>SANTE.INF</t>
  </si>
  <si>
    <t>Infirmier</t>
  </si>
  <si>
    <t>Regroupe les infirmiers de toute spécialité, de tout statut mais uniquement s’ils sont en activité et agissent dans le cadre de leur profession au moment de l’appel.</t>
  </si>
  <si>
    <t>SANTE.AIDESOIN</t>
  </si>
  <si>
    <t>Aide-soignant</t>
  </si>
  <si>
    <t>Regroupe les aides-soignants, de tout statut mais uniquement s’ils sont en activité et agissent dans le cadre de leur profession au moment de l’appel.</t>
  </si>
  <si>
    <t>SANTE.SF</t>
  </si>
  <si>
    <t>Sage-femme</t>
  </si>
  <si>
    <t>Regroupe les sage-femmes, de tout statut mais uniquement s’ils sont en activité et agissent dans le cadre de leur profession au moment de l’appel.</t>
  </si>
  <si>
    <t>SANTE.AIDEDOM</t>
  </si>
  <si>
    <t>Aide à domicile</t>
  </si>
  <si>
    <t>Regroupe les aides à domicile, de tout statut mais uniquement s’ils sont en activité et agissent dans le cadre de leur profession au moment de l’appel.</t>
  </si>
  <si>
    <t>SANTE.PHARMA</t>
  </si>
  <si>
    <t>Pharmacien</t>
  </si>
  <si>
    <t>Regroupe les pharmaciens, de tout statut mais uniquement s’ils sont en activité et agissent dans le cadre de leur profession au moment de l’appel.</t>
  </si>
  <si>
    <t>SANTE.DENTISTE</t>
  </si>
  <si>
    <t>Dentiste</t>
  </si>
  <si>
    <t>Regroupe les dentistes, de tout statut mais uniquement s’ils sont en activité et agissent dans le cadre de leur profession au moment de l’appel.</t>
  </si>
  <si>
    <t>SANTE.LABO</t>
  </si>
  <si>
    <t>Personnel de laboratoire</t>
  </si>
  <si>
    <t>Regroupe lespersonnels de laboratoires, de tout statut mais uniquement s’ils sont en activité et agissent dans le cadre de leur profession au moment de l’appel.</t>
  </si>
  <si>
    <t>FDO-MILI</t>
  </si>
  <si>
    <t>Policier Gendarme Militaire</t>
  </si>
  <si>
    <t>Regroupe tout policier, gendarme, militaire de tout statut et de tout grade mais uniquement s’il est en activité et n’est pas un professionnel de santé ou un secouriste actif.</t>
  </si>
  <si>
    <t>FDO-MILI.POL</t>
  </si>
  <si>
    <t>Policier</t>
  </si>
  <si>
    <t>FDO-MILI.GENDARM</t>
  </si>
  <si>
    <t>Gendarme</t>
  </si>
  <si>
    <t>FDO-MILI.MILI</t>
  </si>
  <si>
    <t>Militaire</t>
  </si>
  <si>
    <t>ADM-TUTL</t>
  </si>
  <si>
    <t>Membre d'une autorité administrative</t>
  </si>
  <si>
    <t>L’appelant est issu d’une autorité administrative (de tutelle) et appelle les services d’urgence dans le cadre de ses fonctions (ex : ARS, Ministère de la santé, HAS…)</t>
  </si>
  <si>
    <t>VIP</t>
  </si>
  <si>
    <t>Personne publique, de notoriété ou élus Mais qui n'est pas une autorité administrative</t>
  </si>
  <si>
    <t>OBJCONNC</t>
  </si>
  <si>
    <t>Objets connectés</t>
  </si>
  <si>
    <t>L’appelant initial n’est pas une personne physique mais un objet connecté en mesure de passer des appels d’urgences (ex : automobile dans le cadre des appels e-call)</t>
  </si>
  <si>
    <t>Autre type d’appelant</t>
  </si>
  <si>
    <t>Pour toutes les fonctions non prévues ci-dessus.</t>
  </si>
  <si>
    <t>Type d'appelant indéterminé</t>
  </si>
  <si>
    <t xml:space="preserve">Si la fonction ou le titre de l'appelant est inconnu. </t>
  </si>
  <si>
    <t>PBAPL</t>
  </si>
  <si>
    <t>Décrit les difficultés de communication potentielles du requérant/appelant</t>
  </si>
  <si>
    <t>AUCUNE</t>
  </si>
  <si>
    <t>Aucune difficulté de communication</t>
  </si>
  <si>
    <t>Aucune difficulté de communication rencontrée entre l’appelant et la personne qualifiant ou régulant le dossier.</t>
  </si>
  <si>
    <t>MUET</t>
  </si>
  <si>
    <t>Muet ou malentendant (troubles de la parole ou de l'audition)</t>
  </si>
  <si>
    <t>Difficultés de communication liées aux caractéristiques de l’appelant, muet ou ayant des troubles prononcés de l’élocution, malentendant ou ayant des troubles prononcés de l’audition ne lui permettant pas d’interagir dans de bonnes conditions avec son interlocuteur du CRRA</t>
  </si>
  <si>
    <t>VISION</t>
  </si>
  <si>
    <t>Malvoyant, troubles de la vision</t>
  </si>
  <si>
    <t>Difficultés de communication liées aux caractéristiques de l’appelant, malvoyant ou ayant des troubles prononcés de la vue ne lui permettant pas de décrire correctement la situation pour laquelle il appelle</t>
  </si>
  <si>
    <t>Barrière de la langue (langue étrangère)</t>
  </si>
  <si>
    <t>Difficultés de communication avec l’appelant liées au fait que l’appelant ne comprend pas ou mal le français ou ne le parle pas ou mal</t>
  </si>
  <si>
    <t>PANIQUE</t>
  </si>
  <si>
    <t>Panique de l’appelant</t>
  </si>
  <si>
    <t>Difficultés de communication avec l’appelant liées à une situation de stress extrême ou de panique de l’appelant, du patient ou de l’entourage ne lui permettant pas de décrire correctement la situation pour laquelle il appelle</t>
  </si>
  <si>
    <t>HOSTILE</t>
  </si>
  <si>
    <t>Appelant hostile, agressif</t>
  </si>
  <si>
    <t>Difficultés de communication avec l’appelant liées à une situation d’hostilité ou d’agressivité de l’appelant ne permettant pas une bonne compréhension du problème pour lequel il appelle</t>
  </si>
  <si>
    <t>AGITE</t>
  </si>
  <si>
    <t>Incohérence, agitation, intoxication</t>
  </si>
  <si>
    <t>Patient psychiatrique ayant des difficultés pour exprimer sa plainte ou patient alcoolisé, agité et incohérent dans l’incapacité de formuler les raisons de son appel</t>
  </si>
  <si>
    <t>Autres difficultés de communication</t>
  </si>
  <si>
    <t>Autres troubles humains ou techniques, de l’appelant ou de l’entourage, empêchant la bonne interaction entre l’appelant et la personne qualifiant ou régulant le dossier et la bonne compréhension de la situation pour laquelle il appelle</t>
  </si>
  <si>
    <t>IMPOSS</t>
  </si>
  <si>
    <t>Absence de communication</t>
  </si>
  <si>
    <t>Pas de communication possible avec l’appelant (ex : pas d'echange vocal, appel raccroché prématurement sans contre appel possible, ...)</t>
  </si>
  <si>
    <t>TYPE_Id_Patient</t>
  </si>
  <si>
    <t>Décrit le type d'identifiant fourni</t>
  </si>
  <si>
    <t>NIR</t>
  </si>
  <si>
    <t>Numéro d'identification NIR ou NIA</t>
  </si>
  <si>
    <t>SINUS</t>
  </si>
  <si>
    <t>Numéro d'identification SINUS</t>
  </si>
  <si>
    <t>DOSSARD</t>
  </si>
  <si>
    <t>Numéro de dossard</t>
  </si>
  <si>
    <t>PLACE</t>
  </si>
  <si>
    <t>Numéro de place</t>
  </si>
  <si>
    <t>Autre identifiant</t>
  </si>
  <si>
    <t>NOS</t>
  </si>
  <si>
    <t>NOMENC_SEXE</t>
  </si>
  <si>
    <t>Décrit le sexe du patient</t>
  </si>
  <si>
    <t>M</t>
  </si>
  <si>
    <t>Masculin</t>
  </si>
  <si>
    <t>Qualifie les individus de sexe masculin</t>
  </si>
  <si>
    <t>F</t>
  </si>
  <si>
    <t>Féminin</t>
  </si>
  <si>
    <t>Qualifie les individus de sexe féminin</t>
  </si>
  <si>
    <t>O</t>
  </si>
  <si>
    <t>Autre sexe (ni masculin, ni féminin)</t>
  </si>
  <si>
    <t>Qualifie les individus de troisième genre (individu considéré comme n ’étant ni homme ni femme, à la fois homme et femme, ou neutre)</t>
  </si>
  <si>
    <t>UN</t>
  </si>
  <si>
    <t>Inconnu</t>
  </si>
  <si>
    <t>Le sexe de la personne n'est pas connu</t>
  </si>
  <si>
    <t>GRAVITE</t>
  </si>
  <si>
    <t>Décrit le niveau de soins : le plus grave est retenu pour qualifier le dossier/affaire. Pour chaque patient/victime, le motif spécifique est indiqué.</t>
  </si>
  <si>
    <t>R1</t>
  </si>
  <si>
    <t>Urgence Vitale</t>
  </si>
  <si>
    <t>Urgence vitale patente ou latente imposant l’envoi du Smur</t>
  </si>
  <si>
    <t>R2</t>
  </si>
  <si>
    <t>Urgence vraie</t>
  </si>
  <si>
    <t>Urgence vraie sans détresse vitale nécessitant l’envoi d’un médecin, d’une ambulance ou d’un VSAV. Le délai d’intervention est immédiat par défaut ou contractualisé entre le médecin régulateur et le requérant</t>
  </si>
  <si>
    <t>R3</t>
  </si>
  <si>
    <t>Continuité de soins</t>
  </si>
  <si>
    <t>Situation relevant de la continuité de soins. Le délai ne constituant pas un facteur de risque</t>
  </si>
  <si>
    <t>R4</t>
  </si>
  <si>
    <t>Conseil ou PMT</t>
  </si>
  <si>
    <t>Situation pouvant être traitée par un conseil médical ou prescription médicamenteuse par téléphone</t>
  </si>
  <si>
    <t>ROLE</t>
  </si>
  <si>
    <t>Décrit le rôle de l'opérateur dans l'organisation à laquelle il appartient</t>
  </si>
  <si>
    <t>AMBULANCIER</t>
  </si>
  <si>
    <t>Ambulancier</t>
  </si>
  <si>
    <t>L'opérateur est un ambulancier</t>
  </si>
  <si>
    <t>ARM</t>
  </si>
  <si>
    <t>L'opérateur est un ARM</t>
  </si>
  <si>
    <t>INFIRMIER</t>
  </si>
  <si>
    <t>L'opérateur est un infirmier</t>
  </si>
  <si>
    <t>MEDECIN</t>
  </si>
  <si>
    <t>L'opérateur est un médecin</t>
  </si>
  <si>
    <t>PILOTE</t>
  </si>
  <si>
    <t>Pilote</t>
  </si>
  <si>
    <t>L'opérateur est un pilote d'aéronef</t>
  </si>
  <si>
    <t>TCM</t>
  </si>
  <si>
    <t>Technicien de bord</t>
  </si>
  <si>
    <t>Assistant du pilote</t>
  </si>
  <si>
    <t>Autre</t>
  </si>
  <si>
    <t>Le rôle de l'opérateur est connu, mais n'est pas détaillé dans la liste des valeurs fournie</t>
  </si>
  <si>
    <t>Le rôle de l'opérateur est inconnu</t>
  </si>
  <si>
    <t>TYPEDEC</t>
  </si>
  <si>
    <t>Décrit le type de décision prise</t>
  </si>
  <si>
    <t>CONSEIL</t>
  </si>
  <si>
    <t>Conseil Médical</t>
  </si>
  <si>
    <t>#Conseil Médical</t>
  </si>
  <si>
    <t>Conduite à tenir donnée à distance par le médecin régulateur sans intervention d’un tiers. Le conseil médical peut être donné à la demande du patient ou à chaque fois que le médecin régulateur juge que l’appel ne nécessite pas un examen médical. Cette décision peut être accompagnée ou non d’une prescription médicamenteuse téléphonique. </t>
  </si>
  <si>
    <t>PMT</t>
  </si>
  <si>
    <t>Prescription médicamenteuse téléphonique</t>
  </si>
  <si>
    <t>#PMT</t>
  </si>
  <si>
    <t>Réalisation d'une prescription médicamenteuse téléphonique</t>
  </si>
  <si>
    <t>INTER</t>
  </si>
  <si>
    <t>Décision d’intervention</t>
  </si>
  <si>
    <t>#Intervention</t>
  </si>
  <si>
    <t>Décision qui implique l’envoi d’un moyen d’intervention (ressource mobile) : Smur, médical, paramédical, pompier ous transporteur sanitaire.</t>
  </si>
  <si>
    <t>ORIENT</t>
  </si>
  <si>
    <t xml:space="preserve">Décision d’orientation ou de transport </t>
  </si>
  <si>
    <t>#Orientation Transport</t>
  </si>
  <si>
    <t>La décision d’orientation est caractérisée par le fait de renseigner la destination du patient (vers un acteur de santé, vers une structure ou activité de soins, vers un autre lieu). La décision de transport permet, en complément, de décider de la prise en charge du transport du patient vers ce lieu de destination et de décider du niveau de soin du transport.</t>
  </si>
  <si>
    <t>PASPLUS</t>
  </si>
  <si>
    <t>Pas de décision supplémentaire</t>
  </si>
  <si>
    <t>#Décision</t>
  </si>
  <si>
    <t>En raison des décisions déjà prises par un tiers, des éventuels moyens d’intervention déjà présents sur place, le médecin régulateur en charge de la régulation du dossier ne prend pas de décision supplémentaire en attendant l’évolution de la situation. </t>
  </si>
  <si>
    <t>TYPE_MOYEN</t>
  </si>
  <si>
    <t>on ne parle plus de moyens mais de ressources dans le DSF</t>
  </si>
  <si>
    <t xml:space="preserve">Décrit le type de moyen/ressources, dans un sens plus large que type de vecteur/véhicule. N.B. dans OPG pour les message EMSI.
</t>
  </si>
  <si>
    <t>SMUR</t>
  </si>
  <si>
    <t>Smur</t>
  </si>
  <si>
    <t>Ressources des SMUR</t>
  </si>
  <si>
    <t>SMUR.ADULT</t>
  </si>
  <si>
    <t>Smur Généraliste</t>
  </si>
  <si>
    <t>UMH</t>
  </si>
  <si>
    <t>SMUR.PED</t>
  </si>
  <si>
    <t>Smur Pédiatrique ou Néonat</t>
  </si>
  <si>
    <t>UMH-PED</t>
  </si>
  <si>
    <t>SMUR.UMH-S</t>
  </si>
  <si>
    <t xml:space="preserve">Smur Spécialisé </t>
  </si>
  <si>
    <t>Exemple UMH Obstétrique et autre UMH à venir</t>
  </si>
  <si>
    <t>UMH-S</t>
  </si>
  <si>
    <t>SMUR.CUMP</t>
  </si>
  <si>
    <t>Cellule d'Urgence Médico Psychologique</t>
  </si>
  <si>
    <t>CUMP</t>
  </si>
  <si>
    <t>HOSPIT</t>
  </si>
  <si>
    <t>Hospitaliers (hors Smur)</t>
  </si>
  <si>
    <t>Ressources relevant des établissements de santé, public ou privé, hors des ressources du SMUR</t>
  </si>
  <si>
    <t>LIBERAL</t>
  </si>
  <si>
    <t>Professionnels Libéraux</t>
  </si>
  <si>
    <t>Ressources relevant de la prise en charge par des professionnels libéraux</t>
  </si>
  <si>
    <t>LIBERAL.MG</t>
  </si>
  <si>
    <t>Médecin Généraliste</t>
  </si>
  <si>
    <t>LIBERAL.PHARM</t>
  </si>
  <si>
    <t>LIBERAL.INF</t>
  </si>
  <si>
    <t>LIBERAL.KINE</t>
  </si>
  <si>
    <t>Kinésithérapeuthes</t>
  </si>
  <si>
    <t>LIBERAL.SOS</t>
  </si>
  <si>
    <t>Association de permanence de soins</t>
  </si>
  <si>
    <t>LIBERAL.MMG</t>
  </si>
  <si>
    <t>Maison médicale de garde</t>
  </si>
  <si>
    <t>LIBERAL.MSPD</t>
  </si>
  <si>
    <t>Maison de Santé Pluri Disciplinaire</t>
  </si>
  <si>
    <t>LIBERAL.MCS</t>
  </si>
  <si>
    <t>Médecin Correspondant de Samu</t>
  </si>
  <si>
    <t>LIBERAL.SPEMED</t>
  </si>
  <si>
    <t>Médecin autre spécialité</t>
  </si>
  <si>
    <t>LIBERAL.DENT</t>
  </si>
  <si>
    <t>LIBERAL.LABO</t>
  </si>
  <si>
    <t>Laboratoire d'analyses médicales</t>
  </si>
  <si>
    <t>LIBERAL.AUTREPRO</t>
  </si>
  <si>
    <t>Autre professionnel de santé</t>
  </si>
  <si>
    <t>TSU</t>
  </si>
  <si>
    <t>Ambulanciers privés (Transporteurs Sanitaires Urgent)</t>
  </si>
  <si>
    <t>Ressources relevant des sociétés d'ambulances privées</t>
  </si>
  <si>
    <t>SIS</t>
  </si>
  <si>
    <t>Pompiers</t>
  </si>
  <si>
    <t>Ressources relevant des services d'incendie et de secours</t>
  </si>
  <si>
    <t>SIS.MEDSP</t>
  </si>
  <si>
    <t>Medecin Sapeur-Pompier</t>
  </si>
  <si>
    <t>SIS.ISP</t>
  </si>
  <si>
    <t>Infirmier Sapeur-Pompier</t>
  </si>
  <si>
    <t>SIS.SP</t>
  </si>
  <si>
    <t>Secouriste</t>
  </si>
  <si>
    <t>AASC</t>
  </si>
  <si>
    <t>Sécurité civile, secouriste</t>
  </si>
  <si>
    <t>Ensemble des ressources fixes ou mobiles relevant des organisations de secourisme</t>
  </si>
  <si>
    <t>Force de l'Ordre et douanes</t>
  </si>
  <si>
    <t>Ensemble des ressources fixes ou mobiles relevant des forces de l’ordre (police nationale, municipale, gendarmerie nationaux et douanes)</t>
  </si>
  <si>
    <t>FDO.PN</t>
  </si>
  <si>
    <t>Police Nationale</t>
  </si>
  <si>
    <t>FDO.GEND</t>
  </si>
  <si>
    <t>Gendarmerie Nationale</t>
  </si>
  <si>
    <t>FDO.PM</t>
  </si>
  <si>
    <t>Police Municipale</t>
  </si>
  <si>
    <t>FDO.DOUANES</t>
  </si>
  <si>
    <t>Douane</t>
  </si>
  <si>
    <t>Autres ressources</t>
  </si>
  <si>
    <t>Autres ressources ne relevant d’aucune autre catégorie définie</t>
  </si>
  <si>
    <t>AUTRE.ADM</t>
  </si>
  <si>
    <t>Institutions administratives et sociales</t>
  </si>
  <si>
    <t>AUTRE.DAE</t>
  </si>
  <si>
    <t>Défibrillateur Automatique</t>
  </si>
  <si>
    <t>AUTRE.AUTRE</t>
  </si>
  <si>
    <t>Autre moyen</t>
  </si>
  <si>
    <t>TYPE_VECTEUR</t>
  </si>
  <si>
    <t>Décrit le type de vecteur/véhicule ou de ressource mobilisée, avec plus de précision que simplement le type de ressources. Utilisée exclusivement en inter-santé (cf. EMSI-OPG pour 15-NexSIS)</t>
  </si>
  <si>
    <t>AASC.VLSC</t>
  </si>
  <si>
    <t>Vehicule Leger de Sécurité Civile</t>
  </si>
  <si>
    <t>Hybride</t>
  </si>
  <si>
    <t>AASC.VPSP</t>
  </si>
  <si>
    <t xml:space="preserve">Véhicule de Premiers Secours à Personnes </t>
  </si>
  <si>
    <t>Transporte</t>
  </si>
  <si>
    <t>AASC.AUTRESC</t>
  </si>
  <si>
    <t>Autre vecteur de Sécurité Civile</t>
  </si>
  <si>
    <t>AUTREVEC</t>
  </si>
  <si>
    <t>AUTREVEC.APIED</t>
  </si>
  <si>
    <t>A pied</t>
  </si>
  <si>
    <t>AUTREVEC.AVION</t>
  </si>
  <si>
    <t>Avion</t>
  </si>
  <si>
    <t>AUTREVEC.PERSO</t>
  </si>
  <si>
    <t>Moyen personnel sans précsion</t>
  </si>
  <si>
    <t>AUTREVEC.TAXI</t>
  </si>
  <si>
    <t>Taxi et assimilés</t>
  </si>
  <si>
    <t>AUTREVEC.TRAIN</t>
  </si>
  <si>
    <t>Train</t>
  </si>
  <si>
    <t>AUTREVEC.TRANSP</t>
  </si>
  <si>
    <t>Transports en commun</t>
  </si>
  <si>
    <t>AUTREVEC.AUTRE</t>
  </si>
  <si>
    <t>Autre vecteur sans transport</t>
  </si>
  <si>
    <t>Ne transporte pas</t>
  </si>
  <si>
    <t>AUTREVEC.AUTRETRA</t>
  </si>
  <si>
    <t>Autre vecteur de transport</t>
  </si>
  <si>
    <t>FSI</t>
  </si>
  <si>
    <t>FSI.HELIFSI</t>
  </si>
  <si>
    <t>Hélicoptère Forces de l’Ordre</t>
  </si>
  <si>
    <t>FSI.VLFSI</t>
  </si>
  <si>
    <t>VL des FSI</t>
  </si>
  <si>
    <t>FSI.FFSI</t>
  </si>
  <si>
    <t>Fourgon des FSI</t>
  </si>
  <si>
    <t>FSI.VHFSI</t>
  </si>
  <si>
    <t>Autre vecteur des FSI</t>
  </si>
  <si>
    <t>LIB</t>
  </si>
  <si>
    <t>LIB.MEDV</t>
  </si>
  <si>
    <t>LIB.INF</t>
  </si>
  <si>
    <t>LIB.AUTREPRO</t>
  </si>
  <si>
    <t>SIS.DRAGON</t>
  </si>
  <si>
    <t>Hélicoptère sécurité civile</t>
  </si>
  <si>
    <t>SIS.AVSC</t>
  </si>
  <si>
    <t>Avion sécurité civile</t>
  </si>
  <si>
    <t>SIS.FEUSIS</t>
  </si>
  <si>
    <t>Moyens incendie du SIS</t>
  </si>
  <si>
    <t>SIS.GRIMP</t>
  </si>
  <si>
    <t>Vehicule du GRIMP et montagne</t>
  </si>
  <si>
    <t>SIS.NAVISIS</t>
  </si>
  <si>
    <t>Moyen nautique du SIS</t>
  </si>
  <si>
    <t>SIS.PCSIS</t>
  </si>
  <si>
    <t>Poste de commandement</t>
  </si>
  <si>
    <t>SIS.SRSIS</t>
  </si>
  <si>
    <t>Moyens de secours routiers du SIS</t>
  </si>
  <si>
    <t>SIS.VCH</t>
  </si>
  <si>
    <t>Véhicule intervention chimique</t>
  </si>
  <si>
    <t>SIS.VLCG</t>
  </si>
  <si>
    <t>Véhicule léger chef de groupe</t>
  </si>
  <si>
    <t>SIS.VLISP</t>
  </si>
  <si>
    <t>Véhicule léger infirmier SP</t>
  </si>
  <si>
    <t>SIS.VLMSP</t>
  </si>
  <si>
    <t>Véhicule léger Médecin SP</t>
  </si>
  <si>
    <t>SIS.VLSIS</t>
  </si>
  <si>
    <t>Véhicule léger autre usage</t>
  </si>
  <si>
    <t>SIS.VPL</t>
  </si>
  <si>
    <t>Véhicule plongeurs</t>
  </si>
  <si>
    <t>SIS.VPMA</t>
  </si>
  <si>
    <t>Véhicule du Poste Médical Avancé</t>
  </si>
  <si>
    <t>SIS.VR</t>
  </si>
  <si>
    <t>Véhicule intervention radioactivité</t>
  </si>
  <si>
    <t>SIS.VSAV</t>
  </si>
  <si>
    <t>Véhicule de secours et d'assistance aux victimes</t>
  </si>
  <si>
    <t>SIS.MOYSSE</t>
  </si>
  <si>
    <t>Autre moyen SSE</t>
  </si>
  <si>
    <t>SIS.AUTRESIS</t>
  </si>
  <si>
    <t>Autre moyen du SIS</t>
  </si>
  <si>
    <t>SMUR.VLM</t>
  </si>
  <si>
    <t>Véhicule Léger Médicalisé</t>
  </si>
  <si>
    <t>SMUR.VL</t>
  </si>
  <si>
    <t>Véhicule de liaison Smur</t>
  </si>
  <si>
    <t>SMUR.PSM1</t>
  </si>
  <si>
    <t>Véhicule logistique transport PSM1</t>
  </si>
  <si>
    <t>SMUR.PSM2</t>
  </si>
  <si>
    <t>Véhicule logistique transport PSM2</t>
  </si>
  <si>
    <t>SMUR.PSM3</t>
  </si>
  <si>
    <t>Véhicule logistique transport PSM3</t>
  </si>
  <si>
    <t>SMUR.PSMP</t>
  </si>
  <si>
    <t>Véhicule logistique transport PSM pédiatrique</t>
  </si>
  <si>
    <t>SMUR.VPC</t>
  </si>
  <si>
    <t>Véhicule Poste de Commandement et ou d’évacuation SAMU</t>
  </si>
  <si>
    <t>SMUR.AR</t>
  </si>
  <si>
    <t>Ambulance de réanimation</t>
  </si>
  <si>
    <t>SMUR.AR-BAR</t>
  </si>
  <si>
    <t>Ambulance de réanimation Bariatrique</t>
  </si>
  <si>
    <t>SMUR.AR-PED</t>
  </si>
  <si>
    <t>Ambulance de réanimation Pédiatrique</t>
  </si>
  <si>
    <t>SMUR.HELISMUR</t>
  </si>
  <si>
    <t>HéliSmur</t>
  </si>
  <si>
    <t>SMUR.HELISAN</t>
  </si>
  <si>
    <t>Hélicoptère de transport sanitaire</t>
  </si>
  <si>
    <t>SMUR.AVSMUR</t>
  </si>
  <si>
    <t>Avion Smur</t>
  </si>
  <si>
    <t>SMUR.AVSAN</t>
  </si>
  <si>
    <t>Avion de transport sanitaire</t>
  </si>
  <si>
    <t>SMUR.NAVISMUR</t>
  </si>
  <si>
    <t>NaviSmur</t>
  </si>
  <si>
    <t>TSU.VSL</t>
  </si>
  <si>
    <t>Véhicule Sanitaire Léger</t>
  </si>
  <si>
    <t>TSU.AMB-GV</t>
  </si>
  <si>
    <t>Ambulance privée grand contenant - type A</t>
  </si>
  <si>
    <t>TSU.AMB-PV</t>
  </si>
  <si>
    <t>Ambulance privée petit contenant - type C</t>
  </si>
  <si>
    <t>TSU.AMB-BAR</t>
  </si>
  <si>
    <t>Ambulance privée - type bariatrique</t>
  </si>
  <si>
    <t>TSU.AMB</t>
  </si>
  <si>
    <t>Ambulance de catégorie non définie</t>
  </si>
  <si>
    <t>NIVSOIN</t>
  </si>
  <si>
    <t>Décrit le niveau de prise en charge exigé.</t>
  </si>
  <si>
    <t>Médicalisé</t>
  </si>
  <si>
    <t>L'équipage du vecteur est composé d'au moins un médecin</t>
  </si>
  <si>
    <t>PARAMED</t>
  </si>
  <si>
    <t>Paramédicalisé</t>
  </si>
  <si>
    <t>L'équipage du vecteur ne comporte pas de médecin. Il est uniquement composé d'infirmier(e)s.</t>
  </si>
  <si>
    <t>SECOURS</t>
  </si>
  <si>
    <t>L'équipage du vecteur ne comporte que des secouristes professionnnels ni médecin, ni infimier</t>
  </si>
  <si>
    <t>SANS</t>
  </si>
  <si>
    <t>Sans soins</t>
  </si>
  <si>
    <t>Le moyen de transport ne comporte aucun acteur de santé (transport par moyen personnel, taxi, transport en commun, ...)</t>
  </si>
  <si>
    <t>TYPE_Destination</t>
  </si>
  <si>
    <t>URGENCES</t>
  </si>
  <si>
    <t>Service d’urgences d’un établissement de sante</t>
  </si>
  <si>
    <t>REA-USI</t>
  </si>
  <si>
    <t>Service de réanimation ou de soins intensifs</t>
  </si>
  <si>
    <t>Autres services d’un établissement de sante</t>
  </si>
  <si>
    <t>CABINET</t>
  </si>
  <si>
    <t>Cabinet d’un professionnel de sante</t>
  </si>
  <si>
    <t>DOMICILE</t>
  </si>
  <si>
    <t>EPHAD</t>
  </si>
  <si>
    <t>EPHAD ou Long séjour</t>
  </si>
  <si>
    <t>Code_Effet_a_obtenir</t>
  </si>
  <si>
    <t>Décrit les effets à obtenir utilisés uniquement entre SAMU, en intersanté.</t>
  </si>
  <si>
    <t>SAP</t>
  </si>
  <si>
    <t xml:space="preserve">Demander une prise en charge secouriste </t>
  </si>
  <si>
    <t>Demander l'intervention d'une équipe secouriste / ambulance privée</t>
  </si>
  <si>
    <t>REGUL</t>
  </si>
  <si>
    <t>Demander une régulation médicale</t>
  </si>
  <si>
    <t>Demander la régulation médicale du dossier par un médecin régulateur (cas de partage d'activité - exemples : régulation spécialisée, régulation déportée la nuit, délestage, atypie locale )</t>
  </si>
  <si>
    <t>Demander un soutien médico psychologique</t>
  </si>
  <si>
    <t>Demander l'intervention de la CUMP</t>
  </si>
  <si>
    <t>Demander une prise en charge de médecine d'urgence</t>
  </si>
  <si>
    <t>Demander l'intervention d'une équipe SMUR</t>
  </si>
  <si>
    <t>MG</t>
  </si>
  <si>
    <t>Demander une prise en charge de médecine générale</t>
  </si>
  <si>
    <t>Demander l'obtention d'une consultation ou une visite du MG (uniquement pour lien 15-15)</t>
  </si>
  <si>
    <t>Demander une prise en charge para médicale</t>
  </si>
  <si>
    <t>Demander l'intervention d'une équipe paramédicale (UMHP).</t>
  </si>
  <si>
    <t>SAMU</t>
  </si>
  <si>
    <t>Autre demande de concours au SAMU</t>
  </si>
  <si>
    <t>Détails à préciser dans le texte libre de la demande de ressources</t>
  </si>
  <si>
    <t>RELEVE</t>
  </si>
  <si>
    <t>Demander de relever une personne</t>
  </si>
  <si>
    <t>NOVI</t>
  </si>
  <si>
    <t>Demander une prise en charge de nombreux patients/victimes</t>
  </si>
  <si>
    <t>TIH</t>
  </si>
  <si>
    <t>Demander un transfert interétablissement</t>
  </si>
  <si>
    <t>BRANCARD</t>
  </si>
  <si>
    <t xml:space="preserve">Demander une aide au brancardage </t>
  </si>
  <si>
    <t>BARIA</t>
  </si>
  <si>
    <t>Demander un transport bariatrique</t>
  </si>
  <si>
    <t>CADRE_CONV</t>
  </si>
  <si>
    <t xml:space="preserve">Décrit le cadre conventionnel dans lequel s'inscrit une demande de ressources. Codes inter-santé uniquement (voir EMSI pour lien 15-Nexsis). </t>
  </si>
  <si>
    <t>DRSIS</t>
  </si>
  <si>
    <t>Départ réflexe SIS</t>
  </si>
  <si>
    <t>Engagement d'un moyen du SIS dans le cadre strict des départs réflexes prévu à l'annexe 1 du réferentiel SAP-AMU (Situations cliniques, circonstances particulières, Voie Publique)</t>
  </si>
  <si>
    <t>MISSION</t>
  </si>
  <si>
    <t>Propres missions</t>
  </si>
  <si>
    <t>Engagement d'un moyen du partenaire résultant de ses missions propres (hors départ reflexe du SIS)</t>
  </si>
  <si>
    <t>ITSP</t>
  </si>
  <si>
    <t>Carence pour ITSP</t>
  </si>
  <si>
    <t>Engagement d'un VSAV par carence résultant d'une Indisponibilité de Transporteur sanitaire Privé</t>
  </si>
  <si>
    <t>CARENCE</t>
  </si>
  <si>
    <t>Carence pour autre motif</t>
  </si>
  <si>
    <t>Engagement d'un VSAV par carence résultant d'un autre motif</t>
  </si>
  <si>
    <t>CONVENT</t>
  </si>
  <si>
    <t>Convention locale</t>
  </si>
  <si>
    <t>Engagement d'un moyen du partenaire, hors mission propre et hors carence, mais prévu dans une convention départementale ou régionale (notamment convention bi-tripartite)</t>
  </si>
  <si>
    <t>SPE</t>
  </si>
  <si>
    <t>Convention spécifique</t>
  </si>
  <si>
    <t>Engagement d'un moyen du partenaire résultant d'une convention spécifique (transport bariatrique, ….)</t>
  </si>
  <si>
    <t>HORS</t>
  </si>
  <si>
    <t>Hors de ses missions</t>
  </si>
  <si>
    <t>Engagement d'un moyen du partenaire hors cadre conventionnel, hors de ses missions et hors d'un cadre conventionnel</t>
  </si>
  <si>
    <t>AUTRE1</t>
  </si>
  <si>
    <t>Autre cas 1</t>
  </si>
  <si>
    <t>Engagement d'un partenaire dans un nouveau cadre ou en test</t>
  </si>
  <si>
    <t>AUTRE2</t>
  </si>
  <si>
    <t>Autre cas 2</t>
  </si>
  <si>
    <t>AUTRE3</t>
  </si>
  <si>
    <t>Autre cas 3</t>
  </si>
  <si>
    <t>DELAI</t>
  </si>
  <si>
    <t>Décrit le délai d'intervention attendu ou souhaité pour une ressource ou un vecteur.</t>
  </si>
  <si>
    <t>DEL0</t>
  </si>
  <si>
    <t>Immédiatement</t>
  </si>
  <si>
    <t>La ressource doit être disponible et engagée immédiatement</t>
  </si>
  <si>
    <t>ASAP</t>
  </si>
  <si>
    <t>Dès que disponible</t>
  </si>
  <si>
    <t>La ressource doit être engagée dès qu'elle est disponible, elle doit être dans tous les cas arrivée sur les lieux dans un délai maximum de 1 heure</t>
  </si>
  <si>
    <t>30M</t>
  </si>
  <si>
    <t>Délai maxi 30 minutes</t>
  </si>
  <si>
    <t>Le déclenchement se fait au bon vouloir de la force qui gère la ressource mais avec une présence de la ressource sur place dans un délai maximum de 30 minutes</t>
  </si>
  <si>
    <t>45M</t>
  </si>
  <si>
    <t>Délai maxi 45 minutes</t>
  </si>
  <si>
    <t>Le déclenchement se fait au bon vouloir de la force qui gère la ressource mais avec une présence de la ressource sur place dans un délai maximum de 45 minutes</t>
  </si>
  <si>
    <t>1H</t>
  </si>
  <si>
    <t>Délai maxi 1 heure</t>
  </si>
  <si>
    <t xml:space="preserve">Le déclenchement se fait au bon vouloir de la force qui gère la ressource mais avec une présence de la ressource sur place dans un délai maximum de 1 heures  </t>
  </si>
  <si>
    <t>2H</t>
  </si>
  <si>
    <t>Délai maxi 2 heures</t>
  </si>
  <si>
    <t xml:space="preserve">Le déclenchement se fait au bon vouloir de la force qui gère la ressource mais avec une présence de la ressource sur place dans un délai maximum de 2 heures  </t>
  </si>
  <si>
    <t>4H</t>
  </si>
  <si>
    <t>Délai maxi 4 heures</t>
  </si>
  <si>
    <t xml:space="preserve">Le déclenchement se fait au bon vouloir de la force qui gère la ressource mais avec une présence de la ressource sur place dans un délai maximum de 4 heures  </t>
  </si>
  <si>
    <t>8H</t>
  </si>
  <si>
    <t>Délai maxi 8 heures</t>
  </si>
  <si>
    <t xml:space="preserve">Le déclenchement se fait au bon vouloir de la force qui gère la ressource mais avec une présence de la ressource sur place dans un délai maximum de 8 heures  </t>
  </si>
  <si>
    <t>12H</t>
  </si>
  <si>
    <t>Délai maxi 12 heures</t>
  </si>
  <si>
    <t xml:space="preserve">Le déclenchement se fait au bon vouloir de la force qui gère la ressource mais avec une présence de la ressource sur place dans un délai maximum de 12 heures  </t>
  </si>
  <si>
    <t>24H</t>
  </si>
  <si>
    <t>Délai maxi 24 heures</t>
  </si>
  <si>
    <t xml:space="preserve">Le déclenchement se fait au bon vouloir de la force qui gère la ressource mais avec une présence de la ressource sur place dans un délai maximum de 24 heures  </t>
  </si>
  <si>
    <t>RDV</t>
  </si>
  <si>
    <t>HH:MM</t>
  </si>
  <si>
    <t>Une présence sur les lieux à un horaire précis (l'horaire est à indiquer dans le freetext)</t>
  </si>
  <si>
    <t>STATUS_DR</t>
  </si>
  <si>
    <t>Décrit l'état de l'annulation de demande de ressources</t>
  </si>
  <si>
    <t>ANNULEE</t>
  </si>
  <si>
    <t>Annulation de la demande de ressources</t>
  </si>
  <si>
    <t>La demande de concours est annulée dans son intégralité</t>
  </si>
  <si>
    <t>REPONSE</t>
  </si>
  <si>
    <t>Décrit la réponse à une demande de ressources</t>
  </si>
  <si>
    <t>ACCEPTEE</t>
  </si>
  <si>
    <t>La demande est acceptée, sans réserve ni modifications. Si un délai maximum était indiqué dans la demande, alors celui si est considéré comme accepté.</t>
  </si>
  <si>
    <t>PARTIELLE</t>
  </si>
  <si>
    <t>La demande est acceptée, avec réserves ou modifications. Par exemple, si le délai de réponse est différent de celui souhaité dans la demande. Toute modification ou réserve doit être précisée dans la réponse (en freetext si l'information ne peut pas être communiquée de manière structurée)</t>
  </si>
  <si>
    <t>REFUSEE</t>
  </si>
  <si>
    <t>La demande est refusée, le motif de refus est à préciser dans le freetext</t>
  </si>
  <si>
    <t>DIFFEREE</t>
  </si>
  <si>
    <t>La demande a été reçue mais n'est pas encore traitée. La réponse sera envoyée ultérieurement.</t>
  </si>
  <si>
    <t>STATUS_VECTEUR</t>
  </si>
  <si>
    <t>Décrit le statut du vecteur/véhicule mobilisé</t>
  </si>
  <si>
    <t>DECISION</t>
  </si>
  <si>
    <t>Décision</t>
  </si>
  <si>
    <t>Prise de décision de recours à la ressource sollicitée (gerer au niveau du PSAP)</t>
  </si>
  <si>
    <t>00-DECISION</t>
  </si>
  <si>
    <t>DECLENCHE</t>
  </si>
  <si>
    <t>Déclenché</t>
  </si>
  <si>
    <t>Déclenchement de l’intervention selon le dispositif habituel prévu</t>
  </si>
  <si>
    <t>DEPART</t>
  </si>
  <si>
    <t>Début d’intervention</t>
  </si>
  <si>
    <t>Départ de la base ou de réengagement de la ressource pour se rendre sur le lieu d'intervention</t>
  </si>
  <si>
    <t>01-PARTI</t>
  </si>
  <si>
    <t>ANNULE</t>
  </si>
  <si>
    <t>Annulation  de l’intervention</t>
  </si>
  <si>
    <t>Annulation d'une mission déjà engagée avant arrivée sur les lieux</t>
  </si>
  <si>
    <t>ARRIVEE</t>
  </si>
  <si>
    <t>Arrivée sur les lieux</t>
  </si>
  <si>
    <t>Arrivée à l’adresse du lieu d’intervention</t>
  </si>
  <si>
    <t>02-SLL</t>
  </si>
  <si>
    <t>PEC</t>
  </si>
  <si>
    <t>Début de prise en charge</t>
  </si>
  <si>
    <t>Arrivée auprès du patient/victime d'au moins un membre de l'équipe d'intervention et début de prise en charge</t>
  </si>
  <si>
    <t>BILAN</t>
  </si>
  <si>
    <t>Transmission du bilan</t>
  </si>
  <si>
    <t>Le bilan est transmis en vue de l’orientation du patient/victime</t>
  </si>
  <si>
    <t>03-MESSAGE</t>
  </si>
  <si>
    <t>ORIENTAT</t>
  </si>
  <si>
    <t>Transmission de la destination</t>
  </si>
  <si>
    <t>L’orientation du patient/victime est transmise à l’équipe d'intervention</t>
  </si>
  <si>
    <t>TRANSP</t>
  </si>
  <si>
    <t>Départ des lieux</t>
  </si>
  <si>
    <t>Départ de l’adresse du lieu d’intervention du moyen assurant le transport du patient/victime</t>
  </si>
  <si>
    <t>05-TRANSPORT</t>
  </si>
  <si>
    <t>ETAPE1</t>
  </si>
  <si>
    <t>Etape de transit 1</t>
  </si>
  <si>
    <t>Arrivée à la première étape du moyen de transport avec le patient en charge dans le cas d’un transit notamment vers un lieu d’examen ou d’imagerie</t>
  </si>
  <si>
    <t>TRANSP2</t>
  </si>
  <si>
    <t>Départ étape 1</t>
  </si>
  <si>
    <t>Départ de la première étape du moyen de transport, en charge du patient/victime</t>
  </si>
  <si>
    <t>ETAPE2</t>
  </si>
  <si>
    <t>Etape de transit 2</t>
  </si>
  <si>
    <t>Arrivée à la deuxième étape du moyen de transport avec le patient/victime en charge dans le cas d’un transit notamment vers un lieu d’examen ou d’imagerie</t>
  </si>
  <si>
    <t>TRANSP3</t>
  </si>
  <si>
    <t>Départ étape 2</t>
  </si>
  <si>
    <t>Départ de la deuxième étape du moyen de transport, en charge du patient/victime</t>
  </si>
  <si>
    <t>DESTIN</t>
  </si>
  <si>
    <t>Arrivée à destination</t>
  </si>
  <si>
    <t>Arrivée du moyen de transport à l’entrée du service ou se fera le relais de prise en charge du patient/victime</t>
  </si>
  <si>
    <t>06-DESTIN</t>
  </si>
  <si>
    <t>FINPEC</t>
  </si>
  <si>
    <t>Fin de prise en charge</t>
  </si>
  <si>
    <t>La responsabilité de la prise en charge du patient/victime s’achève</t>
  </si>
  <si>
    <t>24-FIN MED</t>
  </si>
  <si>
    <t>RETOUR</t>
  </si>
  <si>
    <t>Quitte la destination</t>
  </si>
  <si>
    <t>L’équipe d'intervention quitte le lieu de destination du patient/victime ou le lieu d’intervention (en l’absence de transport du patient/victime). La ressource est disponible pour être réengagée</t>
  </si>
  <si>
    <t>25-QTTE HOP</t>
  </si>
  <si>
    <t>RET-BASE</t>
  </si>
  <si>
    <t>Retour à la base</t>
  </si>
  <si>
    <t>L'équipe et en route vers sa base</t>
  </si>
  <si>
    <t>REN-BASE</t>
  </si>
  <si>
    <t>Rentrée à la base</t>
  </si>
  <si>
    <t>L’équipe est de retour à sa base</t>
  </si>
  <si>
    <t>Etape_Message</t>
  </si>
  <si>
    <t>Décrit les différentes étapes d'intégration et de consultation du dossier dans un système</t>
  </si>
  <si>
    <t>RECU</t>
  </si>
  <si>
    <t>Dossier reçu</t>
  </si>
  <si>
    <t>Le dossier a bien été reçu et est en cours d'intégration</t>
  </si>
  <si>
    <t>ERREUR</t>
  </si>
  <si>
    <t>Dossier en erreur</t>
  </si>
  <si>
    <t>La création ou intégration du dossier est en erreur</t>
  </si>
  <si>
    <t>INTEGRE</t>
  </si>
  <si>
    <t>Dossier intégré</t>
  </si>
  <si>
    <t>Le dossier est bien créé et intégré dans le système de destination finale</t>
  </si>
  <si>
    <t>CONSULTE</t>
  </si>
  <si>
    <t>Dossier consulté</t>
  </si>
  <si>
    <t>Le dossier a été ouvert  par un utilisateur humain (à la première ouverture uniquement)</t>
  </si>
  <si>
    <t>SUPPRIME</t>
  </si>
  <si>
    <t>Dossier supprimé</t>
  </si>
  <si>
    <t>Le dossier dossier a été effacé/supprimé dans le système émetteur</t>
  </si>
  <si>
    <t>NOMENC_DEVENIR_PAT</t>
  </si>
  <si>
    <t>Décrit le devenir du patient</t>
  </si>
  <si>
    <t>OK</t>
  </si>
  <si>
    <t>Accord du service d'orientation</t>
  </si>
  <si>
    <t>Devenir issu de la décision d'orientation + modalité d'exécution</t>
  </si>
  <si>
    <t>TEMP</t>
  </si>
  <si>
    <t>Accord sous condition (en attente d'avis ou d'examen complémentaire ou d'affectation vers le service adapté)</t>
  </si>
  <si>
    <t>SEUL</t>
  </si>
  <si>
    <t>Laissé seul</t>
  </si>
  <si>
    <t>Devenir issu de la décision d'orientation + Type de laissé sur place</t>
  </si>
  <si>
    <t>AFAMILLE</t>
  </si>
  <si>
    <t>Laissé à la famille ou entourage</t>
  </si>
  <si>
    <t>AMED</t>
  </si>
  <si>
    <t>Confié à un médecin</t>
  </si>
  <si>
    <t>AFDO</t>
  </si>
  <si>
    <t>Confié aux Forces de l'ordre</t>
  </si>
  <si>
    <t>ATIERS</t>
  </si>
  <si>
    <t xml:space="preserve">Confié à autre personne </t>
  </si>
  <si>
    <t>MOYPERSO</t>
  </si>
  <si>
    <t>Retour à domicile - Transporté par ses propres moyens</t>
  </si>
  <si>
    <t>Devenir issu de la décision d'orientation + mode de transport</t>
  </si>
  <si>
    <t>VECTEUR</t>
  </si>
  <si>
    <t>Retour à domicile - Transporté par le vecteur d'intervention ou de transport envoyé par le CRRA</t>
  </si>
  <si>
    <t>REFPAT</t>
  </si>
  <si>
    <t>Retour à domicile - Refus du patient, patient laissé sur place</t>
  </si>
  <si>
    <t>Devenir issu de la décision d'orientation + motif de refus</t>
  </si>
  <si>
    <t>REFFAM</t>
  </si>
  <si>
    <t>Retour à domicile - Refus de l'entourage, patient laissé sur place</t>
  </si>
  <si>
    <t>PASREAKO</t>
  </si>
  <si>
    <t>DCD sans réanimation - non examiné par médecin</t>
  </si>
  <si>
    <t>Devenir issu de l'information relative au décès du patient</t>
  </si>
  <si>
    <t>PASREAOK</t>
  </si>
  <si>
    <t>DCD sans réanimation - examiné par médecin</t>
  </si>
  <si>
    <t>REA</t>
  </si>
  <si>
    <t xml:space="preserve">DCD après réanimation </t>
  </si>
  <si>
    <t>TRANSPOR</t>
  </si>
  <si>
    <t>DCD pendant le transport</t>
  </si>
  <si>
    <t>ADM</t>
  </si>
  <si>
    <t>DCD à son admission</t>
  </si>
  <si>
    <t>FUGUE</t>
  </si>
  <si>
    <t>Fugue, le patient n'est plus sur les lieux</t>
  </si>
  <si>
    <t>REFAUTRE</t>
  </si>
  <si>
    <t>Autres refus orientation</t>
  </si>
  <si>
    <t>RAS</t>
  </si>
  <si>
    <t>Pas de prise en charge nécessaire</t>
  </si>
  <si>
    <t>V2.3 validée CISU</t>
  </si>
  <si>
    <t>Accident routier non suivi de feu</t>
  </si>
  <si>
    <t>Accident routier véhicule léger / fourgon, non suivi de feu</t>
  </si>
  <si>
    <t>Accident routier camion de marchandises, non suivi de feu</t>
  </si>
  <si>
    <t>Accident routier bus / car / autocar, non suivi de feu</t>
  </si>
  <si>
    <t>Accident routier 2-roues, non suivi de feu</t>
  </si>
  <si>
    <t>Tout véhicule à deux roues, avec ou sans moteur (bicyclette, cyclomoteur, motocyclette, …), l’implication d'un 2 roues « l'emporte » sur les autres types de moyens routiers</t>
  </si>
  <si>
    <t>Accident routier piéton, non suivi de feu</t>
  </si>
  <si>
    <t>L’implication d'un piéton « l'emporte » sur les autres types de moyens routiers</t>
  </si>
  <si>
    <t>Accident routier : carambolage non suivi de feu</t>
  </si>
  <si>
    <t>Série de chocs, de collisions impliquant 4 véhicules et plus, la notion de carambolage « l'emporte » sur les autres types d'accidents routiers</t>
  </si>
  <si>
    <t>C01.01.07</t>
  </si>
  <si>
    <t>Accident routier d'engin de chantier/agricole, non suivi de feu</t>
  </si>
  <si>
    <t>C01.06.00</t>
  </si>
  <si>
    <t>Accident routier suivi de feu</t>
  </si>
  <si>
    <t>C01.06.01</t>
  </si>
  <si>
    <t>Accident routier véhicule léger / fourgon, suivi de feu</t>
  </si>
  <si>
    <t>C01.06.02</t>
  </si>
  <si>
    <t>Accident routier poids lourd, suivi de feu</t>
  </si>
  <si>
    <t>C01.06.03</t>
  </si>
  <si>
    <t>Accident routier bus / car / autocar, suivi de feu</t>
  </si>
  <si>
    <t>C01.06.04</t>
  </si>
  <si>
    <t>Accident routier avec plusieurs véhicules légers, suivi de feu</t>
  </si>
  <si>
    <t>C01.06.05</t>
  </si>
  <si>
    <t>Accident routier : carambolage suivi de feu</t>
  </si>
  <si>
    <t>Accident train de voyageurs</t>
  </si>
  <si>
    <t>Accident train de marchandises</t>
  </si>
  <si>
    <t>C01.02.03</t>
  </si>
  <si>
    <t>Collision train - piéton</t>
  </si>
  <si>
    <t>C01.02.04</t>
  </si>
  <si>
    <t>Collision  tramway - piéton</t>
  </si>
  <si>
    <t>C01.02.05</t>
  </si>
  <si>
    <t>Déraillement train de voyageurs</t>
  </si>
  <si>
    <t>C01.02.06</t>
  </si>
  <si>
    <t>Déraillement train de marchandises</t>
  </si>
  <si>
    <t>C01.02.07</t>
  </si>
  <si>
    <t>Déraillement tram, tramway</t>
  </si>
  <si>
    <t>C01.03.05</t>
  </si>
  <si>
    <t>Accident bateau de plaisance / sports nautiques</t>
  </si>
  <si>
    <t>Accident ferry / paquebot</t>
  </si>
  <si>
    <t>Accident bateau de marchandises</t>
  </si>
  <si>
    <t>C01.03.03</t>
  </si>
  <si>
    <t>Accident bateau de pêche</t>
  </si>
  <si>
    <t>C01.03.04</t>
  </si>
  <si>
    <t>Accident bateau de guerre</t>
  </si>
  <si>
    <t>Accident aéronef de marchandises</t>
  </si>
  <si>
    <t>Accident aéronef de ligne</t>
  </si>
  <si>
    <t>Accident aéronef militaire</t>
  </si>
  <si>
    <t>Accident de drone</t>
  </si>
  <si>
    <t>C01.04.05</t>
  </si>
  <si>
    <t>Accident aéronef de tourisme</t>
  </si>
  <si>
    <t>C01.04.06</t>
  </si>
  <si>
    <t>Accident ULM / planeur / mongolfiière</t>
  </si>
  <si>
    <t>Attentat /tuerie de masse</t>
  </si>
  <si>
    <t>C02.17.00</t>
  </si>
  <si>
    <t>Découverte de cadavre/mort suspecte</t>
  </si>
  <si>
    <t>C02.17.01</t>
  </si>
  <si>
    <t>C02.17.02</t>
  </si>
  <si>
    <t>Mort suspecte</t>
  </si>
  <si>
    <t>Enlèvement d’un enfant sujet au déclenchement du dispositif Alerte Enlèvement par le procureur de la République territorialement compétent
&gt; 4 critères de déclenchement :
* Enlèvement avéré (il ne s’agit pas d’une disparition, même inquiétante)
* La victime est mineure
* La vie ou l’intégrité physique de l’enfant est en danger</t>
  </si>
  <si>
    <t>Pathologie médicale</t>
  </si>
  <si>
    <t>Pathologie obstétrique</t>
  </si>
  <si>
    <t>C02.18.00</t>
  </si>
  <si>
    <t>Problème psychiatrique, menace de suicide</t>
  </si>
  <si>
    <t>Tout problème psychiatrique (dont Hospitalisation sans consentement) ou psychologique, y compris les personnes dépressives mais SANS passage à l'acte suicidaire</t>
  </si>
  <si>
    <t>Intoxication</t>
  </si>
  <si>
    <t>C02.06.02</t>
  </si>
  <si>
    <t>Intoxication CO</t>
  </si>
  <si>
    <t>Personne exposée à la chaleur / canicule</t>
  </si>
  <si>
    <t>Personne exposée au froid</t>
  </si>
  <si>
    <t>Personne exposée aux flammes / à la fumée</t>
  </si>
  <si>
    <t>Personne exposée aux produits chimiques ou toxiques / Accident technologique / Intervention à caractère NRBC</t>
  </si>
  <si>
    <t xml:space="preserve">Personne électrisée </t>
  </si>
  <si>
    <t>C02.07.06</t>
  </si>
  <si>
    <t xml:space="preserve">Personne foudroyée </t>
  </si>
  <si>
    <t>C02.07.07</t>
  </si>
  <si>
    <t>Personne exposée à des rayonnements ou radioéléments</t>
  </si>
  <si>
    <t>Tout accident (traumatisme, intoxication, brûlure, …) survenu à l’intérieur d’un domicile ou de ses dépendances, impliquant une ou plusieurs victimes qui se livraient à une occupation non rémunérée
&gt; Dont électroménager, appareil domestique, jouet</t>
  </si>
  <si>
    <t>Traumatisme par arme à feu</t>
  </si>
  <si>
    <t>Traumatisme par objet tranchant ou perforant</t>
  </si>
  <si>
    <t>Accident d'activité nautique</t>
  </si>
  <si>
    <t>Accident en milieu aquatique</t>
  </si>
  <si>
    <t>C02.10.01</t>
  </si>
  <si>
    <t>Personne visible dans l'eau</t>
  </si>
  <si>
    <t>C02.10.02</t>
  </si>
  <si>
    <t>C02.10.03</t>
  </si>
  <si>
    <t>Personne sortie de l'eau suite à noyade</t>
  </si>
  <si>
    <t>C02.10.04</t>
  </si>
  <si>
    <t>Engin nautique à la dérive avec présence humaine à bord</t>
  </si>
  <si>
    <t>Chute de plus de 3 mètres (ou 1 étage)</t>
  </si>
  <si>
    <t>Personne en difficulté</t>
  </si>
  <si>
    <t>C02.12.01</t>
  </si>
  <si>
    <t>Personne ensevelie</t>
  </si>
  <si>
    <t>C02.12.02</t>
  </si>
  <si>
    <t>Personne envasée, ensablée, ensilée</t>
  </si>
  <si>
    <t>C02.12.03</t>
  </si>
  <si>
    <t>Personne bloquée en hauteur</t>
  </si>
  <si>
    <t>C02.12.04</t>
  </si>
  <si>
    <t>Personne bloquée dans un ascenseur</t>
  </si>
  <si>
    <t>C02.12.05</t>
  </si>
  <si>
    <t>Personne enfermée</t>
  </si>
  <si>
    <t>C02.12.06</t>
  </si>
  <si>
    <t>Personne piégée, coincée</t>
  </si>
  <si>
    <t>C02.12.07</t>
  </si>
  <si>
    <t>Personne ne pouvant se relever seule</t>
  </si>
  <si>
    <t xml:space="preserve">Tentative de suicide </t>
  </si>
  <si>
    <t>La personne est passée à l'acte. Dans le cas contraire il convient de se référer à la CNDF " Problème psy".</t>
  </si>
  <si>
    <t>Tentative de suicide médicamenteuse</t>
  </si>
  <si>
    <t>Tentative de suicide par pendaison</t>
  </si>
  <si>
    <t>Tentative de suicide par immolation</t>
  </si>
  <si>
    <t>Tentative de suicide par arme à feu</t>
  </si>
  <si>
    <t>Tentative de suicide par arme blanche</t>
  </si>
  <si>
    <t>Ex Phlébotomie ou objet tranchant ou perforant</t>
  </si>
  <si>
    <t>Tentative de suicide par chute de grande hauteur</t>
  </si>
  <si>
    <t>Ex défenestration</t>
  </si>
  <si>
    <t>Tentative de suicide sur rails</t>
  </si>
  <si>
    <t>C02.13.09</t>
  </si>
  <si>
    <t>Tentative de suicide par gaz / monoxyde de carbone</t>
  </si>
  <si>
    <t>Rixe : Querelle violente, généralement publique, accompagnée de menaces et de coups
&gt; Bagarre : Échange de coups ; rixe provoquant une mêlée et un tumulte</t>
  </si>
  <si>
    <t>Agression ou violence voie de fait</t>
  </si>
  <si>
    <t>C02.15.07</t>
  </si>
  <si>
    <t>Agression : appel téléphone grave danger</t>
  </si>
  <si>
    <t>C02.15.08</t>
  </si>
  <si>
    <t>Bracelet anti-rapprochement</t>
  </si>
  <si>
    <t>Altercation / Incivilité</t>
  </si>
  <si>
    <t>C02.19.00</t>
  </si>
  <si>
    <t>C02.19.01</t>
  </si>
  <si>
    <t>C02.19.02</t>
  </si>
  <si>
    <t>Différends non représentation d’enfant</t>
  </si>
  <si>
    <t>C02.19.03</t>
  </si>
  <si>
    <t>C02.19.04</t>
  </si>
  <si>
    <t>Autre différend</t>
  </si>
  <si>
    <t>C02.19.05</t>
  </si>
  <si>
    <t>Litige</t>
  </si>
  <si>
    <t>Dégradation d’autres biens</t>
  </si>
  <si>
    <t>Jets de projectiles / caillassages</t>
  </si>
  <si>
    <t>Escroquerie / filouterie / grivèlerie</t>
  </si>
  <si>
    <t>Filouterie : Escroquerie, vol. Grivèlerie : Délit qui consiste à consommer sans payer, dans un café, un restaurant, un hôtel.</t>
  </si>
  <si>
    <t>Incendie véhicule léger / fourgon</t>
  </si>
  <si>
    <t>Incendie poids lourds</t>
  </si>
  <si>
    <t>Incendie bus / car / autocar</t>
  </si>
  <si>
    <t>C04.01.13</t>
  </si>
  <si>
    <t>Incendie plusieurs véhicules légers</t>
  </si>
  <si>
    <t>Incendie 2-roues</t>
  </si>
  <si>
    <t>Tout véhicule à deux roues, avec ou sans moteur (bicyclette, cyclomoteur, motocyclette, …), motorisé ou non motorisé</t>
  </si>
  <si>
    <t>Incendie aéronef militaire</t>
  </si>
  <si>
    <t>Incendie train de voyageurs</t>
  </si>
  <si>
    <t>Incendie train de marchandises</t>
  </si>
  <si>
    <t>Incendie bateau de voyageurs / ferry / paquebot</t>
  </si>
  <si>
    <t>Incendie bateau de marchandises</t>
  </si>
  <si>
    <t>C04.01.15</t>
  </si>
  <si>
    <t>Incendie bateau de plaisance</t>
  </si>
  <si>
    <t>C04.01.16</t>
  </si>
  <si>
    <t>Incendie bateau de pêche</t>
  </si>
  <si>
    <t>C04.01.17</t>
  </si>
  <si>
    <t>Incendie bateau de guerre</t>
  </si>
  <si>
    <t>Incendie aéronef de marchandises</t>
  </si>
  <si>
    <t>Incendie aéronef de ligne de voyageurs</t>
  </si>
  <si>
    <t>C04.01.14</t>
  </si>
  <si>
    <t>Incendie tram / tramway</t>
  </si>
  <si>
    <t>C04.01.18</t>
  </si>
  <si>
    <t>Incendie ULM / planeur / mongolfière</t>
  </si>
  <si>
    <t>C04.01.19</t>
  </si>
  <si>
    <t>Incendie aéronef de tourisme</t>
  </si>
  <si>
    <t>C04.01.12</t>
  </si>
  <si>
    <t>Incendie engin de chantier ou agricole</t>
  </si>
  <si>
    <t>Incendie d'un bâtiment</t>
  </si>
  <si>
    <t>Incendie d'un bâtiment d’habitation</t>
  </si>
  <si>
    <t>Incendie d'un bâtiment de bureaux</t>
  </si>
  <si>
    <t>Incendie d'un bâtiment industriel</t>
  </si>
  <si>
    <t>Incendie d'un bâtiment de production transport d'énergie</t>
  </si>
  <si>
    <t>C04.02.05</t>
  </si>
  <si>
    <t>Incendie d'ERP avec locaux à sommeil</t>
  </si>
  <si>
    <t>C04.02.06</t>
  </si>
  <si>
    <t>Incendie d'ERP sans locaux à sommeil</t>
  </si>
  <si>
    <t>C04.05.01</t>
  </si>
  <si>
    <t>Incendie de haie / herbes sèches</t>
  </si>
  <si>
    <t>C04.05.02</t>
  </si>
  <si>
    <t>Feu de chaumes / récoltes</t>
  </si>
  <si>
    <t>C04.05.03</t>
  </si>
  <si>
    <t>Feu de broussailles</t>
  </si>
  <si>
    <t>C04.05.04</t>
  </si>
  <si>
    <t>Feu de forêt</t>
  </si>
  <si>
    <t>Feux de poubelles / mobilier urbain hors VU</t>
  </si>
  <si>
    <t>Comprend tout autre feu divers isolé</t>
  </si>
  <si>
    <t>C04.10.00</t>
  </si>
  <si>
    <t>Incendie d'un élément / structure</t>
  </si>
  <si>
    <t>C04.10.01</t>
  </si>
  <si>
    <t>Feu de cheminée</t>
  </si>
  <si>
    <t>C04.10.02</t>
  </si>
  <si>
    <t>Incendie d'origine électrique</t>
  </si>
  <si>
    <t>C04.10.03</t>
  </si>
  <si>
    <t>Autre feu d'un élément / structure</t>
  </si>
  <si>
    <t>C04.11.00</t>
  </si>
  <si>
    <t>Fumée suspecte / levée de doute</t>
  </si>
  <si>
    <t>Sans atteinte de personne</t>
  </si>
  <si>
    <t>C06.03.07</t>
  </si>
  <si>
    <t>Refus d'obtempérer</t>
  </si>
  <si>
    <t>Remise / découverte ESI</t>
  </si>
  <si>
    <t>Occupation illégale d'un squat</t>
  </si>
  <si>
    <t>Autres infractions</t>
  </si>
  <si>
    <t>Infraction comportement voyageur</t>
  </si>
  <si>
    <t>C07.02.01</t>
  </si>
  <si>
    <t>Affrontement bande</t>
  </si>
  <si>
    <t>C07.02.02</t>
  </si>
  <si>
    <t>Dégradation mobilier urbain</t>
  </si>
  <si>
    <t>C07.02.03</t>
  </si>
  <si>
    <t>C07.02.04</t>
  </si>
  <si>
    <t>Autres violences urbaines</t>
  </si>
  <si>
    <t>OVNI / PAN</t>
  </si>
  <si>
    <t>OVNI = Objet volant non identifié, PAN = Phénomène aérospatial non identifié</t>
  </si>
  <si>
    <t>Nuisance particulière / Obstacle</t>
  </si>
  <si>
    <t>Piéton sur autoroute / voie rapide</t>
  </si>
  <si>
    <t>Aléa naturel / environnemental / météorologique</t>
  </si>
  <si>
    <t>C08.01.01</t>
  </si>
  <si>
    <t>Inondation - montée des eaux inquiétante</t>
  </si>
  <si>
    <t>C08.01.02</t>
  </si>
  <si>
    <t>Inondation d'un batiment, local</t>
  </si>
  <si>
    <t>Vent / Tempête</t>
  </si>
  <si>
    <t>C08.05.01</t>
  </si>
  <si>
    <t>Vent / Tempête avec chute d'arbres</t>
  </si>
  <si>
    <t>C08.05.02</t>
  </si>
  <si>
    <t>Vent / Tempête avec dommages sur toitures</t>
  </si>
  <si>
    <t>C08.06.01</t>
  </si>
  <si>
    <t>Éboulement / Effondrement de bâtiment</t>
  </si>
  <si>
    <t>C08.06.02</t>
  </si>
  <si>
    <t>Éboulement / Effondrement de carrière</t>
  </si>
  <si>
    <t>C08.06.03</t>
  </si>
  <si>
    <t>Autre éboulement, effondrement</t>
  </si>
  <si>
    <t>Autre aléa naturel / environnemental / météorologique</t>
  </si>
  <si>
    <t>Aléa technologique ou technique</t>
  </si>
  <si>
    <t>Fuite de gaz importante (réseau)</t>
  </si>
  <si>
    <t>C09.03.02</t>
  </si>
  <si>
    <t>Fuite de gaz enflammée (réseau)</t>
  </si>
  <si>
    <t>C09.03.03</t>
  </si>
  <si>
    <t>Fuite de gaz non enflammée (réseau)</t>
  </si>
  <si>
    <t>C09.03.04</t>
  </si>
  <si>
    <t>Fuite de gaz sur bouteille</t>
  </si>
  <si>
    <t>C09.04.03</t>
  </si>
  <si>
    <t>Vapeur sous pression / chauffage urbain</t>
  </si>
  <si>
    <t>Dégâts bâtimentaires et installations</t>
  </si>
  <si>
    <t>C09.05.01</t>
  </si>
  <si>
    <t>C09.05.02</t>
  </si>
  <si>
    <t>Menace ou chute de matériaux</t>
  </si>
  <si>
    <t>C09.06.01</t>
  </si>
  <si>
    <t>Panne d’ascenseur avec présence de personne vulnérable</t>
  </si>
  <si>
    <t>C09.06.02</t>
  </si>
  <si>
    <t>Panne d’ascenseur vide d'occupant</t>
  </si>
  <si>
    <t>C08.08.03</t>
  </si>
  <si>
    <t>Pollution aérienne</t>
  </si>
  <si>
    <t>C08.08.04</t>
  </si>
  <si>
    <t>Pollution fut / bidon suspect</t>
  </si>
  <si>
    <t>Autre aléa technologique</t>
  </si>
  <si>
    <t>C11.01.01</t>
  </si>
  <si>
    <t>C11.01.02</t>
  </si>
  <si>
    <t>Alarme vol / intrusion</t>
  </si>
  <si>
    <t>C11.01.03</t>
  </si>
  <si>
    <t>Téléalarme secours à personne (applications)</t>
  </si>
  <si>
    <t>C11.01.04</t>
  </si>
  <si>
    <t>Alarme dispositif travailleur isolé</t>
  </si>
  <si>
    <t>C11.01.05</t>
  </si>
  <si>
    <t>Simple alarme sans précision</t>
  </si>
  <si>
    <t>Incident technique</t>
  </si>
  <si>
    <t>C11.05.04</t>
  </si>
  <si>
    <t>Problème technique sur un véhicule</t>
  </si>
  <si>
    <t>C11.05.05</t>
  </si>
  <si>
    <t>Obstruction de chaussée</t>
  </si>
  <si>
    <t>C11.05.06</t>
  </si>
  <si>
    <t>Obstruction de voie ferrée</t>
  </si>
  <si>
    <t>C11.05.07</t>
  </si>
  <si>
    <t>Obstruction de voie naviguable</t>
  </si>
  <si>
    <t>C11.07.00</t>
  </si>
  <si>
    <t>Requisition judiciaire</t>
  </si>
  <si>
    <t>C11.08.00</t>
  </si>
  <si>
    <t>Odeur suspecte</t>
  </si>
  <si>
    <t>A l'intérieur d'une maison</t>
  </si>
  <si>
    <t>Enceinte fermée et couverte dont l’accès est potentiellement verrouillé, à renseigner en l’absence d’information plus précise sur la pièce où se situe la personne concernée</t>
  </si>
  <si>
    <t>A l'extérieur d'une maison</t>
  </si>
  <si>
    <t>Piscine / bassin d'une maison</t>
  </si>
  <si>
    <t>Dépendance d'une maison</t>
  </si>
  <si>
    <t>L01.01.05</t>
  </si>
  <si>
    <t>Toiture/Combles d'une maison</t>
  </si>
  <si>
    <t>A l'extérieur de l'immeuble</t>
  </si>
  <si>
    <t>A l'intérieur d'un appartement</t>
  </si>
  <si>
    <t>Entrée / couloir / espaces communs de l'immeuble</t>
  </si>
  <si>
    <t>Hors escalier</t>
  </si>
  <si>
    <t>Cave / sous-sol / garage /parking d'un immeuble d'habitation</t>
  </si>
  <si>
    <t>Toiture de l'immeuble</t>
  </si>
  <si>
    <t>Comble de l'immeuble</t>
  </si>
  <si>
    <t>Piscine de l'immeuble</t>
  </si>
  <si>
    <t>Escaliers de l'immeuble</t>
  </si>
  <si>
    <t>Local technique de l'immeuble</t>
  </si>
  <si>
    <t>Chaufferie, gaine d'ascenseur</t>
  </si>
  <si>
    <t>Dépendance de l'immeuble</t>
  </si>
  <si>
    <t>L01.02.13</t>
  </si>
  <si>
    <t>Local poubelle / vide ordure de l'immeuble</t>
  </si>
  <si>
    <t>L01.02.14</t>
  </si>
  <si>
    <t>Balcon/terrasse de l'immeuble</t>
  </si>
  <si>
    <t>L01.03.04</t>
  </si>
  <si>
    <t>Campement</t>
  </si>
  <si>
    <t>L01.03.05</t>
  </si>
  <si>
    <t>Grande demeure / château / manoir</t>
  </si>
  <si>
    <t>L01.03.06</t>
  </si>
  <si>
    <t>Chaumière</t>
  </si>
  <si>
    <t>L02.01.01</t>
  </si>
  <si>
    <t>Tunnel (hors voie rapide)</t>
  </si>
  <si>
    <t>L02.01.02</t>
  </si>
  <si>
    <t>Piste cyclable</t>
  </si>
  <si>
    <t>L02.01.03</t>
  </si>
  <si>
    <t>Pont/viaduc (hors voie rapide)</t>
  </si>
  <si>
    <t>Voie rapide (hors autoroute)</t>
  </si>
  <si>
    <t>Autoroute</t>
  </si>
  <si>
    <t>Aire de repos ou de service sur voie rapide</t>
  </si>
  <si>
    <t>Tunnel (voie rapide)</t>
  </si>
  <si>
    <t>L02.02.06</t>
  </si>
  <si>
    <t>Pont/viaduc (voie rapide)</t>
  </si>
  <si>
    <t>Voie ferrée/tramway/métro</t>
  </si>
  <si>
    <t>L02.03.05</t>
  </si>
  <si>
    <t>Passage à niveau</t>
  </si>
  <si>
    <t>L02.03.04</t>
  </si>
  <si>
    <t>Pont/viaduc (voie ferrée)</t>
  </si>
  <si>
    <t>L02.04.01</t>
  </si>
  <si>
    <t>Tunnel  (voie fluviale)</t>
  </si>
  <si>
    <t>L02.04.02</t>
  </si>
  <si>
    <t>Ecluse</t>
  </si>
  <si>
    <t>Cette précision ne s'applique pas aux CNDF "accidents" qui se suffisent à elles-mêmes</t>
  </si>
  <si>
    <t>A bord d'un véhicule léger ou fourgon</t>
  </si>
  <si>
    <t>A bord d'un poids lourd</t>
  </si>
  <si>
    <t>A bord d'un bus / car / autocar</t>
  </si>
  <si>
    <t>A bord d'un véhicule militaire</t>
  </si>
  <si>
    <t xml:space="preserve"> véhicule militaire spécifique hors VL</t>
  </si>
  <si>
    <t>A bord d'un convoi exceptionnel</t>
  </si>
  <si>
    <t>A bord d'un métro</t>
  </si>
  <si>
    <t>A bord d'un tramway</t>
  </si>
  <si>
    <t>A bord d'un aéronef de marchandises</t>
  </si>
  <si>
    <t>A bord d'un aéronef de voyageurs</t>
  </si>
  <si>
    <t>A bord d'un aeronef militaire</t>
  </si>
  <si>
    <t>A bord d'un bateau de marchandises</t>
  </si>
  <si>
    <t>A bord d'un bateau de voyageurs</t>
  </si>
  <si>
    <t>A bord d'un sous-marin</t>
  </si>
  <si>
    <t>A bord d'un train de voyageurs</t>
  </si>
  <si>
    <t>A bord d'un train de marchandises</t>
  </si>
  <si>
    <t>A bord d'un téléphérique ou télésiège</t>
  </si>
  <si>
    <t>Aéroport - zone non accessible au public ou zone côté piste</t>
  </si>
  <si>
    <t>L02.06.09</t>
  </si>
  <si>
    <t>Aéroport - Zone de sûreté à accès réglementé</t>
  </si>
  <si>
    <t>L02.06.10</t>
  </si>
  <si>
    <t>Base ou enceinte aérienne militaire</t>
  </si>
  <si>
    <t>Adaptation de la réponse opérationnelle et service à prévenir</t>
  </si>
  <si>
    <t>L02.07.04</t>
  </si>
  <si>
    <t>Gare ou station souterraine</t>
  </si>
  <si>
    <t>L02.07.05</t>
  </si>
  <si>
    <t>Gare ou station aérienne</t>
  </si>
  <si>
    <t>L02.07.06</t>
  </si>
  <si>
    <t>Arrêt de bus / tramway</t>
  </si>
  <si>
    <t>L02.07.07</t>
  </si>
  <si>
    <t>Voies de circulation de la gare</t>
  </si>
  <si>
    <t>L02.08.01</t>
  </si>
  <si>
    <t>Pont hors aquatique</t>
  </si>
  <si>
    <t>Ex: passerelle</t>
  </si>
  <si>
    <t>L02.08.02</t>
  </si>
  <si>
    <t>Pont aquatique mer</t>
  </si>
  <si>
    <t>Ex: pont mobile</t>
  </si>
  <si>
    <t>L02.08.03</t>
  </si>
  <si>
    <t>Pont aquatique eaux intérieures</t>
  </si>
  <si>
    <t>Ex: pont transbordeur, passerelle</t>
  </si>
  <si>
    <t>L02.09.00</t>
  </si>
  <si>
    <t>Port/Quai/Embarcadère</t>
  </si>
  <si>
    <t>L02.09.01</t>
  </si>
  <si>
    <t>Port civil</t>
  </si>
  <si>
    <t>L02.09.02</t>
  </si>
  <si>
    <t>Port militaire</t>
  </si>
  <si>
    <t>L03.02.01</t>
  </si>
  <si>
    <t>Corps de ferme </t>
  </si>
  <si>
    <t>Concerne la partie habitable</t>
  </si>
  <si>
    <t>L03.02.02</t>
  </si>
  <si>
    <t>Hangar agricole </t>
  </si>
  <si>
    <t>Concerne tout bâtiment hors habitation</t>
  </si>
  <si>
    <t>Parc de stationnement ouvert au public - souterrain</t>
  </si>
  <si>
    <t>Parc de stationnement ouvert au public - couvert</t>
  </si>
  <si>
    <t>Parc de stationnement ouvert au public - aérien</t>
  </si>
  <si>
    <t>L04.06.06</t>
  </si>
  <si>
    <t>Bibliothèque / médiathèque</t>
  </si>
  <si>
    <t>L04.07.04</t>
  </si>
  <si>
    <t>Etablissement de santé spécialisé</t>
  </si>
  <si>
    <t>L04.07.05</t>
  </si>
  <si>
    <t>Etablissement de santé (zone d'hospitalisation)</t>
  </si>
  <si>
    <t>L04.07.06</t>
  </si>
  <si>
    <t>Établissement de santé (hors zone d'hospitalisation)</t>
  </si>
  <si>
    <t>Pharmacie / laboratoire de biologie médicale (LBM)</t>
  </si>
  <si>
    <t>EHPAD / résidence autonomie</t>
  </si>
  <si>
    <t>L04.09.03</t>
  </si>
  <si>
    <t>Autre établissement médico-social</t>
  </si>
  <si>
    <t>Lieu de soins provisoires / tente / PMA</t>
  </si>
  <si>
    <t>Piscine / bassin (enceinte sportive)</t>
  </si>
  <si>
    <t>Salle de sport, gymnase</t>
  </si>
  <si>
    <t>L04.11.05</t>
  </si>
  <si>
    <t>Autre enceinte sportive</t>
  </si>
  <si>
    <t>Université / établissement d’enseignement supérieur</t>
  </si>
  <si>
    <t>L04.13.05</t>
  </si>
  <si>
    <t>Centre de formation pour adulte</t>
  </si>
  <si>
    <t>Crèche / garderie / centres de loisirs pour enfants</t>
  </si>
  <si>
    <t>Champ / prairie</t>
  </si>
  <si>
    <t>Sous-bois</t>
  </si>
  <si>
    <t>L05.01.05</t>
  </si>
  <si>
    <t>Espace naturel péri-urbain</t>
  </si>
  <si>
    <t>Concerne l'interface  habitat-forêt</t>
  </si>
  <si>
    <t>L05.08.00</t>
  </si>
  <si>
    <t>Milieu forestier</t>
  </si>
  <si>
    <t>L05.02.05</t>
  </si>
  <si>
    <t>Cours d’eau : canal / rivière / fleuve</t>
  </si>
  <si>
    <t>Plan d’eau : étang / marais / lac</t>
  </si>
  <si>
    <t>L05.03.03</t>
  </si>
  <si>
    <t>Eaux vives</t>
  </si>
  <si>
    <t>L05.03.04</t>
  </si>
  <si>
    <t>Zone de baignade en eau douce réglementée</t>
  </si>
  <si>
    <t>L05.03.05</t>
  </si>
  <si>
    <t>Plage / berge en eau douce</t>
  </si>
  <si>
    <t>Sur la terre ferme</t>
  </si>
  <si>
    <t>Mer : Littoral / plage / berge</t>
  </si>
  <si>
    <t>Mer : Zone de baignade</t>
  </si>
  <si>
    <t>Dans la bande des 300m</t>
  </si>
  <si>
    <t>Au-delà des 300 m</t>
  </si>
  <si>
    <t>L05.04.07</t>
  </si>
  <si>
    <t>Estran</t>
  </si>
  <si>
    <t>Partie du littoral alternativement couverte et découverte par la mer au rythme des marées</t>
  </si>
  <si>
    <t>Entrepôt de stockage</t>
  </si>
  <si>
    <t>Site de déchets / traitement de déchets</t>
  </si>
  <si>
    <t>Agents pathogènes de classe 3 (P3) : pouvant générer une grave maladie humaine ou animale, non transmissible d’un individu à l’autre, et pour laquelle il existe un traitement et des mesures préventives efficaces. Risque élevé pour la personne, faible pour la collectivité. Agents pathogènes de classe 4 (P4) : pouvant générer une grave maladie humaine ou animale, transmissible par aérosols et sans vaccin protecteur ou traitement médical efficace. Risque élevé pour la personne et pour la collectivité.  </t>
  </si>
  <si>
    <t>L06.01.09</t>
  </si>
  <si>
    <t>Lieu de stockage ou recyclage véhicules et engins divers</t>
  </si>
  <si>
    <t>L06.01.10</t>
  </si>
  <si>
    <t>Site de construction naval</t>
  </si>
  <si>
    <t>Site de production / transport d'énergie</t>
  </si>
  <si>
    <t>L06.02.01</t>
  </si>
  <si>
    <t>Ferme photovoltaïque</t>
  </si>
  <si>
    <t>L06.02.02</t>
  </si>
  <si>
    <t>Parc éolien</t>
  </si>
  <si>
    <t>L06.02.03</t>
  </si>
  <si>
    <t>Barrage hydraulique / retenue</t>
  </si>
  <si>
    <t>L06.02.04</t>
  </si>
  <si>
    <t>Poste de transformation électrique</t>
  </si>
  <si>
    <t>L06.02.05</t>
  </si>
  <si>
    <t>Ligne de transport d’électricité</t>
  </si>
  <si>
    <t>L06.02.06</t>
  </si>
  <si>
    <t>Centrale Thermique (gaz / charbon / biomasse)</t>
  </si>
  <si>
    <t>L06.02.07</t>
  </si>
  <si>
    <t xml:space="preserve">Centre de méthanisation </t>
  </si>
  <si>
    <t>L06.02.08</t>
  </si>
  <si>
    <t>Infrastructure de transport (Pipeline, Oléoduc, Gazoduc)</t>
  </si>
  <si>
    <t>L06.02.09</t>
  </si>
  <si>
    <t>Poste de transformation gaz</t>
  </si>
  <si>
    <t>Site militaire nucléaire</t>
  </si>
  <si>
    <t>Prison/ maison d'arrêt/ lieu de rétention</t>
  </si>
  <si>
    <t>Local de police / gendarmerie / pompiers</t>
  </si>
  <si>
    <t>Tribunal/Palais de justice</t>
  </si>
  <si>
    <t>L06.06.05</t>
  </si>
  <si>
    <t>Centre en-Route de la Navigation Aérienne</t>
  </si>
  <si>
    <t>Désigne un centre de contrôle régional en France des  aéronefs volant dans l'espace qui lui est associé.</t>
  </si>
  <si>
    <t>L06.08.00</t>
  </si>
  <si>
    <t>Station-service</t>
  </si>
  <si>
    <t>L06.09.00</t>
  </si>
  <si>
    <t>Site comportant des animaux</t>
  </si>
  <si>
    <t>L06.09.01</t>
  </si>
  <si>
    <t>Elevage d'animaux</t>
  </si>
  <si>
    <t>L06.09.02</t>
  </si>
  <si>
    <t>Haras / centre équestre / écuries</t>
  </si>
  <si>
    <t>L06.09.03</t>
  </si>
  <si>
    <t>Animalerie / clinique vétérinaire</t>
  </si>
  <si>
    <t>L06.10.00</t>
  </si>
  <si>
    <t>Décharge / casse automobile</t>
  </si>
  <si>
    <t>Lieu non explicite</t>
  </si>
  <si>
    <t>Implication d’un élus</t>
  </si>
  <si>
    <t>R60</t>
  </si>
  <si>
    <t>Risque d'explosion, présence de gaz (bouteilles)</t>
  </si>
  <si>
    <t>R61</t>
  </si>
  <si>
    <t>Présence de matière ou matériel explosif</t>
  </si>
  <si>
    <t>R62</t>
  </si>
  <si>
    <t>GPL ou carburation non conventionnelle </t>
  </si>
  <si>
    <t>R63</t>
  </si>
  <si>
    <t>Engin Propulsion / Traction électrique</t>
  </si>
  <si>
    <t>R64</t>
  </si>
  <si>
    <t>Levée de doute ou sinistre naissant</t>
  </si>
  <si>
    <t>Qualifie une situation pour laquelle les lieux les premiers moyens sur les lieux vont rencontrer des difficultés pour découvrir le sinistre. La découverte du sinitre ne sera pas flagrante</t>
  </si>
  <si>
    <t>R65</t>
  </si>
  <si>
    <t>Présence de bétail</t>
  </si>
  <si>
    <t>R66</t>
  </si>
  <si>
    <t>Présence d'animal domestique</t>
  </si>
  <si>
    <t>R67</t>
  </si>
  <si>
    <t>Porte/accès verrouillé</t>
  </si>
  <si>
    <t>R68</t>
  </si>
  <si>
    <t>Patient / victime ejecté</t>
  </si>
  <si>
    <t>R69</t>
  </si>
  <si>
    <t>Patient/Victime non visible</t>
  </si>
  <si>
    <t>R70</t>
  </si>
  <si>
    <t>Carence prestataire extérieur</t>
  </si>
  <si>
    <t>R71</t>
  </si>
  <si>
    <t xml:space="preserve">Situation en profondeur </t>
  </si>
  <si>
    <t>En sous-sol/milieu difficile d'accès</t>
  </si>
  <si>
    <t>R72</t>
  </si>
  <si>
    <t>Hauteur inférieure ou égale à 2 étages ( &lt;= 8mètres)</t>
  </si>
  <si>
    <t>Conditionne le choix du vecteur à utiliser</t>
  </si>
  <si>
    <t>R73</t>
  </si>
  <si>
    <t>Situation en milieu vicié</t>
  </si>
  <si>
    <t>Atmosphère irrrespirable</t>
  </si>
  <si>
    <t>R74</t>
  </si>
  <si>
    <t>Locaux à sommeil</t>
  </si>
  <si>
    <t>R75</t>
  </si>
  <si>
    <t>Gaz - Accident ou présence de travaux</t>
  </si>
  <si>
    <t>R76</t>
  </si>
  <si>
    <t>Gaz - Ouvrage endommagé visible</t>
  </si>
  <si>
    <t>R77</t>
  </si>
  <si>
    <t>Gaz - Ouvrage endommaé non visible</t>
  </si>
  <si>
    <t>R78</t>
  </si>
  <si>
    <t>Gaz - Dégâts apparents sur la conduite de gaz</t>
  </si>
  <si>
    <t>R79</t>
  </si>
  <si>
    <t>Gaz - Bruits, sifflements, souffle, vibrations ou projections</t>
  </si>
  <si>
    <t>R80</t>
  </si>
  <si>
    <t>Gaz - Zone dense en population</t>
  </si>
  <si>
    <t>R81</t>
  </si>
  <si>
    <t>Gaz - Grand rassemblement de public</t>
  </si>
  <si>
    <t>R82</t>
  </si>
  <si>
    <t>Gaz - En sous-sol</t>
  </si>
  <si>
    <t>R83</t>
  </si>
  <si>
    <t>Nombreux appels</t>
  </si>
  <si>
    <t>R84</t>
  </si>
  <si>
    <t>Hauteur supérieure à 2 étages (&gt; 8 mètres)</t>
  </si>
  <si>
    <t>R85</t>
  </si>
  <si>
    <t>Hauteur supérieure à 7 étages (&gt; 28 mètres)</t>
  </si>
  <si>
    <t>R86</t>
  </si>
  <si>
    <t>Voie non carrossable</t>
  </si>
  <si>
    <t>R88</t>
  </si>
  <si>
    <t>Victime face à un danger immédiat</t>
  </si>
  <si>
    <t>R89</t>
  </si>
  <si>
    <t>Victime face à une menace plus ou moins différée</t>
  </si>
  <si>
    <t>R90</t>
  </si>
  <si>
    <t xml:space="preserve">Présence dans un lieu public non protégé </t>
  </si>
  <si>
    <t>Personne présente dans un lieu non protégé l'exposant au public ou à des conditions climatiques défavorable</t>
  </si>
  <si>
    <t>R91</t>
  </si>
  <si>
    <t>M08.00.00</t>
  </si>
  <si>
    <t xml:space="preserve">Personne inconsciente </t>
  </si>
  <si>
    <t>M08.01.00</t>
  </si>
  <si>
    <t>Personne en arrêt ventilatoire</t>
  </si>
  <si>
    <t>M08.02.00</t>
  </si>
  <si>
    <t>Personne en arrêt cardio-respiratoire</t>
  </si>
  <si>
    <t>M08.03.00</t>
  </si>
  <si>
    <t>Personne inconsciente qui respire</t>
  </si>
  <si>
    <t>M09.00.00</t>
  </si>
  <si>
    <t xml:space="preserve">Hémorragies / Saignements </t>
  </si>
  <si>
    <t>M09.01.00</t>
  </si>
  <si>
    <t>Hémorragie ne pouvant être stoppée</t>
  </si>
  <si>
    <t>M09.01.01</t>
  </si>
  <si>
    <t>Epitaxis non stoppée par compression</t>
  </si>
  <si>
    <t>M09.02.00</t>
  </si>
  <si>
    <t>Hémorragie extériorisée</t>
  </si>
  <si>
    <t>M09.02.01</t>
  </si>
  <si>
    <t>Hémorragie digestive (haute ou basse) extériorirée</t>
  </si>
  <si>
    <t>M09.02.02</t>
  </si>
  <si>
    <t xml:space="preserve">Hémorragie extériorisée avec malaise </t>
  </si>
  <si>
    <t>M09.02.03</t>
  </si>
  <si>
    <t>Crache du sang hémoptysie</t>
  </si>
  <si>
    <t>M09.02.04</t>
  </si>
  <si>
    <t>Saignement stoppé par compression</t>
  </si>
  <si>
    <t>M09.02.05</t>
  </si>
  <si>
    <t>Epistaxis stoppée par compression</t>
  </si>
  <si>
    <t>M09.03.00</t>
  </si>
  <si>
    <t>Saignements bénins</t>
  </si>
  <si>
    <t>M09.03.01</t>
  </si>
  <si>
    <t>Saignement bénin sans signe de gravité identifié</t>
  </si>
  <si>
    <t>M10.00.00</t>
  </si>
  <si>
    <t>Problème circulatoire</t>
  </si>
  <si>
    <t>M10.01.00</t>
  </si>
  <si>
    <t>Palpitations</t>
  </si>
  <si>
    <t>M10.02.00</t>
  </si>
  <si>
    <t>Autres troubles circulatoires</t>
  </si>
  <si>
    <t>M10.02.01</t>
  </si>
  <si>
    <t>Patient/victime choquée par défibrillateur implanté</t>
  </si>
  <si>
    <t>M10.02.02</t>
  </si>
  <si>
    <t>Bradycardie &lt; 50 ou tachycardie &gt; 150</t>
  </si>
  <si>
    <t>M10.02.03</t>
  </si>
  <si>
    <t>Pression Artérielle &lt; 90 mmHg</t>
  </si>
  <si>
    <t>M10.02.04</t>
  </si>
  <si>
    <t>Pression Artérielle &gt; 160 mmHg</t>
  </si>
  <si>
    <t>M10.02.05</t>
  </si>
  <si>
    <t>Autre trouble sans signe de gravité</t>
  </si>
  <si>
    <t>M11.00.00</t>
  </si>
  <si>
    <t>Problème respiratoire</t>
  </si>
  <si>
    <t>M11.01.00</t>
  </si>
  <si>
    <t>M11.01.01</t>
  </si>
  <si>
    <t>Détresse respiratoire avec asphyxie</t>
  </si>
  <si>
    <t>Moins de 4 syllabes ou mots courts, cyanose), ou obstruction complète</t>
  </si>
  <si>
    <t>M11.01.02</t>
  </si>
  <si>
    <t xml:space="preserve">Epuisement respiratoire chez un nourrisson </t>
  </si>
  <si>
    <t>M11.02.00</t>
  </si>
  <si>
    <t>Difficultés respiratoires</t>
  </si>
  <si>
    <t>M11.02.01</t>
  </si>
  <si>
    <t>Respiration bruyante</t>
  </si>
  <si>
    <t>M11.02.02</t>
  </si>
  <si>
    <t>Difficultés respiratoires avec sueurs ou altération de conscience</t>
  </si>
  <si>
    <t>M11.02.03</t>
  </si>
  <si>
    <t>Difficultés respiratoires sans signe de gravité</t>
  </si>
  <si>
    <t>M11.03.00</t>
  </si>
  <si>
    <t>Autres problèmes respiratoires</t>
  </si>
  <si>
    <t>M11.03.01</t>
  </si>
  <si>
    <t xml:space="preserve">Problème isolé d'appareillage respiratoire ou canule </t>
  </si>
  <si>
    <t>M11.03.02</t>
  </si>
  <si>
    <t>Corps étranger expulsé des poumons</t>
  </si>
  <si>
    <t>M11.03.03</t>
  </si>
  <si>
    <t>Problème respiratoire avec obstruction partielle</t>
  </si>
  <si>
    <t>M11.03.04</t>
  </si>
  <si>
    <t>Autres problème respiratoire sans signe de gravité</t>
  </si>
  <si>
    <t>M12.00.00</t>
  </si>
  <si>
    <t>Problème neurologique</t>
  </si>
  <si>
    <t>M12.01.00</t>
  </si>
  <si>
    <t>Suspicion AVC / AIT</t>
  </si>
  <si>
    <t>M12.01.01</t>
  </si>
  <si>
    <t xml:space="preserve">Suspicion AVC / AIT avec trouble de conscience </t>
  </si>
  <si>
    <t>M12.01.02</t>
  </si>
  <si>
    <t>Suspicion AVC / AIT sans céphalée ou vomissement ni trouble de la conscience</t>
  </si>
  <si>
    <t>M12.01.03</t>
  </si>
  <si>
    <t>Suspicion AVC / AIT avec disparition des signes d'AVC à l'appel</t>
  </si>
  <si>
    <t>M12.02.00</t>
  </si>
  <si>
    <t>Convulsions persistantes</t>
  </si>
  <si>
    <t>M12.03.00</t>
  </si>
  <si>
    <t xml:space="preserve">Convulsion </t>
  </si>
  <si>
    <t>M12.03.01</t>
  </si>
  <si>
    <t xml:space="preserve">Convulsions chez une femme enceinte </t>
  </si>
  <si>
    <t>M12.03.02</t>
  </si>
  <si>
    <t>Convulsions avec fièvre chez l'enfant</t>
  </si>
  <si>
    <t>M12.03.03</t>
  </si>
  <si>
    <t>En cours de réveil après convulsions</t>
  </si>
  <si>
    <t>M12.04.00</t>
  </si>
  <si>
    <t xml:space="preserve">Trouble de la conscience </t>
  </si>
  <si>
    <t>M12.04.01</t>
  </si>
  <si>
    <t>Trouble de la conscience chez un diabétique</t>
  </si>
  <si>
    <t>M12.04.02</t>
  </si>
  <si>
    <t>Trouble de la conscience avec perte de connaissance initiale</t>
  </si>
  <si>
    <t>M12.04.03</t>
  </si>
  <si>
    <t>Somnolent et capable de parler ou de répondre à des ordres simples</t>
  </si>
  <si>
    <t>M12.04.04</t>
  </si>
  <si>
    <t>Confusion, désorientation</t>
  </si>
  <si>
    <t>M12.04.05</t>
  </si>
  <si>
    <t>Autre trouble de la conscience sans signe de gravité</t>
  </si>
  <si>
    <t>M12.05.00</t>
  </si>
  <si>
    <t>Malaise</t>
  </si>
  <si>
    <t>M12.05.01</t>
  </si>
  <si>
    <t>Malaise sans signe de gravité</t>
  </si>
  <si>
    <t>M12.05.02</t>
  </si>
  <si>
    <t>Malaise au cours d'un effort</t>
  </si>
  <si>
    <t>M12.05.03</t>
  </si>
  <si>
    <t>M12.05.04</t>
  </si>
  <si>
    <t>Malaise avec trouble de la conscience</t>
  </si>
  <si>
    <t>M12.06.00</t>
  </si>
  <si>
    <t xml:space="preserve">Autre motif neurologique </t>
  </si>
  <si>
    <t>M12.06.01</t>
  </si>
  <si>
    <t>Céphalées isolées</t>
  </si>
  <si>
    <t>M12.06.02</t>
  </si>
  <si>
    <t>Céphalées avec vomissement</t>
  </si>
  <si>
    <t>M12.06.03</t>
  </si>
  <si>
    <t>Autre motif neurologique sans signe de gravité</t>
  </si>
  <si>
    <t>M13.00.00</t>
  </si>
  <si>
    <t>Traumatisme</t>
  </si>
  <si>
    <t>M13.01.00</t>
  </si>
  <si>
    <t>M13.02.00</t>
  </si>
  <si>
    <t>Polytraumatisme / traumatisme sévère</t>
  </si>
  <si>
    <t>M13.03.00</t>
  </si>
  <si>
    <t>Traumatisme tête / cou</t>
  </si>
  <si>
    <t>M13.03.01</t>
  </si>
  <si>
    <t>Traumatisme tête / cou avec perte de connaissance initiale ou troubles de la conscience</t>
  </si>
  <si>
    <t>M13.03.02</t>
  </si>
  <si>
    <t>Traumatisme tête / cou sans signe de gravité</t>
  </si>
  <si>
    <t>M13.04.00</t>
  </si>
  <si>
    <t>Traumatisme thorax</t>
  </si>
  <si>
    <t>M13.04.01</t>
  </si>
  <si>
    <t>Traumatisme thorax avec gêne respiratoire</t>
  </si>
  <si>
    <t>M13.04.02</t>
  </si>
  <si>
    <t>Traumatisme thorax sans signe de gravité</t>
  </si>
  <si>
    <t>M13.05.00</t>
  </si>
  <si>
    <t>Traumatisme abdomen / bassin</t>
  </si>
  <si>
    <t>M13.05.01</t>
  </si>
  <si>
    <t>Traumatisme abdomen / bassin violent</t>
  </si>
  <si>
    <t>M13.05.02</t>
  </si>
  <si>
    <t>Traumatisme abdomen / bassin sans signe de gravité</t>
  </si>
  <si>
    <t>M13.06.00</t>
  </si>
  <si>
    <t>Traumatisme membres</t>
  </si>
  <si>
    <t>M13.06.01</t>
  </si>
  <si>
    <t>Traumatisme membre avec amputation</t>
  </si>
  <si>
    <t>M13.06.02</t>
  </si>
  <si>
    <t>Fracture ouverte de membre</t>
  </si>
  <si>
    <t>M13.06.03</t>
  </si>
  <si>
    <t>Fracture fermée de membre</t>
  </si>
  <si>
    <t>M13.06.04</t>
  </si>
  <si>
    <t>Traumatisme avec déformation de membre</t>
  </si>
  <si>
    <t>M13.06.05</t>
  </si>
  <si>
    <t>Traumatisme de membres sans signe de gravité</t>
  </si>
  <si>
    <t>M13.07.00</t>
  </si>
  <si>
    <t>Traumatisme doigts - orteils</t>
  </si>
  <si>
    <t>M13.07.01</t>
  </si>
  <si>
    <t>Traumatisme doigts / orteils avec amputation</t>
  </si>
  <si>
    <t>M13.07.02</t>
  </si>
  <si>
    <t xml:space="preserve">Fracture ouverte de doigts / orteils </t>
  </si>
  <si>
    <t>M13.07.03</t>
  </si>
  <si>
    <t xml:space="preserve">Fracture fermée doigts / orteils </t>
  </si>
  <si>
    <t>M13.07.04</t>
  </si>
  <si>
    <t>Traumatisme doigts / orteils  avec déformation</t>
  </si>
  <si>
    <t>M13.07.05</t>
  </si>
  <si>
    <t>Traumatisme doigts / orteils  sans signe de gravité</t>
  </si>
  <si>
    <t>M14.00.00</t>
  </si>
  <si>
    <t>Plaies</t>
  </si>
  <si>
    <t>M14.01.00</t>
  </si>
  <si>
    <t>Plaie pénétrante</t>
  </si>
  <si>
    <t>M14.01.01</t>
  </si>
  <si>
    <t>Plaie pénétrante étendue</t>
  </si>
  <si>
    <t>M14.01.02</t>
  </si>
  <si>
    <t>Plaies pénétrantes multiples</t>
  </si>
  <si>
    <t>M14.01.03</t>
  </si>
  <si>
    <t>Plaie grave du crâne (scalp)</t>
  </si>
  <si>
    <t>M14.01.04</t>
  </si>
  <si>
    <t>Plaie grave du visage</t>
  </si>
  <si>
    <t>M14.01.05</t>
  </si>
  <si>
    <t>Plaie grave du cou</t>
  </si>
  <si>
    <t>M14.01.06</t>
  </si>
  <si>
    <t>Plaie grave du thorax - abdomen</t>
  </si>
  <si>
    <t>M14.01.07</t>
  </si>
  <si>
    <t>Plaie grave avec pâleur/soif/prostration</t>
  </si>
  <si>
    <t>M14.02.00</t>
  </si>
  <si>
    <t>Morsure</t>
  </si>
  <si>
    <t>M14.02.01</t>
  </si>
  <si>
    <t>Morsure grave</t>
  </si>
  <si>
    <t>M14.02.02</t>
  </si>
  <si>
    <t>Morsure sans signe de gravité</t>
  </si>
  <si>
    <t>M15.00.00</t>
  </si>
  <si>
    <t>Brûlures</t>
  </si>
  <si>
    <t>M15.01.00</t>
  </si>
  <si>
    <t>Brûlure thermique</t>
  </si>
  <si>
    <t>M15.01.01</t>
  </si>
  <si>
    <t>Brûlure thermique grave (étendue / circulaire / tronc / face / cou)</t>
  </si>
  <si>
    <t>M15.01.02</t>
  </si>
  <si>
    <t>Brûlure thermique à l'œil</t>
  </si>
  <si>
    <t>M15.01.03</t>
  </si>
  <si>
    <t>Brûlure thermique sans signe de gravité</t>
  </si>
  <si>
    <t>M15.02.00</t>
  </si>
  <si>
    <t>Brûlure chimique</t>
  </si>
  <si>
    <t>M15.02.01</t>
  </si>
  <si>
    <t>Brûlure chimique grave (étendue / circulaire / tronc / face / cou)</t>
  </si>
  <si>
    <t>M15.02.02</t>
  </si>
  <si>
    <t>Brûlure à l'œil</t>
  </si>
  <si>
    <t>M15.02.03</t>
  </si>
  <si>
    <t>Brûlure chimique sans signe de gravité</t>
  </si>
  <si>
    <t>M15.03.00</t>
  </si>
  <si>
    <t>Gelure</t>
  </si>
  <si>
    <t>M15.03.01</t>
  </si>
  <si>
    <t>Gelure grave</t>
  </si>
  <si>
    <t>M15.03.02</t>
  </si>
  <si>
    <t>Gelure sans signe de gravité</t>
  </si>
  <si>
    <t>M16.00.00</t>
  </si>
  <si>
    <t>M16.01.00</t>
  </si>
  <si>
    <t>Intoxication au CO / fumées</t>
  </si>
  <si>
    <t>M16.01.01</t>
  </si>
  <si>
    <t>Intoxication au CO / fumées avec convulsions / troubles de la conscience</t>
  </si>
  <si>
    <t>M16.01.02</t>
  </si>
  <si>
    <t>Intoxication au CO / fumées avec vomissements, céphalées</t>
  </si>
  <si>
    <t>M16.01.03</t>
  </si>
  <si>
    <t>Intoxication au CO / fumées sans signe de gravité</t>
  </si>
  <si>
    <t>M16.02.00</t>
  </si>
  <si>
    <t xml:space="preserve">Intoxication éthylique / prise de stupéfiants </t>
  </si>
  <si>
    <t>M16.02.01</t>
  </si>
  <si>
    <t>Intoxication éthylique / prise de stupéfiants avec convulsions ou coma</t>
  </si>
  <si>
    <t>M16.02.02</t>
  </si>
  <si>
    <t>Intoxication éthylique / prise de stupéfiants avec somnolence</t>
  </si>
  <si>
    <t>M16.02.03</t>
  </si>
  <si>
    <t>Intoxication éthylique / prise de stupéfiants sans signe de gravité</t>
  </si>
  <si>
    <t>M16.03.00</t>
  </si>
  <si>
    <t xml:space="preserve">Intoxication médicamenteuse </t>
  </si>
  <si>
    <t>M16.03.01</t>
  </si>
  <si>
    <t>Intoxication médicamenteuse avec convulsions ou coma</t>
  </si>
  <si>
    <t>M16.03.02</t>
  </si>
  <si>
    <t xml:space="preserve">Intoxication médicamenteuse avec détresse respiratoire </t>
  </si>
  <si>
    <t>M16.03.03</t>
  </si>
  <si>
    <t>Intoxication médicamenteuse avec somnolence</t>
  </si>
  <si>
    <t>M16.03.04</t>
  </si>
  <si>
    <t>Intoxication médicamenteuse sans signe de gravité</t>
  </si>
  <si>
    <t>M16.04.00</t>
  </si>
  <si>
    <t>Intoxication chimique / venimeuse</t>
  </si>
  <si>
    <t>M16.04.01</t>
  </si>
  <si>
    <t>Intoxication chimique / venimeuse avec convulsions / troubles de la conscience</t>
  </si>
  <si>
    <t>M16.04.02</t>
  </si>
  <si>
    <t>Intoxication chimique / venimeuse avec détresse respiratoire ou toux</t>
  </si>
  <si>
    <t>M16.04.03</t>
  </si>
  <si>
    <t>Intoxication chimique / venimeuse sans signe de gravité</t>
  </si>
  <si>
    <t>M17.00.00</t>
  </si>
  <si>
    <t>Douleurs</t>
  </si>
  <si>
    <t>M17.01.00</t>
  </si>
  <si>
    <t>Céphalées</t>
  </si>
  <si>
    <t>M17.01.01</t>
  </si>
  <si>
    <t>Céphalées avec troubles de conscience</t>
  </si>
  <si>
    <t>M17.01.02</t>
  </si>
  <si>
    <t>Céphalées chez la femme enceinte</t>
  </si>
  <si>
    <t>M17.01.03</t>
  </si>
  <si>
    <t>Céphalées sans signe de gravité</t>
  </si>
  <si>
    <t>M17.02.00</t>
  </si>
  <si>
    <t xml:space="preserve">Douleurs abdominales </t>
  </si>
  <si>
    <t>M17.02.01</t>
  </si>
  <si>
    <t>Douleurs abdominales sans signe de gravité</t>
  </si>
  <si>
    <t>M17.03.00</t>
  </si>
  <si>
    <t xml:space="preserve">Douleur thoracique </t>
  </si>
  <si>
    <t>M17.03.01</t>
  </si>
  <si>
    <t>Douleur thoracique  -  cas d'usage n°1</t>
  </si>
  <si>
    <t>M17.03.02</t>
  </si>
  <si>
    <t>Douleur thoracique  -  cas d'usage n°2</t>
  </si>
  <si>
    <t>M17.03.03</t>
  </si>
  <si>
    <t>Douleur thoracique  - cas d'usage n°3</t>
  </si>
  <si>
    <t>M17.04.00</t>
  </si>
  <si>
    <t xml:space="preserve">Douleurs ostéoarticulaires </t>
  </si>
  <si>
    <t>M17.04.01</t>
  </si>
  <si>
    <t>Douleurs ostéoarticulaires ou de membre</t>
  </si>
  <si>
    <t>M17.04.02</t>
  </si>
  <si>
    <t>Douleur ostéoarticulaire sans signe de gravité</t>
  </si>
  <si>
    <t>M17.05.00</t>
  </si>
  <si>
    <t xml:space="preserve">Autres douleurs </t>
  </si>
  <si>
    <t>M17.05.01</t>
  </si>
  <si>
    <t>Douleurs dentaires</t>
  </si>
  <si>
    <t>M17.05.02</t>
  </si>
  <si>
    <t>Douleurs oculaires</t>
  </si>
  <si>
    <t>M17.05.03</t>
  </si>
  <si>
    <t>Douleurs ORL (nez / gorge / oreilles)</t>
  </si>
  <si>
    <t>M17.05.04</t>
  </si>
  <si>
    <t>Autres douleurs sans signe de gravité</t>
  </si>
  <si>
    <t>M18.00.00</t>
  </si>
  <si>
    <t>Accouchement / problème obstétrique</t>
  </si>
  <si>
    <t>M18.01.00</t>
  </si>
  <si>
    <t>Accouchement réalisé ou imminent</t>
  </si>
  <si>
    <t>M18.01.01</t>
  </si>
  <si>
    <t>Accouchement imminent avec bébé visible</t>
  </si>
  <si>
    <t>M18.01.02</t>
  </si>
  <si>
    <t>Accouchement réalisé</t>
  </si>
  <si>
    <t>M18.01.03</t>
  </si>
  <si>
    <t>Accouchement imminent - Sent le bébé descendre ou envie de pousser</t>
  </si>
  <si>
    <t>M18.01.04</t>
  </si>
  <si>
    <t>Accouchement imminent - Contractions &lt; 5 min avec ou sans perte des eaux</t>
  </si>
  <si>
    <t>M18.01.05</t>
  </si>
  <si>
    <t>Accouchement imminent - Contractions entre 5 et 10 min avec ou sans perte des eaux</t>
  </si>
  <si>
    <t>M18.01.06</t>
  </si>
  <si>
    <t>Accouchement imminent - Perte des eaux</t>
  </si>
  <si>
    <t>M18.01.07</t>
  </si>
  <si>
    <t>Accouchement imminent - Contractions et hémorragies</t>
  </si>
  <si>
    <t>M18.02.00</t>
  </si>
  <si>
    <t xml:space="preserve">Autre problème obstétrical </t>
  </si>
  <si>
    <t>M18.02.01</t>
  </si>
  <si>
    <t>Saignement / hémorragie au décours d'une grossesse</t>
  </si>
  <si>
    <t>M18.02.02</t>
  </si>
  <si>
    <t>Douleurs abdominales chez une femme enceinte</t>
  </si>
  <si>
    <t>M18.02.03</t>
  </si>
  <si>
    <t xml:space="preserve">Autre problème obstétrical  avec saignement / hémorragie </t>
  </si>
  <si>
    <t>M18.02.04</t>
  </si>
  <si>
    <t>Problème obstétrical avec anomalie de résultat biologique</t>
  </si>
  <si>
    <t>M18.02.05</t>
  </si>
  <si>
    <t xml:space="preserve"> Autre problème obstétrical sans signe de gravité</t>
  </si>
  <si>
    <t>M19.00.00</t>
  </si>
  <si>
    <t>Autres affections</t>
  </si>
  <si>
    <t>M19.01.00</t>
  </si>
  <si>
    <t>Accident exposition aux risques biologiques</t>
  </si>
  <si>
    <t>M19.02.00</t>
  </si>
  <si>
    <t>Allergies</t>
  </si>
  <si>
    <t>M19.02.01</t>
  </si>
  <si>
    <t>Allergies avec gonflement du visage, du cou ou modification de la voix</t>
  </si>
  <si>
    <t>M19.02.02</t>
  </si>
  <si>
    <t>Allergies avec sensation de malaise / problème digestif</t>
  </si>
  <si>
    <t>M19.02.03</t>
  </si>
  <si>
    <t>Allergies avec éruption généralisée</t>
  </si>
  <si>
    <t>M19.02.04</t>
  </si>
  <si>
    <t>Allergies  avec perte de connaissance initiale ou altération de la inconscience</t>
  </si>
  <si>
    <t>M19.02.05</t>
  </si>
  <si>
    <t>Allergies avec difficultés respiratoires</t>
  </si>
  <si>
    <t>M19.02.06</t>
  </si>
  <si>
    <t>Allergies sans signe de gravité</t>
  </si>
  <si>
    <t>M19.03.00</t>
  </si>
  <si>
    <t>Anomalie de la glycémie</t>
  </si>
  <si>
    <t>M19.04.00</t>
  </si>
  <si>
    <t>Demande de conseil médical ou ordonnance</t>
  </si>
  <si>
    <t>M19.05.00</t>
  </si>
  <si>
    <t>Fièvre</t>
  </si>
  <si>
    <t>M19.06.00</t>
  </si>
  <si>
    <t>M19.06.01</t>
  </si>
  <si>
    <t>Trouble digestif avec hémorragie digestive</t>
  </si>
  <si>
    <t>M19.06.02</t>
  </si>
  <si>
    <t>Trouble digestif avec trouble du transit (diarrhée / vomissement)</t>
  </si>
  <si>
    <t>M19.06.03</t>
  </si>
  <si>
    <t>Problème de poche digestive</t>
  </si>
  <si>
    <t>M19.06.04</t>
  </si>
  <si>
    <t>Trouble digestif sans douleur</t>
  </si>
  <si>
    <t>M19.06.05</t>
  </si>
  <si>
    <t>Troubles digestifs sans signe de gravité</t>
  </si>
  <si>
    <t>M19.07.00</t>
  </si>
  <si>
    <t>Problème psychiatrique / social</t>
  </si>
  <si>
    <t>M19.07.01</t>
  </si>
  <si>
    <t>Misère physiologique ou incurie</t>
  </si>
  <si>
    <t>M19.07.02</t>
  </si>
  <si>
    <t>Agitation / crise nerveuse / comportement violent</t>
  </si>
  <si>
    <t>M19.07.03</t>
  </si>
  <si>
    <t>Etat de manque / Sevrage</t>
  </si>
  <si>
    <t>M19.07.04</t>
  </si>
  <si>
    <t>M19.08.00</t>
  </si>
  <si>
    <t>Problème infectieux</t>
  </si>
  <si>
    <t>M20.00.00</t>
  </si>
  <si>
    <t>Décès certain</t>
  </si>
  <si>
    <t>M20.01.00</t>
  </si>
  <si>
    <t>Corps en décomposition</t>
  </si>
  <si>
    <t>M20.02.00</t>
  </si>
  <si>
    <t>Décés déclaré par un professionnel de santé</t>
  </si>
  <si>
    <t>M20.03.00</t>
  </si>
  <si>
    <t>Rigidité cadavérique et corps froid</t>
  </si>
  <si>
    <t>M20.04.00</t>
  </si>
  <si>
    <t>Tête séparée du tronc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</si>
</sst>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Calibri"/>
      <family val="2"/>
      <charset val="1"/>
    </font>
    <font>
      <sz val="11"/>
      <color theme="1"/>
      <name val="Calibri"/>
      <family val="2"/>
      <scheme val="minor"/>
    </font>
    <font>
      <sz val="11"/>
      <color rgb="FF808080"/>
      <name val="Calibri1"/>
      <charset val="1"/>
    </font>
    <font>
      <sz val="11"/>
      <color theme="1"/>
      <name val="Arial"/>
      <family val="2"/>
      <charset val="1"/>
    </font>
    <font>
      <sz val="10"/>
      <name val="Arial"/>
      <family val="2"/>
      <charset val="1"/>
    </font>
    <font>
      <b/>
      <sz val="11"/>
      <color theme="1"/>
      <name val="Arial"/>
      <family val="2"/>
      <charset val="1"/>
    </font>
    <font>
      <b/>
      <sz val="11"/>
      <name val="Arial"/>
      <family val="2"/>
      <charset val="1"/>
    </font>
    <font>
      <sz val="11"/>
      <name val="Arial"/>
      <family val="2"/>
      <charset val="1"/>
    </font>
    <font>
      <u/>
      <sz val="11"/>
      <color theme="10"/>
      <name val="Arial"/>
      <family val="2"/>
      <charset val="1"/>
    </font>
    <font>
      <u/>
      <sz val="11"/>
      <color theme="10"/>
      <name val="Calibri"/>
      <family val="2"/>
      <charset val="1"/>
    </font>
    <font>
      <b/>
      <sz val="10"/>
      <color theme="1"/>
      <name val="Calibri"/>
      <family val="2"/>
      <charset val="1"/>
    </font>
    <font>
      <sz val="9"/>
      <color theme="1" tint="0.49989318521683401"/>
      <name val="Calibri"/>
      <family val="2"/>
      <charset val="1"/>
    </font>
    <font>
      <i/>
      <sz val="9"/>
      <color theme="1" tint="0.49989318521683401"/>
      <name val="Calibri"/>
      <family val="2"/>
      <charset val="1"/>
    </font>
    <font>
      <sz val="10"/>
      <color theme="1"/>
      <name val="Calibri"/>
      <family val="2"/>
      <charset val="1"/>
    </font>
    <font>
      <sz val="11"/>
      <name val="Calibri"/>
      <family val="2"/>
      <charset val="1"/>
    </font>
    <font>
      <sz val="10"/>
      <name val="Calibri"/>
      <family val="2"/>
      <charset val="1"/>
    </font>
    <font>
      <sz val="10"/>
      <color rgb="FFFF0000"/>
      <name val="Arial"/>
      <family val="2"/>
      <charset val="1"/>
    </font>
    <font>
      <strike/>
      <sz val="10"/>
      <name val="Arial"/>
      <family val="2"/>
      <charset val="1"/>
    </font>
    <font>
      <strike/>
      <sz val="10"/>
      <color theme="1"/>
      <name val="Calibri"/>
      <family val="2"/>
      <charset val="1"/>
    </font>
    <font>
      <strike/>
      <sz val="11"/>
      <color theme="1"/>
      <name val="Calibri"/>
      <family val="2"/>
      <charset val="1"/>
    </font>
    <font>
      <sz val="11"/>
      <color rgb="FF000000"/>
      <name val="Calibri"/>
      <family val="2"/>
      <charset val="1"/>
    </font>
    <font>
      <b/>
      <sz val="10"/>
      <color rgb="FF000000"/>
      <name val="Calibri"/>
      <family val="2"/>
      <charset val="1"/>
    </font>
    <font>
      <i/>
      <sz val="9"/>
      <color rgb="FF808080"/>
      <name val="Calibri"/>
      <family val="2"/>
      <charset val="1"/>
    </font>
    <font>
      <sz val="10"/>
      <color rgb="FF000000"/>
      <name val="Calibri"/>
      <family val="2"/>
      <charset val="1"/>
    </font>
    <font>
      <sz val="10"/>
      <color rgb="FF333333"/>
      <name val="Arial"/>
      <family val="2"/>
      <charset val="1"/>
    </font>
    <font>
      <i/>
      <sz val="9"/>
      <color rgb="FFFF0000"/>
      <name val="Calibri"/>
      <family val="2"/>
      <charset val="1"/>
    </font>
    <font>
      <sz val="12"/>
      <name val="Calibri"/>
      <family val="2"/>
      <charset val="1"/>
    </font>
    <font>
      <sz val="11"/>
      <color theme="1"/>
      <name val="Aptos"/>
      <family val="2"/>
      <charset val="1"/>
    </font>
    <font>
      <sz val="12"/>
      <color rgb="FFFF0000"/>
      <name val="Calibri"/>
      <family val="2"/>
      <charset val="1"/>
    </font>
    <font>
      <sz val="11"/>
      <color rgb="FFFF0000"/>
      <name val="Calibri"/>
      <family val="2"/>
      <charset val="1"/>
    </font>
    <font>
      <sz val="11"/>
      <color theme="1"/>
      <name val="Calibri"/>
      <family val="2"/>
      <charset val="1"/>
    </font>
    <font>
      <sz val="10"/>
      <name val="Arial"/>
      <family val="2"/>
    </font>
    <font>
      <sz val="11"/>
      <color theme="1"/>
      <name val="Calibri"/>
      <family val="2"/>
    </font>
    <font>
      <sz val="11"/>
      <name val="Calibri"/>
      <family val="2"/>
    </font>
    <font>
      <sz val="11"/>
      <color theme="1"/>
      <name val="Arial"/>
      <family val="2"/>
    </font>
    <font>
      <sz val="10"/>
      <color theme="1" tint="0.49989318521683401"/>
      <name val="Calibri"/>
      <family val="2"/>
      <charset val="1"/>
    </font>
    <font>
      <sz val="10"/>
      <color rgb="FF333333"/>
      <name val="Calibri"/>
      <family val="2"/>
      <charset val="1"/>
    </font>
    <font>
      <sz val="11"/>
      <color rgb="FF9C0006"/>
      <name val="Calibri"/>
      <family val="2"/>
      <scheme val="minor"/>
    </font>
    <font>
      <sz val="11"/>
      <color rgb="FF9C5700"/>
      <name val="Calibri"/>
      <family val="2"/>
      <scheme val="minor"/>
    </font>
    <font>
      <sz val="10"/>
      <color theme="1"/>
      <name val="Calibri"/>
      <family val="2"/>
      <scheme val="minor"/>
    </font>
    <font>
      <sz val="10"/>
      <color theme="1"/>
      <name val="Calibri"/>
      <family val="2"/>
    </font>
    <font>
      <sz val="10"/>
      <name val="Calibri"/>
      <family val="2"/>
      <scheme val="minor"/>
    </font>
    <font>
      <sz val="11"/>
      <color rgb="FF9C6500"/>
      <name val="Calibri"/>
      <family val="2"/>
      <scheme val="minor"/>
    </font>
    <font>
      <sz val="8"/>
      <name val="Calibri"/>
      <family val="2"/>
      <charset val="1"/>
    </font>
  </fonts>
  <fills count="11">
    <fill>
      <patternFill patternType="none"/>
    </fill>
    <fill>
      <patternFill patternType="gray125"/>
    </fill>
    <fill>
      <patternFill patternType="solid">
        <fgColor theme="8" tint="0.39988402966399123"/>
        <bgColor rgb="FF8EA9DB"/>
      </patternFill>
    </fill>
    <fill>
      <patternFill patternType="solid">
        <fgColor theme="4" tint="0.79989013336588644"/>
        <bgColor rgb="FFE2F0D9"/>
      </patternFill>
    </fill>
    <fill>
      <patternFill patternType="solid">
        <fgColor rgb="FF8EA9DB"/>
        <bgColor rgb="FF8FAADC"/>
      </patternFill>
    </fill>
    <fill>
      <patternFill patternType="solid">
        <fgColor rgb="FFFFFFFF"/>
        <bgColor rgb="FFFFF2CC"/>
      </patternFill>
    </fill>
    <fill>
      <patternFill patternType="solid">
        <fgColor rgb="FF92D050"/>
        <bgColor theme="0" tint="-0.14999847407452621"/>
      </patternFill>
    </fill>
    <fill>
      <patternFill patternType="solid">
        <fgColor theme="7" tint="0.79998168889431442"/>
        <bgColor indexed="64"/>
      </patternFill>
    </fill>
    <fill>
      <patternFill patternType="solid">
        <fgColor rgb="FFFFFF00"/>
        <bgColor indexed="64"/>
      </patternFill>
    </fill>
    <fill>
      <patternFill patternType="solid">
        <fgColor rgb="FFFFC7CE"/>
      </patternFill>
    </fill>
    <fill>
      <patternFill patternType="solid">
        <fgColor rgb="FFFFEB9C"/>
      </patternFill>
    </fill>
  </fills>
  <borders count="10">
    <border>
      <left/>
      <right/>
      <top/>
      <bottom/>
      <diagonal/>
    </border>
    <border>
      <left style="thin">
        <color auto="1"/>
      </left>
      <right style="thin">
        <color auto="1"/>
      </right>
      <top style="thin">
        <color auto="1"/>
      </top>
      <bottom style="thin">
        <color auto="1"/>
      </bottom>
      <diagonal/>
    </border>
    <border>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diagonal/>
    </border>
    <border>
      <left/>
      <right/>
      <top style="thin">
        <color theme="4" tint="0.39988402966399123"/>
      </top>
      <bottom style="thin">
        <color theme="4" tint="0.39988402966399123"/>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medium">
        <color rgb="FFBFBFBF"/>
      </right>
      <top/>
      <bottom style="medium">
        <color rgb="FFBFBFBF"/>
      </bottom>
      <diagonal/>
    </border>
  </borders>
  <cellStyleXfs count="8">
    <xf numFmtId="0" fontId="0" fillId="0" borderId="0"/>
    <xf numFmtId="0" fontId="9" fillId="0" borderId="0"/>
    <xf numFmtId="0" fontId="2" fillId="0" borderId="0"/>
    <xf numFmtId="0" fontId="30" fillId="2" borderId="0"/>
    <xf numFmtId="0" fontId="37" fillId="9" borderId="0" applyNumberFormat="0" applyBorder="0" applyAlignment="0" applyProtection="0"/>
    <xf numFmtId="0" fontId="38" fillId="10" borderId="0" applyNumberFormat="0" applyBorder="0" applyAlignment="0" applyProtection="0"/>
    <xf numFmtId="0" fontId="32" fillId="0" borderId="0"/>
    <xf numFmtId="0" fontId="42" fillId="10" borderId="0" applyNumberFormat="0" applyBorder="0" applyProtection="0"/>
  </cellStyleXfs>
  <cellXfs count="99">
    <xf numFmtId="0" fontId="0" fillId="0" borderId="0" xfId="0"/>
    <xf numFmtId="0" fontId="3" fillId="0" borderId="0" xfId="0" applyFont="1"/>
    <xf numFmtId="0" fontId="4" fillId="0" borderId="0" xfId="0" applyFont="1" applyAlignment="1">
      <alignment vertical="center"/>
    </xf>
    <xf numFmtId="0" fontId="5" fillId="3" borderId="1" xfId="0" applyFont="1" applyFill="1" applyBorder="1" applyAlignment="1">
      <alignment horizontal="center"/>
    </xf>
    <xf numFmtId="0" fontId="5" fillId="0" borderId="0" xfId="0" applyFont="1"/>
    <xf numFmtId="0" fontId="3" fillId="0" borderId="1" xfId="0" applyFont="1" applyBorder="1" applyAlignment="1">
      <alignment horizontal="left"/>
    </xf>
    <xf numFmtId="0" fontId="6" fillId="0" borderId="1" xfId="0" applyFont="1" applyBorder="1" applyAlignment="1">
      <alignment horizontal="left"/>
    </xf>
    <xf numFmtId="49" fontId="7" fillId="0" borderId="1" xfId="0" applyNumberFormat="1" applyFont="1" applyBorder="1" applyAlignment="1">
      <alignment horizontal="left"/>
    </xf>
    <xf numFmtId="0" fontId="8" fillId="0" borderId="1" xfId="1" applyFont="1" applyBorder="1"/>
    <xf numFmtId="0" fontId="3" fillId="0" borderId="1" xfId="0" applyFont="1" applyBorder="1"/>
    <xf numFmtId="0" fontId="3" fillId="0" borderId="1" xfId="0" applyFont="1" applyBorder="1" applyAlignment="1">
      <alignment horizontal="center" vertical="center"/>
    </xf>
    <xf numFmtId="49" fontId="3" fillId="0" borderId="1" xfId="0" applyNumberFormat="1" applyFont="1" applyBorder="1" applyAlignment="1">
      <alignment horizontal="left"/>
    </xf>
    <xf numFmtId="0" fontId="6" fillId="0" borderId="1" xfId="0" applyFont="1" applyBorder="1"/>
    <xf numFmtId="0" fontId="7" fillId="0" borderId="1" xfId="0" applyFont="1" applyBorder="1" applyAlignment="1">
      <alignment horizontal="left"/>
    </xf>
    <xf numFmtId="0" fontId="5" fillId="0" borderId="1" xfId="0" applyFont="1" applyBorder="1"/>
    <xf numFmtId="49" fontId="3" fillId="0" borderId="1" xfId="0" applyNumberFormat="1" applyFont="1" applyBorder="1"/>
    <xf numFmtId="0" fontId="7" fillId="0" borderId="1" xfId="0" applyFont="1" applyBorder="1" applyAlignment="1">
      <alignment horizontal="center" vertical="center"/>
    </xf>
    <xf numFmtId="0" fontId="10" fillId="2" borderId="0" xfId="3" applyFont="1"/>
    <xf numFmtId="0" fontId="11" fillId="0" borderId="0" xfId="0" applyFont="1"/>
    <xf numFmtId="0" fontId="12" fillId="0" borderId="0" xfId="0" applyFont="1"/>
    <xf numFmtId="49" fontId="12" fillId="0" borderId="0" xfId="0" applyNumberFormat="1" applyFont="1"/>
    <xf numFmtId="0" fontId="13" fillId="2" borderId="0" xfId="0" applyFont="1" applyFill="1"/>
    <xf numFmtId="0" fontId="14" fillId="0" borderId="0" xfId="0" applyFont="1" applyAlignment="1">
      <alignment wrapText="1"/>
    </xf>
    <xf numFmtId="0" fontId="15" fillId="0" borderId="0" xfId="0" applyFont="1"/>
    <xf numFmtId="0" fontId="13" fillId="0" borderId="0" xfId="0" applyFont="1"/>
    <xf numFmtId="0" fontId="14" fillId="0" borderId="0" xfId="0" applyFont="1"/>
    <xf numFmtId="0" fontId="4"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14" fillId="0" borderId="2" xfId="2" applyFont="1" applyBorder="1" applyAlignment="1">
      <alignment horizontal="left" vertical="center"/>
    </xf>
    <xf numFmtId="0" fontId="14" fillId="0" borderId="0" xfId="2" applyFont="1" applyAlignment="1">
      <alignment horizontal="left" vertical="center"/>
    </xf>
    <xf numFmtId="0" fontId="14" fillId="0" borderId="3" xfId="2" applyFont="1" applyBorder="1" applyAlignment="1">
      <alignment horizontal="left" vertical="center"/>
    </xf>
    <xf numFmtId="0" fontId="14" fillId="0" borderId="4" xfId="2" applyFont="1" applyBorder="1" applyAlignment="1">
      <alignment horizontal="left" vertical="center"/>
    </xf>
    <xf numFmtId="0" fontId="0" fillId="0" borderId="0" xfId="0" applyAlignment="1">
      <alignment horizontal="left"/>
    </xf>
    <xf numFmtId="0" fontId="20" fillId="0" borderId="5" xfId="0" applyFont="1" applyBorder="1" applyAlignment="1">
      <alignment horizontal="left"/>
    </xf>
    <xf numFmtId="0" fontId="13" fillId="2" borderId="0" xfId="0" applyFont="1" applyFill="1" applyAlignment="1">
      <alignment wrapText="1"/>
    </xf>
    <xf numFmtId="0" fontId="20" fillId="0" borderId="0" xfId="0" applyFont="1"/>
    <xf numFmtId="0" fontId="21" fillId="4" borderId="0" xfId="3" applyFont="1" applyFill="1"/>
    <xf numFmtId="0" fontId="22" fillId="0" borderId="0" xfId="0" applyFont="1"/>
    <xf numFmtId="49" fontId="22" fillId="0" borderId="0" xfId="0" applyNumberFormat="1" applyFont="1"/>
    <xf numFmtId="0" fontId="23" fillId="4" borderId="0" xfId="0" applyFont="1" applyFill="1"/>
    <xf numFmtId="0" fontId="24" fillId="5" borderId="1" xfId="0" applyFont="1" applyFill="1" applyBorder="1" applyAlignment="1">
      <alignment vertical="center" wrapText="1"/>
    </xf>
    <xf numFmtId="0" fontId="24" fillId="5" borderId="6" xfId="0" applyFont="1" applyFill="1" applyBorder="1" applyAlignment="1">
      <alignment vertical="center" wrapText="1"/>
    </xf>
    <xf numFmtId="0" fontId="20" fillId="0" borderId="0" xfId="0" applyFont="1" applyAlignment="1">
      <alignment wrapText="1"/>
    </xf>
    <xf numFmtId="0" fontId="0" fillId="0" borderId="0" xfId="0" applyAlignment="1">
      <alignment readingOrder="1"/>
    </xf>
    <xf numFmtId="0" fontId="0" fillId="0" borderId="0" xfId="0" applyAlignment="1">
      <alignment horizontal="left" wrapText="1"/>
    </xf>
    <xf numFmtId="0" fontId="10" fillId="2" borderId="0" xfId="3" applyFont="1" applyAlignment="1">
      <alignment vertical="center"/>
    </xf>
    <xf numFmtId="49" fontId="25" fillId="0" borderId="0" xfId="0" applyNumberFormat="1" applyFont="1"/>
    <xf numFmtId="0" fontId="26" fillId="0" borderId="0" xfId="0" applyFont="1"/>
    <xf numFmtId="0" fontId="27" fillId="0" borderId="0" xfId="0" applyFont="1" applyAlignment="1">
      <alignment vertical="center"/>
    </xf>
    <xf numFmtId="0" fontId="14" fillId="0" borderId="0" xfId="2" applyFont="1" applyAlignment="1">
      <alignment horizontal="left" vertical="center" wrapText="1"/>
    </xf>
    <xf numFmtId="0" fontId="0" fillId="0" borderId="0" xfId="2" applyFont="1" applyAlignment="1">
      <alignment horizontal="left" vertical="center"/>
    </xf>
    <xf numFmtId="49" fontId="0" fillId="0" borderId="0" xfId="0" applyNumberFormat="1"/>
    <xf numFmtId="0" fontId="0" fillId="0" borderId="0" xfId="2" applyFont="1" applyAlignment="1">
      <alignment horizontal="left" vertical="center" wrapText="1"/>
    </xf>
    <xf numFmtId="0" fontId="28" fillId="0" borderId="0" xfId="0" applyFont="1"/>
    <xf numFmtId="0" fontId="0" fillId="0" borderId="0" xfId="0" applyAlignment="1">
      <alignment vertical="center"/>
    </xf>
    <xf numFmtId="0" fontId="29" fillId="0" borderId="0" xfId="0" applyFont="1" applyAlignment="1">
      <alignment vertical="center"/>
    </xf>
    <xf numFmtId="0" fontId="31" fillId="0" borderId="0" xfId="0" applyFont="1" applyAlignment="1">
      <alignment horizontal="left"/>
    </xf>
    <xf numFmtId="0" fontId="31" fillId="0" borderId="0" xfId="0" applyFont="1"/>
    <xf numFmtId="0" fontId="32" fillId="0" borderId="0" xfId="0" applyFont="1"/>
    <xf numFmtId="0" fontId="33" fillId="0" borderId="0" xfId="0" applyFont="1" applyAlignment="1">
      <alignment wrapText="1"/>
    </xf>
    <xf numFmtId="0" fontId="1" fillId="6" borderId="7" xfId="0" applyFont="1" applyFill="1" applyBorder="1" applyAlignment="1">
      <alignment horizontal="left" vertical="center" wrapText="1"/>
    </xf>
    <xf numFmtId="0" fontId="1" fillId="6" borderId="7" xfId="0" applyFont="1" applyFill="1" applyBorder="1" applyAlignment="1">
      <alignment horizontal="left" vertical="center"/>
    </xf>
    <xf numFmtId="0" fontId="1" fillId="0" borderId="7" xfId="0" applyFont="1" applyBorder="1" applyAlignment="1">
      <alignment horizontal="left" vertical="center" wrapText="1"/>
    </xf>
    <xf numFmtId="0" fontId="1" fillId="0" borderId="7" xfId="0" applyFont="1" applyBorder="1" applyAlignment="1">
      <alignment horizontal="center" vertical="center"/>
    </xf>
    <xf numFmtId="0" fontId="1" fillId="0" borderId="8" xfId="0" applyFont="1" applyBorder="1" applyAlignment="1">
      <alignment horizontal="left" vertical="center"/>
    </xf>
    <xf numFmtId="0" fontId="0" fillId="0" borderId="8" xfId="0" applyBorder="1" applyAlignment="1">
      <alignment horizontal="left" vertical="center"/>
    </xf>
    <xf numFmtId="0" fontId="7" fillId="0" borderId="0" xfId="0" applyFont="1" applyAlignment="1">
      <alignment vertical="center"/>
    </xf>
    <xf numFmtId="0" fontId="34" fillId="0" borderId="1" xfId="0" applyFont="1" applyBorder="1" applyAlignment="1">
      <alignment horizontal="left"/>
    </xf>
    <xf numFmtId="0" fontId="34" fillId="0" borderId="1" xfId="0" applyFont="1" applyBorder="1"/>
    <xf numFmtId="0" fontId="3" fillId="0" borderId="0" xfId="0" applyFont="1" applyAlignment="1">
      <alignment horizontal="center" vertical="center"/>
    </xf>
    <xf numFmtId="0" fontId="14" fillId="0" borderId="0" xfId="0" applyFont="1" applyAlignment="1">
      <alignment horizontal="left" vertical="center"/>
    </xf>
    <xf numFmtId="0" fontId="14" fillId="0" borderId="0" xfId="0" applyFont="1" applyAlignment="1">
      <alignment horizontal="left" vertical="center" wrapText="1"/>
    </xf>
    <xf numFmtId="0" fontId="35" fillId="0" borderId="0" xfId="0" applyFont="1"/>
    <xf numFmtId="11" fontId="36" fillId="0" borderId="0" xfId="0" applyNumberFormat="1" applyFont="1" applyAlignment="1">
      <alignment vertical="center"/>
    </xf>
    <xf numFmtId="0" fontId="34" fillId="7" borderId="1" xfId="0" applyFont="1" applyFill="1" applyBorder="1" applyAlignment="1">
      <alignment horizontal="left"/>
    </xf>
    <xf numFmtId="0" fontId="34" fillId="0" borderId="1" xfId="0" applyFont="1" applyBorder="1" applyAlignment="1">
      <alignment horizontal="left" vertical="center"/>
    </xf>
    <xf numFmtId="0" fontId="6" fillId="8" borderId="1" xfId="0" applyFont="1" applyFill="1" applyBorder="1" applyAlignment="1">
      <alignment horizontal="left"/>
    </xf>
    <xf numFmtId="0" fontId="6" fillId="8" borderId="1" xfId="0" applyFont="1" applyFill="1" applyBorder="1"/>
    <xf numFmtId="0" fontId="5" fillId="8" borderId="1" xfId="0" applyFont="1" applyFill="1" applyBorder="1"/>
    <xf numFmtId="0" fontId="39" fillId="0" borderId="0" xfId="6" applyFont="1" applyAlignment="1">
      <alignment vertical="center"/>
    </xf>
    <xf numFmtId="0" fontId="39" fillId="0" borderId="0" xfId="6" applyFont="1" applyFill="1" applyAlignment="1">
      <alignment vertical="center"/>
    </xf>
    <xf numFmtId="0" fontId="39" fillId="0" borderId="0" xfId="6" applyFont="1" applyFill="1" applyAlignment="1">
      <alignment vertical="center" wrapText="1"/>
    </xf>
    <xf numFmtId="0" fontId="40" fillId="0" borderId="0" xfId="6" applyFont="1" applyAlignment="1">
      <alignment vertical="center" wrapText="1"/>
    </xf>
    <xf numFmtId="0" fontId="40" fillId="0" borderId="0" xfId="6" applyFont="1" applyAlignment="1">
      <alignment horizontal="center" vertical="center" wrapText="1"/>
    </xf>
    <xf numFmtId="0" fontId="40" fillId="0" borderId="0" xfId="6" applyFont="1" applyFill="1" applyAlignment="1">
      <alignment vertical="center" wrapText="1"/>
    </xf>
    <xf numFmtId="0" fontId="40" fillId="0" borderId="0" xfId="6" applyFont="1" applyAlignment="1">
      <alignment vertical="center"/>
    </xf>
    <xf numFmtId="0" fontId="40" fillId="0" borderId="0" xfId="6" applyFont="1" applyAlignment="1">
      <alignment horizontal="left" vertical="center"/>
    </xf>
    <xf numFmtId="0" fontId="40" fillId="0" borderId="0" xfId="6" applyFont="1" applyAlignment="1">
      <alignment horizontal="left" vertical="center" wrapText="1"/>
    </xf>
    <xf numFmtId="0" fontId="11" fillId="0" borderId="0" xfId="0" applyFont="1" applyAlignment="1">
      <alignment horizontal="left"/>
    </xf>
    <xf numFmtId="0" fontId="41" fillId="0" borderId="0" xfId="5" applyFont="1" applyFill="1" applyAlignment="1">
      <alignment horizontal="left" vertical="center" wrapText="1"/>
    </xf>
    <xf numFmtId="0" fontId="41" fillId="0" borderId="0" xfId="4" applyFont="1" applyFill="1" applyAlignment="1">
      <alignment horizontal="left" vertical="center" wrapText="1"/>
    </xf>
    <xf numFmtId="0" fontId="41" fillId="0" borderId="0" xfId="5" applyFont="1" applyFill="1" applyAlignment="1">
      <alignment horizontal="left" wrapText="1"/>
    </xf>
    <xf numFmtId="0" fontId="41" fillId="0" borderId="0" xfId="0" applyFont="1" applyAlignment="1">
      <alignment horizontal="left" vertical="center" wrapText="1"/>
    </xf>
    <xf numFmtId="0" fontId="39" fillId="0" borderId="0" xfId="0" applyFont="1" applyAlignment="1">
      <alignment horizontal="left" vertical="center" wrapText="1"/>
    </xf>
    <xf numFmtId="0" fontId="41" fillId="0" borderId="0" xfId="7" applyFont="1" applyFill="1" applyAlignment="1">
      <alignment horizontal="left" vertical="center" wrapText="1"/>
    </xf>
    <xf numFmtId="0" fontId="41" fillId="0" borderId="9" xfId="5" applyFont="1" applyFill="1" applyBorder="1" applyAlignment="1">
      <alignment horizontal="left" wrapText="1"/>
    </xf>
  </cellXfs>
  <cellStyles count="8">
    <cellStyle name="Excel Built-in 60% - Accent5" xfId="3" xr:uid="{00000000-0005-0000-0000-000003000000}"/>
    <cellStyle name="Insatisfaisant" xfId="4" builtinId="27"/>
    <cellStyle name="Lien hypertexte" xfId="1" builtinId="8"/>
    <cellStyle name="Neutre" xfId="5" builtinId="28"/>
    <cellStyle name="Neutre 2" xfId="7" xr:uid="{B96DA226-F701-47B0-A87F-1B50FD77430F}"/>
    <cellStyle name="Normal" xfId="0" builtinId="0"/>
    <cellStyle name="Normal 2" xfId="2" xr:uid="{00000000-0005-0000-0000-000002000000}"/>
    <cellStyle name="Normal 3" xfId="6" xr:uid="{05246019-CAEF-48B0-9E55-DAC0D40089B6}"/>
  </cellStyles>
  <dxfs count="68">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bottom" textRotation="0" wrapText="1" indent="0" justifyLastLine="0" shrinkToFit="0" readingOrder="0"/>
    </dxf>
    <dxf>
      <fill>
        <patternFill>
          <bgColor rgb="FFFFC7CE"/>
        </patternFill>
      </fill>
    </dxf>
    <dxf>
      <font>
        <b val="0"/>
        <i val="0"/>
        <strike/>
      </font>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ill>
        <patternFill patternType="solid">
          <fgColor theme="0" tint="-0.14996795556505021"/>
          <bgColor theme="0" tint="-0.14996795556505021"/>
        </patternFill>
      </fill>
    </dxf>
    <dxf>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ill>
        <patternFill patternType="solid">
          <fgColor theme="0" tint="-0.14996795556505021"/>
          <bgColor theme="0" tint="-0.14996795556505021"/>
        </patternFill>
      </fill>
    </dxf>
    <dxf>
      <font>
        <b val="0"/>
        <i val="0"/>
        <strike/>
      </font>
      <fill>
        <patternFill patternType="solid">
          <fgColor theme="0" tint="-0.14996795556505021"/>
          <bgColor theme="0" tint="-0.14996795556505021"/>
        </patternFill>
      </fill>
    </dxf>
    <dxf>
      <fill>
        <patternFill>
          <bgColor theme="6"/>
        </patternFill>
      </fill>
    </dxf>
    <dxf>
      <fill>
        <patternFill>
          <bgColor rgb="FFFFE1FF"/>
        </patternFill>
      </fill>
    </dxf>
    <dxf>
      <fill>
        <patternFill>
          <bgColor theme="5" tint="0.79989013336588644"/>
        </patternFill>
      </fill>
    </dxf>
    <dxf>
      <fill>
        <patternFill>
          <bgColor theme="7" tint="0.79989013336588644"/>
        </patternFill>
      </fill>
    </dxf>
    <dxf>
      <fill>
        <patternFill>
          <bgColor theme="9" tint="0.79989013336588644"/>
        </patternFill>
      </fill>
    </dxf>
    <dxf>
      <fill>
        <patternFill>
          <bgColor rgb="FFF58383"/>
        </patternFill>
      </fill>
    </dxf>
    <dxf>
      <fill>
        <patternFill>
          <bgColor theme="6"/>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4" tint="0.79989013336588644"/>
        </patternFill>
      </fill>
    </dxf>
    <dxf>
      <fill>
        <patternFill>
          <bgColor theme="9" tint="0.79998168889431442"/>
        </patternFill>
      </fill>
    </dxf>
    <dxf>
      <fill>
        <patternFill>
          <bgColor theme="0" tint="-0.14993743705557422"/>
        </patternFill>
      </fill>
    </dxf>
    <dxf>
      <font>
        <sz val="11"/>
        <color rgb="FF000000"/>
        <name val="Calibri"/>
        <family val="2"/>
        <charset val="1"/>
      </font>
      <alignment horizontal="general" vertical="bottom"/>
    </dxf>
    <dxf>
      <fill>
        <patternFill>
          <bgColor theme="4" tint="0.79989013336588644"/>
        </patternFill>
      </fill>
    </dxf>
    <dxf>
      <fill>
        <patternFill>
          <bgColor theme="4" tint="0.79989013336588644"/>
        </patternFill>
      </fill>
    </dxf>
    <dxf>
      <fill>
        <patternFill>
          <bgColor theme="4" tint="0.79989013336588644"/>
        </patternFill>
      </fill>
    </dxf>
    <dxf>
      <font>
        <color rgb="FF000000"/>
      </font>
    </dxf>
    <dxf>
      <fill>
        <patternFill>
          <bgColor theme="4" tint="0.79989013336588644"/>
        </patternFill>
      </fill>
    </dxf>
    <dxf>
      <fill>
        <patternFill>
          <bgColor theme="4" tint="0.79989013336588644"/>
        </patternFill>
      </fill>
    </dxf>
    <dxf>
      <fill>
        <patternFill>
          <bgColor rgb="FFFFC7CE"/>
        </patternFill>
      </fill>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strike val="0"/>
        <outline val="0"/>
        <shadow val="0"/>
        <vertAlign val="baseline"/>
        <sz val="10"/>
        <name val="Calibri"/>
        <family val="2"/>
      </font>
      <fill>
        <patternFill patternType="none">
          <fgColor indexed="64"/>
          <bgColor indexed="65"/>
        </patternFill>
      </fill>
      <alignment horizontal="general" vertical="center" textRotation="0" wrapText="1" indent="0" justifyLastLine="0" shrinkToFit="0" readingOrder="0"/>
    </dxf>
    <dxf>
      <font>
        <strike val="0"/>
        <outline val="0"/>
        <shadow val="0"/>
        <vertAlign val="baseline"/>
        <sz val="10"/>
        <name val="Calibri"/>
        <family val="2"/>
      </font>
      <fill>
        <patternFill patternType="none">
          <fgColor indexed="64"/>
          <bgColor indexed="65"/>
        </patternFill>
      </fill>
      <alignment horizontal="general" vertical="center" textRotation="0" wrapText="1" indent="0" justifyLastLine="0" shrinkToFit="0" readingOrder="0"/>
    </dxf>
    <dxf>
      <font>
        <strike val="0"/>
        <outline val="0"/>
        <shadow val="0"/>
        <vertAlign val="baseline"/>
        <sz val="10"/>
        <name val="Calibri"/>
        <family val="2"/>
      </font>
      <alignment horizontal="general" vertical="center" textRotation="0" wrapText="1" indent="0" justifyLastLine="0" shrinkToFit="0" readingOrder="0"/>
    </dxf>
    <dxf>
      <font>
        <strike val="0"/>
        <outline val="0"/>
        <shadow val="0"/>
        <vertAlign val="baseline"/>
        <sz val="10"/>
        <name val="Calibri"/>
        <family val="2"/>
      </font>
      <alignment horizontal="general" vertical="center" textRotation="0" wrapText="1" indent="0" justifyLastLine="0" shrinkToFit="0" readingOrder="0"/>
    </dxf>
    <dxf>
      <font>
        <strike val="0"/>
        <outline val="0"/>
        <shadow val="0"/>
        <vertAlign val="baseline"/>
        <sz val="10"/>
        <name val="Calibri"/>
        <family val="2"/>
        <charset val="1"/>
      </font>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dxf>
    <dxf>
      <font>
        <strike val="0"/>
        <outline val="0"/>
        <shadow val="0"/>
        <vertAlign val="baseline"/>
        <sz val="10"/>
        <name val="Calibri"/>
        <family val="2"/>
        <charset val="1"/>
      </font>
    </dxf>
    <dxf>
      <font>
        <strike val="0"/>
        <outline val="0"/>
        <shadow val="0"/>
        <vertAlign val="baseline"/>
        <sz val="10"/>
        <name val="Calibri"/>
        <family val="2"/>
        <charset val="1"/>
      </font>
    </dxf>
    <dxf>
      <font>
        <strike val="0"/>
        <outline val="0"/>
        <shadow val="0"/>
        <vertAlign val="baseline"/>
        <sz val="10"/>
        <name val="Calibri"/>
        <family val="2"/>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8FAADC"/>
      <rgbColor rgb="FF808080"/>
      <rgbColor rgb="FF8EA9DB"/>
      <rgbColor rgb="FF993366"/>
      <rgbColor rgb="FFFFF2CC"/>
      <rgbColor rgb="FFDEEBF7"/>
      <rgbColor rgb="FF660066"/>
      <rgbColor rgb="FFF58383"/>
      <rgbColor rgb="FF0563C1"/>
      <rgbColor rgb="FFDBDBDB"/>
      <rgbColor rgb="FF000080"/>
      <rgbColor rgb="FFFF00FF"/>
      <rgbColor rgb="FFFFFF00"/>
      <rgbColor rgb="FF00FFFF"/>
      <rgbColor rgb="FF800080"/>
      <rgbColor rgb="FF800000"/>
      <rgbColor rgb="FF008080"/>
      <rgbColor rgb="FF0000FF"/>
      <rgbColor rgb="FF00CCFF"/>
      <rgbColor rgb="FFFFE1FF"/>
      <rgbColor rgb="FFE2F0D9"/>
      <rgbColor rgb="FFFBE5D6"/>
      <rgbColor rgb="FF9DC3E6"/>
      <rgbColor rgb="FFFF99CC"/>
      <rgbColor rgb="FFCC99FF"/>
      <rgbColor rgb="FFFFC7CE"/>
      <rgbColor rgb="FF3366FF"/>
      <rgbColor rgb="FF33CCCC"/>
      <rgbColor rgb="FF99CC00"/>
      <rgbColor rgb="FFFFCC00"/>
      <rgbColor rgb="FFFF9900"/>
      <rgbColor rgb="FFFF6600"/>
      <rgbColor rgb="FF7F7F7F"/>
      <rgbColor rgb="FFA5A5A5"/>
      <rgbColor rgb="FF003366"/>
      <rgbColor rgb="FF5B9BD5"/>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611123111813" displayName="Table13611123111813" ref="A6:E52" totalsRowShown="0">
  <autoFilter ref="A6:E52" xr:uid="{00000000-0009-0000-0100-000001000000}"/>
  <tableColumns count="5">
    <tableColumn id="1" xr3:uid="{00000000-0010-0000-0000-000001000000}" name="Code"/>
    <tableColumn id="2" xr3:uid="{00000000-0010-0000-0000-000002000000}" name="Libellé niveau 1"/>
    <tableColumn id="3" xr3:uid="{00000000-0010-0000-0000-000003000000}" name="Libellé niveau 2"/>
    <tableColumn id="4" xr3:uid="{00000000-0010-0000-0000-000004000000}" name="Description"/>
    <tableColumn id="5" xr3:uid="{00000000-0010-0000-0000-000005000000}" name="Commentair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611123111814" displayName="Table13611123111814" ref="A6:E52" totalsRowShown="0">
  <autoFilter ref="A6:E52" xr:uid="{00000000-0009-0000-0100-000002000000}"/>
  <tableColumns count="5">
    <tableColumn id="1" xr3:uid="{00000000-0010-0000-0100-000001000000}" name="Code"/>
    <tableColumn id="2" xr3:uid="{00000000-0010-0000-0100-000002000000}" name="Libellé niveau 1"/>
    <tableColumn id="3" xr3:uid="{00000000-0010-0000-0100-000003000000}" name="Libellé niveau 2"/>
    <tableColumn id="4" xr3:uid="{00000000-0010-0000-0100-000004000000}" name="Description"/>
    <tableColumn id="5" xr3:uid="{00000000-0010-0000-0100-000005000000}" name="Commentair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3611123111821" displayName="Table13611123111821" ref="A6:E51" totalsRowShown="0">
  <autoFilter ref="A6:E51" xr:uid="{00000000-0009-0000-0100-000003000000}"/>
  <tableColumns count="5">
    <tableColumn id="1" xr3:uid="{00000000-0010-0000-0200-000001000000}" name="Code"/>
    <tableColumn id="2" xr3:uid="{00000000-0010-0000-0200-000002000000}" name="Libellé niveau 1"/>
    <tableColumn id="3" xr3:uid="{00000000-0010-0000-0200-000003000000}" name="Libellé niveau 2"/>
    <tableColumn id="4" xr3:uid="{00000000-0010-0000-0200-000004000000}" name="Description"/>
    <tableColumn id="5" xr3:uid="{00000000-0010-0000-0200-000005000000}" name="Commentair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37" displayName="Table137" ref="A6:F383" totalsRowShown="0">
  <autoFilter ref="A6:F383" xr:uid="{00000000-0009-0000-0100-000004000000}"/>
  <tableColumns count="6">
    <tableColumn id="1" xr3:uid="{00000000-0010-0000-0300-000001000000}" name="Code"/>
    <tableColumn id="2" xr3:uid="{00000000-0010-0000-0300-000002000000}" name="Libellé niveau 1" dataDxfId="64" dataCellStyle="Normal 3"/>
    <tableColumn id="3" xr3:uid="{00000000-0010-0000-0300-000003000000}" name="Libellé niveau 2" dataDxfId="63" dataCellStyle="Normal 3"/>
    <tableColumn id="4" xr3:uid="{00000000-0010-0000-0300-000004000000}" name="Libellé niveau 3" dataDxfId="62" dataCellStyle="Normal 3"/>
    <tableColumn id="5" xr3:uid="{00000000-0010-0000-0300-000005000000}" name="Description" dataDxfId="61" dataCellStyle="Normal 3"/>
    <tableColumn id="6" xr3:uid="{00000000-0010-0000-0300-000006000000}" name="Commentair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38" displayName="Table138" ref="A6:F232" totalsRowShown="0" headerRowDxfId="67" dataDxfId="66">
  <autoFilter ref="A6:F232" xr:uid="{00000000-0009-0000-0100-000005000000}"/>
  <tableColumns count="6">
    <tableColumn id="1" xr3:uid="{00000000-0010-0000-0400-000001000000}" name="Code" dataDxfId="65"/>
    <tableColumn id="2" xr3:uid="{00000000-0010-0000-0400-000002000000}" name="Libellé niveau 1" dataDxfId="59" dataCellStyle="Normal 3"/>
    <tableColumn id="3" xr3:uid="{00000000-0010-0000-0400-000003000000}" name="Libellé niveau 2" dataDxfId="58" dataCellStyle="Normal 3"/>
    <tableColumn id="4" xr3:uid="{00000000-0010-0000-0400-000004000000}" name="Libellé niveau 3" dataDxfId="57" dataCellStyle="Normal 3"/>
    <tableColumn id="5" xr3:uid="{00000000-0010-0000-0400-000005000000}" name="Description" dataDxfId="56" dataCellStyle="Normal 3"/>
    <tableColumn id="6" xr3:uid="{00000000-0010-0000-0400-000006000000}" name="Commentaire" dataDxfId="6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 displayName="Table1" ref="A6:D69" totalsRowShown="0">
  <autoFilter ref="A6:D69" xr:uid="{00000000-0009-0000-0100-000006000000}"/>
  <tableColumns count="4">
    <tableColumn id="1" xr3:uid="{00000000-0010-0000-0500-000001000000}" name="Code"/>
    <tableColumn id="2" xr3:uid="{00000000-0010-0000-0500-000002000000}" name="Libellé niveau 1" dataDxfId="55" dataCellStyle="Normal 3"/>
    <tableColumn id="3" xr3:uid="{00000000-0010-0000-0500-000003000000}" name="Description" dataDxfId="54" dataCellStyle="Normal 3"/>
    <tableColumn id="4" xr3:uid="{00000000-0010-0000-0500-000004000000}" name="Commentair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39" displayName="Table139" ref="A6:F196" totalsRowShown="0">
  <autoFilter ref="A6:F196" xr:uid="{00000000-0009-0000-0100-000007000000}"/>
  <tableColumns count="6">
    <tableColumn id="1" xr3:uid="{00000000-0010-0000-0600-000001000000}" name="Code" dataDxfId="53" dataCellStyle="Neutre"/>
    <tableColumn id="2" xr3:uid="{00000000-0010-0000-0600-000002000000}" name="Libellé niveau 1" dataDxfId="52" dataCellStyle="Neutre"/>
    <tableColumn id="3" xr3:uid="{00000000-0010-0000-0600-000003000000}" name="Libellé niveau 2" dataDxfId="51" dataCellStyle="Neutre"/>
    <tableColumn id="8" xr3:uid="{048794F6-4EE9-4C78-A30D-65483ABAE80D}" name="Libellé niveau 3" dataDxfId="1" dataCellStyle="Neutre"/>
    <tableColumn id="4" xr3:uid="{00000000-0010-0000-0600-000004000000}" name="Description" dataDxfId="0" dataCellStyle="Neutre"/>
    <tableColumn id="5" xr3:uid="{00000000-0010-0000-0600-000005000000}" name="Commentaire" dataDxfId="50" dataCellStyle="Neutre"/>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361112311181324" displayName="Table1361112311181324" ref="A6:E52" totalsRowShown="0">
  <autoFilter ref="A6:E52" xr:uid="{00000000-0009-0000-0100-000008000000}"/>
  <tableColumns count="5">
    <tableColumn id="1" xr3:uid="{00000000-0010-0000-0700-000001000000}" name="Code"/>
    <tableColumn id="2" xr3:uid="{00000000-0010-0000-0700-000002000000}" name="Libellé niveau 1"/>
    <tableColumn id="3" xr3:uid="{00000000-0010-0000-0700-000003000000}" name="Libellé niveau 2"/>
    <tableColumn id="4" xr3:uid="{00000000-0010-0000-0700-000004000000}" name="Description"/>
    <tableColumn id="5" xr3:uid="{00000000-0010-0000-0700-000005000000}" name="Commentaire"/>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3611123" displayName="Table13611123" ref="A6:E52" totalsRowShown="0">
  <autoFilter ref="A6:E52" xr:uid="{00000000-0009-0000-0100-000009000000}"/>
  <tableColumns count="5">
    <tableColumn id="1" xr3:uid="{00000000-0010-0000-0800-000001000000}" name="Code"/>
    <tableColumn id="2" xr3:uid="{00000000-0010-0000-0800-000002000000}" name="Libellé niveau 1"/>
    <tableColumn id="3" xr3:uid="{00000000-0010-0000-0800-000003000000}" name="Libellé niveau 2"/>
    <tableColumn id="4" xr3:uid="{00000000-0010-0000-0800-000004000000}" name="Description"/>
    <tableColumn id="5" xr3:uid="{00000000-0010-0000-0800-000005000000}" name="Commentaire"/>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36111235" displayName="Table136111235" ref="A6:E52" totalsRowShown="0">
  <autoFilter ref="A6:E52" xr:uid="{00000000-0009-0000-0100-00000A000000}"/>
  <tableColumns count="5">
    <tableColumn id="1" xr3:uid="{00000000-0010-0000-0900-000001000000}" name="Code"/>
    <tableColumn id="2" xr3:uid="{00000000-0010-0000-0900-000002000000}" name="Libellé niveau 1"/>
    <tableColumn id="3" xr3:uid="{00000000-0010-0000-0900-000003000000}" name="Libellé niveau 2"/>
    <tableColumn id="4" xr3:uid="{00000000-0010-0000-0900-000004000000}" name="Description"/>
    <tableColumn id="5" xr3:uid="{00000000-0010-0000-0900-000005000000}" name="Commentaire"/>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361112311" displayName="Table1361112311" ref="A6:E52" totalsRowShown="0">
  <autoFilter ref="A6:E52" xr:uid="{00000000-0009-0000-0100-00000B000000}"/>
  <tableColumns count="5">
    <tableColumn id="1" xr3:uid="{00000000-0010-0000-0A00-000001000000}" name="Code"/>
    <tableColumn id="2" xr3:uid="{00000000-0010-0000-0A00-000002000000}" name="Libellé niveau 1"/>
    <tableColumn id="3" xr3:uid="{00000000-0010-0000-0A00-000003000000}" name="Libellé niveau 2"/>
    <tableColumn id="4" xr3:uid="{00000000-0010-0000-0A00-000004000000}" name="Description"/>
    <tableColumn id="5" xr3:uid="{00000000-0010-0000-0A00-000005000000}" name="Commentaire"/>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36111231115" displayName="Table136111231115" ref="A6:E52" totalsRowShown="0">
  <autoFilter ref="A6:E52" xr:uid="{00000000-0009-0000-0100-00000C000000}"/>
  <tableColumns count="5">
    <tableColumn id="1" xr3:uid="{00000000-0010-0000-0B00-000001000000}" name="Code"/>
    <tableColumn id="2" xr3:uid="{00000000-0010-0000-0B00-000002000000}" name="Libellé niveau 1"/>
    <tableColumn id="3" xr3:uid="{00000000-0010-0000-0B00-000003000000}" name="Libellé niveau 2"/>
    <tableColumn id="4" xr3:uid="{00000000-0010-0000-0B00-000004000000}" name="Description"/>
    <tableColumn id="5" xr3:uid="{00000000-0010-0000-0B00-000005000000}" name="Commentaire"/>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6111231116" displayName="Table136111231116" ref="A6:E52" totalsRowShown="0">
  <autoFilter ref="A6:E52" xr:uid="{00000000-0009-0000-0100-00000D000000}"/>
  <tableColumns count="5">
    <tableColumn id="1" xr3:uid="{00000000-0010-0000-0C00-000001000000}" name="Code"/>
    <tableColumn id="2" xr3:uid="{00000000-0010-0000-0C00-000002000000}" name="Libellé niveau 1"/>
    <tableColumn id="3" xr3:uid="{00000000-0010-0000-0C00-000003000000}" name="Libellé niveau 2"/>
    <tableColumn id="4" xr3:uid="{00000000-0010-0000-0C00-000004000000}" name="Description"/>
    <tableColumn id="5" xr3:uid="{00000000-0010-0000-0C00-000005000000}" name="Commentaire"/>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36111231117" displayName="Table136111231117" ref="A6:E52" totalsRowShown="0">
  <autoFilter ref="A6:E52" xr:uid="{00000000-0009-0000-0100-00000E000000}"/>
  <tableColumns count="5">
    <tableColumn id="1" xr3:uid="{00000000-0010-0000-0D00-000001000000}" name="Code"/>
    <tableColumn id="2" xr3:uid="{00000000-0010-0000-0D00-000002000000}" name="Libellé niveau 1"/>
    <tableColumn id="3" xr3:uid="{00000000-0010-0000-0D00-000003000000}" name="Libellé niveau 2"/>
    <tableColumn id="4" xr3:uid="{00000000-0010-0000-0D00-000004000000}" name="Description"/>
    <tableColumn id="5" xr3:uid="{00000000-0010-0000-0D00-000005000000}" name="Commentaire"/>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36111231118" displayName="Table136111231118" ref="A6:E52" totalsRowShown="0">
  <autoFilter ref="A6:E52" xr:uid="{00000000-0009-0000-0100-00000F000000}"/>
  <tableColumns count="5">
    <tableColumn id="1" xr3:uid="{00000000-0010-0000-0E00-000001000000}" name="Code"/>
    <tableColumn id="2" xr3:uid="{00000000-0010-0000-0E00-000002000000}" name="Libellé niveau 1"/>
    <tableColumn id="3" xr3:uid="{00000000-0010-0000-0E00-000003000000}" name="Libellé niveau 2"/>
    <tableColumn id="4" xr3:uid="{00000000-0010-0000-0E00-000004000000}" name="Description"/>
    <tableColumn id="5" xr3:uid="{00000000-0010-0000-0E00-000005000000}" name="Commentaire"/>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36111231119" displayName="Table136111231119" ref="A6:E52" totalsRowShown="0">
  <autoFilter ref="A6:E52" xr:uid="{00000000-0009-0000-0100-000010000000}"/>
  <tableColumns count="5">
    <tableColumn id="1" xr3:uid="{00000000-0010-0000-0F00-000001000000}" name="Code"/>
    <tableColumn id="2" xr3:uid="{00000000-0010-0000-0F00-000002000000}" name="Libellé niveau 1"/>
    <tableColumn id="3" xr3:uid="{00000000-0010-0000-0F00-000003000000}" name="Libellé niveau 2"/>
    <tableColumn id="4" xr3:uid="{00000000-0010-0000-0F00-000004000000}" name="Description"/>
    <tableColumn id="5" xr3:uid="{00000000-0010-0000-0F00-000005000000}" name="Commentaire"/>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36111231120" displayName="Table136111231120" ref="A6:E52" totalsRowShown="0">
  <autoFilter ref="A6:E52" xr:uid="{00000000-0009-0000-0100-000011000000}"/>
  <tableColumns count="5">
    <tableColumn id="1" xr3:uid="{00000000-0010-0000-1000-000001000000}" name="Code"/>
    <tableColumn id="2" xr3:uid="{00000000-0010-0000-1000-000002000000}" name="Libellé niveau 1"/>
    <tableColumn id="3" xr3:uid="{00000000-0010-0000-1000-000003000000}" name="Libellé niveau 2"/>
    <tableColumn id="4" xr3:uid="{00000000-0010-0000-1000-000004000000}" name="Description"/>
    <tableColumn id="5" xr3:uid="{00000000-0010-0000-1000-000005000000}" name="Commentaire"/>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34" displayName="Table134" ref="A6:E35" totalsRowShown="0">
  <autoFilter ref="A6:E35" xr:uid="{00000000-0009-0000-0100-000012000000}"/>
  <tableColumns count="5">
    <tableColumn id="1" xr3:uid="{00000000-0010-0000-1100-000001000000}" name="Code"/>
    <tableColumn id="2" xr3:uid="{00000000-0010-0000-1100-000002000000}" name="Libellé niveau 1"/>
    <tableColumn id="3" xr3:uid="{00000000-0010-0000-1100-000003000000}" name="Libellé niveau 2"/>
    <tableColumn id="4" xr3:uid="{00000000-0010-0000-1100-000004000000}" name="Description"/>
    <tableColumn id="5" xr3:uid="{00000000-0010-0000-1100-000005000000}" name="Commentaire"/>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3410" displayName="Table13410" ref="A6:F27" totalsRowShown="0">
  <autoFilter ref="A6:F27" xr:uid="{00000000-0009-0000-0100-000013000000}"/>
  <tableColumns count="6">
    <tableColumn id="1" xr3:uid="{00000000-0010-0000-1200-000001000000}" name="Code"/>
    <tableColumn id="2" xr3:uid="{00000000-0010-0000-1200-000002000000}" name="Libellé niveau 1"/>
    <tableColumn id="3" xr3:uid="{00000000-0010-0000-1200-000003000000}" name="Libellé niveau 2"/>
    <tableColumn id="4" xr3:uid="{00000000-0010-0000-1200-000004000000}" name="Libellé niveau 3"/>
    <tableColumn id="5" xr3:uid="{00000000-0010-0000-1200-000005000000}" name="Description"/>
    <tableColumn id="6" xr3:uid="{00000000-0010-0000-1200-000006000000}" name="Commentaire"/>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1361112311182122" displayName="Table1361112311182122" ref="A6:E51" totalsRowShown="0">
  <autoFilter ref="A6:E51" xr:uid="{00000000-0009-0000-0100-000014000000}"/>
  <tableColumns count="5">
    <tableColumn id="1" xr3:uid="{00000000-0010-0000-1300-000001000000}" name="Code"/>
    <tableColumn id="2" xr3:uid="{00000000-0010-0000-1300-000002000000}" name="Libellé niveau 1"/>
    <tableColumn id="3" xr3:uid="{00000000-0010-0000-1300-000003000000}" name="Libellé niveau 2"/>
    <tableColumn id="4" xr3:uid="{00000000-0010-0000-1300-000004000000}" name="Description"/>
    <tableColumn id="5" xr3:uid="{00000000-0010-0000-1300-000005000000}" name="Commentaire"/>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136111231118212223" displayName="Table136111231118212223" ref="A6:E51" totalsRowShown="0">
  <autoFilter ref="A6:E51" xr:uid="{00000000-0009-0000-0100-000015000000}"/>
  <sortState xmlns:xlrd2="http://schemas.microsoft.com/office/spreadsheetml/2017/richdata2" ref="A7:E27">
    <sortCondition ref="A7:A27"/>
  </sortState>
  <tableColumns count="5">
    <tableColumn id="1" xr3:uid="{00000000-0010-0000-1400-000001000000}" name="Code"/>
    <tableColumn id="2" xr3:uid="{00000000-0010-0000-1400-000002000000}" name="Libellé niveau 1"/>
    <tableColumn id="3" xr3:uid="{00000000-0010-0000-1400-000003000000}" name="Libellé niveau 2"/>
    <tableColumn id="4" xr3:uid="{00000000-0010-0000-1400-000004000000}" name="Description"/>
    <tableColumn id="5" xr3:uid="{00000000-0010-0000-1400-000005000000}" name="Commentair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1361112311181325" displayName="Table1361112311181325" ref="A6:E53" totalsRowShown="0">
  <autoFilter ref="A6:E53" xr:uid="{00000000-0009-0000-0100-000016000000}"/>
  <tableColumns count="5">
    <tableColumn id="1" xr3:uid="{00000000-0010-0000-1500-000001000000}" name="Code"/>
    <tableColumn id="2" xr3:uid="{00000000-0010-0000-1500-000002000000}" name="Libellé niveau 1"/>
    <tableColumn id="3" xr3:uid="{00000000-0010-0000-1500-000003000000}" name="Libellé niveau 2"/>
    <tableColumn id="4" xr3:uid="{00000000-0010-0000-1500-000004000000}" name="Description"/>
    <tableColumn id="5" xr3:uid="{00000000-0010-0000-1500-000005000000}" name="Commentaire"/>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136" displayName="Table136" ref="A6:E52" totalsRowShown="0">
  <autoFilter ref="A6:E52" xr:uid="{00000000-0009-0000-0100-000017000000}"/>
  <tableColumns count="5">
    <tableColumn id="1" xr3:uid="{00000000-0010-0000-1600-000001000000}" name="Code"/>
    <tableColumn id="2" xr3:uid="{00000000-0010-0000-1600-000002000000}" name="Libellé niveau 1"/>
    <tableColumn id="3" xr3:uid="{00000000-0010-0000-1600-000003000000}" name="Libellé niveau 2"/>
    <tableColumn id="4" xr3:uid="{00000000-0010-0000-1600-000004000000}" name="Description"/>
    <tableColumn id="5" xr3:uid="{00000000-0010-0000-1600-000005000000}" name="Commentaire"/>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1361112" displayName="Table1361112" ref="A6:E52" totalsRowShown="0">
  <autoFilter ref="A6:E52" xr:uid="{00000000-0009-0000-0100-000018000000}"/>
  <tableColumns count="5">
    <tableColumn id="1" xr3:uid="{00000000-0010-0000-1700-000001000000}" name="Code"/>
    <tableColumn id="2" xr3:uid="{00000000-0010-0000-1700-000002000000}" name="Libellé niveau 1"/>
    <tableColumn id="3" xr3:uid="{00000000-0010-0000-1700-000003000000}" name="Libellé niveau 2"/>
    <tableColumn id="4" xr3:uid="{00000000-0010-0000-1700-000004000000}" name="Description"/>
    <tableColumn id="5" xr3:uid="{00000000-0010-0000-1700-000005000000}" name="Commentaire"/>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1361112311181326" displayName="Table1361112311181326" ref="A6:E52" totalsRowShown="0">
  <autoFilter ref="A6:E52" xr:uid="{00000000-0009-0000-0100-000019000000}"/>
  <tableColumns count="5">
    <tableColumn id="1" xr3:uid="{00000000-0010-0000-1800-000001000000}" name="Code"/>
    <tableColumn id="2" xr3:uid="{00000000-0010-0000-1800-000002000000}" name="Libellé niveau 1"/>
    <tableColumn id="3" xr3:uid="{00000000-0010-0000-1800-000003000000}" name="Libellé niveau 2"/>
    <tableColumn id="4" xr3:uid="{00000000-0010-0000-1800-000004000000}" name="Description"/>
    <tableColumn id="5" xr3:uid="{00000000-0010-0000-1800-000005000000}" name="Commentaire"/>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1361112311181327" displayName="Table1361112311181327" ref="A6:E52" totalsRowShown="0">
  <autoFilter ref="A6:E52" xr:uid="{00000000-0009-0000-0100-00001A000000}"/>
  <tableColumns count="5">
    <tableColumn id="1" xr3:uid="{00000000-0010-0000-1900-000001000000}" name="Code"/>
    <tableColumn id="2" xr3:uid="{00000000-0010-0000-1900-000002000000}" name="Libellé niveau 1"/>
    <tableColumn id="3" xr3:uid="{00000000-0010-0000-1900-000003000000}" name="Libellé niveau 2"/>
    <tableColumn id="4" xr3:uid="{00000000-0010-0000-1900-000004000000}" name="Description"/>
    <tableColumn id="5" xr3:uid="{00000000-0010-0000-1900-000005000000}" name="Commentair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4"/>
  <sheetViews>
    <sheetView tabSelected="1" zoomScale="85" zoomScaleNormal="85" workbookViewId="0">
      <pane xSplit="3" ySplit="2" topLeftCell="D3" activePane="bottomRight" state="frozen"/>
      <selection pane="topRight" activeCell="D1" sqref="D1"/>
      <selection pane="bottomLeft" activeCell="A3" sqref="A3"/>
      <selection pane="bottomRight" activeCell="C14" sqref="C14"/>
    </sheetView>
  </sheetViews>
  <sheetFormatPr baseColWidth="10" defaultColWidth="11.44140625" defaultRowHeight="13.8"/>
  <cols>
    <col min="1" max="1" width="28.44140625" style="1" customWidth="1"/>
    <col min="2" max="2" width="31.44140625" style="1" hidden="1" customWidth="1"/>
    <col min="3" max="3" width="31.6640625" style="1" customWidth="1"/>
    <col min="4" max="4" width="69.88671875" style="1" customWidth="1"/>
    <col min="5" max="5" width="20" style="1" customWidth="1"/>
    <col min="6" max="6" width="30.44140625" style="1" customWidth="1"/>
    <col min="7" max="7" width="19.44140625" style="1" customWidth="1"/>
    <col min="8" max="8" width="21.33203125" style="1" customWidth="1"/>
    <col min="9" max="18" width="12.6640625" style="1" customWidth="1"/>
    <col min="19" max="19" width="11.44140625" style="1" customWidth="1"/>
    <col min="20" max="16384" width="11.44140625" style="1"/>
  </cols>
  <sheetData>
    <row r="1" spans="1:18">
      <c r="A1" s="69"/>
      <c r="B1" s="2"/>
      <c r="C1" s="2"/>
      <c r="D1" s="2"/>
      <c r="E1" s="2"/>
    </row>
    <row r="2" spans="1:18" s="4" customFormat="1" ht="15" customHeight="1">
      <c r="A2" s="3" t="s">
        <v>317</v>
      </c>
      <c r="B2" s="3" t="s">
        <v>318</v>
      </c>
      <c r="C2" s="3" t="s">
        <v>319</v>
      </c>
      <c r="D2" s="3" t="s">
        <v>8</v>
      </c>
      <c r="E2" s="3" t="s">
        <v>320</v>
      </c>
      <c r="F2" s="3" t="s">
        <v>321</v>
      </c>
      <c r="G2" s="3" t="s">
        <v>322</v>
      </c>
      <c r="H2" s="3" t="s">
        <v>323</v>
      </c>
      <c r="I2" s="3" t="s">
        <v>324</v>
      </c>
      <c r="J2" s="3" t="s">
        <v>325</v>
      </c>
      <c r="K2" s="3" t="s">
        <v>326</v>
      </c>
      <c r="L2" s="3" t="s">
        <v>327</v>
      </c>
      <c r="M2" s="3" t="s">
        <v>328</v>
      </c>
      <c r="N2" s="3" t="s">
        <v>329</v>
      </c>
      <c r="O2" s="3" t="s">
        <v>330</v>
      </c>
      <c r="P2" s="3" t="s">
        <v>331</v>
      </c>
      <c r="Q2" s="3" t="s">
        <v>332</v>
      </c>
      <c r="R2" s="3" t="s">
        <v>333</v>
      </c>
    </row>
    <row r="3" spans="1:18" ht="15" customHeight="1">
      <c r="A3" s="78" t="s">
        <v>334</v>
      </c>
      <c r="B3" s="5" t="s">
        <v>335</v>
      </c>
      <c r="C3" s="6" t="s">
        <v>335</v>
      </c>
      <c r="D3" s="7" t="str">
        <f>Filiere!$B$5</f>
        <v>Décrit la filière compétente pour traiter le dossier.</v>
      </c>
      <c r="E3" s="5" t="str">
        <f>Filiere!$B$2</f>
        <v>ENUM</v>
      </c>
      <c r="F3" s="5" t="str">
        <f>Filiere!$B$3</f>
        <v>FILIERE</v>
      </c>
      <c r="G3" s="8" t="s">
        <v>336</v>
      </c>
      <c r="H3" s="9" t="s">
        <v>337</v>
      </c>
      <c r="I3" s="10"/>
      <c r="J3" s="10" t="s">
        <v>338</v>
      </c>
      <c r="K3" s="10" t="s">
        <v>338</v>
      </c>
      <c r="L3" s="10"/>
      <c r="M3" s="10"/>
      <c r="N3" s="10"/>
      <c r="O3" s="10"/>
      <c r="P3" s="10"/>
      <c r="Q3" s="10"/>
      <c r="R3" s="10"/>
    </row>
    <row r="4" spans="1:18" ht="15" customHeight="1">
      <c r="A4" s="70" t="s">
        <v>339</v>
      </c>
      <c r="B4" s="5" t="s">
        <v>340</v>
      </c>
      <c r="C4" s="6" t="s">
        <v>340</v>
      </c>
      <c r="D4" s="11" t="str">
        <f>'Type d''intervention'!$B$5</f>
        <v>Décrit le type d'intervention (primaire, secondaire, etc.)</v>
      </c>
      <c r="E4" s="5" t="str">
        <f>'Type d''intervention'!$B$2</f>
        <v>ENUM</v>
      </c>
      <c r="F4" s="5" t="str">
        <f>'Type d''intervention'!$B$3</f>
        <v>TYPE_Intervention</v>
      </c>
      <c r="G4" s="8" t="s">
        <v>336</v>
      </c>
      <c r="H4" s="9" t="s">
        <v>337</v>
      </c>
      <c r="I4" s="10"/>
      <c r="J4" s="10" t="s">
        <v>338</v>
      </c>
      <c r="K4" s="10"/>
      <c r="L4" s="10"/>
      <c r="M4" s="10"/>
      <c r="N4" s="10"/>
      <c r="O4" s="10"/>
      <c r="P4" s="10"/>
      <c r="Q4" s="10"/>
      <c r="R4" s="10"/>
    </row>
    <row r="5" spans="1:18" ht="15" customHeight="1">
      <c r="A5" s="70" t="s">
        <v>341</v>
      </c>
      <c r="B5" s="5" t="s">
        <v>342</v>
      </c>
      <c r="C5" s="6" t="s">
        <v>343</v>
      </c>
      <c r="D5" s="11" t="str">
        <f>'Origine de l''appel'!$B$5</f>
        <v>Décrit l'origine de l'appel</v>
      </c>
      <c r="E5" s="5" t="str">
        <f>'Origine de l''appel'!$B$2</f>
        <v>ENUM</v>
      </c>
      <c r="F5" s="5" t="str">
        <f>'Origine de l''appel'!$B$3</f>
        <v>ORIGINE</v>
      </c>
      <c r="G5" s="8" t="s">
        <v>336</v>
      </c>
      <c r="H5" s="9" t="s">
        <v>337</v>
      </c>
      <c r="I5" s="10"/>
      <c r="J5" s="10" t="s">
        <v>338</v>
      </c>
      <c r="K5" s="10"/>
      <c r="L5" s="10"/>
      <c r="M5" s="10"/>
      <c r="N5" s="10"/>
      <c r="O5" s="10"/>
      <c r="P5" s="10"/>
      <c r="Q5" s="10"/>
      <c r="R5" s="10"/>
    </row>
    <row r="6" spans="1:18" ht="15" customHeight="1">
      <c r="A6" s="70" t="s">
        <v>344</v>
      </c>
      <c r="B6" s="5" t="s">
        <v>342</v>
      </c>
      <c r="C6" s="79" t="s">
        <v>345</v>
      </c>
      <c r="D6" s="11" t="str">
        <f>'Nature de fait'!$B$5</f>
        <v>Décrit la nature de fait de l'affaire/dossier</v>
      </c>
      <c r="E6" s="5" t="str">
        <f>'Nature de fait'!$B$2</f>
        <v>CISU</v>
      </c>
      <c r="F6" s="9" t="str">
        <f>'Nature de fait'!$B$3</f>
        <v>Code_Nature_de_fait</v>
      </c>
      <c r="G6" s="8" t="s">
        <v>336</v>
      </c>
      <c r="H6" s="9" t="s">
        <v>2567</v>
      </c>
      <c r="I6" s="10" t="s">
        <v>338</v>
      </c>
      <c r="J6" s="10" t="s">
        <v>338</v>
      </c>
      <c r="K6" s="10"/>
      <c r="L6" s="10" t="s">
        <v>338</v>
      </c>
      <c r="M6" s="10"/>
      <c r="N6" s="10"/>
      <c r="O6" s="10"/>
      <c r="P6" s="10"/>
      <c r="Q6" s="10"/>
      <c r="R6" s="10"/>
    </row>
    <row r="7" spans="1:18" ht="15" customHeight="1">
      <c r="A7" s="70" t="s">
        <v>1</v>
      </c>
      <c r="B7" s="5" t="s">
        <v>342</v>
      </c>
      <c r="C7" s="80" t="s">
        <v>346</v>
      </c>
      <c r="D7" s="11" t="str">
        <f>'Type de lieu'!$B$5</f>
        <v>Décrit le type de lieu où se situe l'affaire/dossier</v>
      </c>
      <c r="E7" s="5" t="str">
        <f>'Type de lieu'!$B$2</f>
        <v>CISU</v>
      </c>
      <c r="F7" s="5" t="str">
        <f>'Type de lieu'!$B$3</f>
        <v>Code_Type_de_lieu</v>
      </c>
      <c r="G7" s="8" t="s">
        <v>336</v>
      </c>
      <c r="H7" s="9" t="s">
        <v>2567</v>
      </c>
      <c r="I7" s="10" t="s">
        <v>338</v>
      </c>
      <c r="J7" s="10" t="s">
        <v>338</v>
      </c>
      <c r="K7" s="10"/>
      <c r="L7" s="10" t="s">
        <v>338</v>
      </c>
      <c r="M7" s="10" t="s">
        <v>338</v>
      </c>
      <c r="N7" s="10"/>
      <c r="O7" s="10"/>
      <c r="P7" s="10"/>
      <c r="Q7" s="10"/>
      <c r="R7" s="10"/>
    </row>
    <row r="8" spans="1:18" ht="15" customHeight="1">
      <c r="A8" s="70" t="s">
        <v>347</v>
      </c>
      <c r="B8" s="5" t="s">
        <v>342</v>
      </c>
      <c r="C8" s="80" t="s">
        <v>348</v>
      </c>
      <c r="D8" s="11" t="str">
        <f>'Risque, menace et sensibilité'!$B$5</f>
        <v>Décrit les risques, menaces ou sensibilités de l'affaire/dossier</v>
      </c>
      <c r="E8" s="5" t="str">
        <f>'Risque, menace et sensibilité'!$B$2</f>
        <v>CISU</v>
      </c>
      <c r="F8" s="5" t="str">
        <f>'Risque, menace et sensibilité'!$B$3</f>
        <v>Code_Risque-Menace-Sensibilité</v>
      </c>
      <c r="G8" s="8" t="s">
        <v>336</v>
      </c>
      <c r="H8" s="9" t="s">
        <v>2567</v>
      </c>
      <c r="I8" s="10" t="s">
        <v>338</v>
      </c>
      <c r="J8" s="10" t="s">
        <v>338</v>
      </c>
      <c r="K8" s="10" t="s">
        <v>338</v>
      </c>
      <c r="L8" s="10"/>
      <c r="M8" s="10"/>
      <c r="N8" s="10"/>
      <c r="O8" s="10"/>
      <c r="P8" s="10"/>
      <c r="Q8" s="10"/>
      <c r="R8" s="10"/>
    </row>
    <row r="9" spans="1:18" ht="15" customHeight="1">
      <c r="A9" s="70" t="s">
        <v>349</v>
      </c>
      <c r="B9" s="5" t="s">
        <v>342</v>
      </c>
      <c r="C9" s="80" t="s">
        <v>350</v>
      </c>
      <c r="D9" s="7" t="str">
        <f>'Motif de recours médico-secouri'!$B$5</f>
        <v>Décrit le motif de recours médico-secouriste.</v>
      </c>
      <c r="E9" s="13" t="str">
        <f>'Motif de recours médico-secouri'!$B$2</f>
        <v>CISU</v>
      </c>
      <c r="F9" s="5" t="str">
        <f>'Motif de recours médico-secouri'!$B$3</f>
        <v>Code_Motif_patient-victime</v>
      </c>
      <c r="G9" s="8" t="s">
        <v>336</v>
      </c>
      <c r="H9" s="9" t="s">
        <v>2567</v>
      </c>
      <c r="I9" s="10" t="s">
        <v>338</v>
      </c>
      <c r="J9" s="10" t="s">
        <v>338</v>
      </c>
      <c r="K9" s="10"/>
      <c r="L9" s="10" t="s">
        <v>338</v>
      </c>
      <c r="M9" s="10"/>
      <c r="N9" s="10"/>
      <c r="O9" s="10"/>
      <c r="P9" s="10"/>
      <c r="Q9" s="10"/>
      <c r="R9" s="10"/>
    </row>
    <row r="10" spans="1:18" ht="15" customHeight="1">
      <c r="A10" s="70" t="s">
        <v>351</v>
      </c>
      <c r="B10" s="5" t="s">
        <v>342</v>
      </c>
      <c r="C10" s="12" t="s">
        <v>352</v>
      </c>
      <c r="D10" s="7" t="str">
        <f>'Etats du dossier'!$B$5</f>
        <v>Décrit la filière compétente pour traiter le dossier.</v>
      </c>
      <c r="E10" s="13" t="str">
        <f>'Etats du dossier'!$B$2</f>
        <v>ENUM</v>
      </c>
      <c r="F10" s="5" t="str">
        <f>'Etats du dossier'!$B$3</f>
        <v>Etats_Dossier</v>
      </c>
      <c r="G10" s="8" t="s">
        <v>336</v>
      </c>
      <c r="H10" s="9" t="s">
        <v>337</v>
      </c>
      <c r="I10" s="10"/>
      <c r="J10" s="10" t="s">
        <v>338</v>
      </c>
      <c r="K10" s="10" t="s">
        <v>338</v>
      </c>
      <c r="L10" s="10"/>
      <c r="M10" s="10"/>
      <c r="N10" s="10"/>
      <c r="O10" s="10"/>
      <c r="P10" s="10"/>
      <c r="Q10" s="10"/>
      <c r="R10" s="10"/>
    </row>
    <row r="11" spans="1:18" ht="15" customHeight="1">
      <c r="A11" s="77" t="s">
        <v>353</v>
      </c>
      <c r="B11" s="5" t="s">
        <v>342</v>
      </c>
      <c r="C11" s="14" t="s">
        <v>354</v>
      </c>
      <c r="D11" s="15" t="str">
        <f>'Nombre de patients-victimes'!$B$5</f>
        <v>Décrit le nombre de patient/victimes</v>
      </c>
      <c r="E11" s="9" t="str">
        <f>'Nombre de patients-victimes'!$B$2</f>
        <v>ENUM</v>
      </c>
      <c r="F11" s="9" t="str">
        <f>'Nombre de patients-victimes'!$B$3</f>
        <v>NOMBRE_Patient_Victime</v>
      </c>
      <c r="G11" s="8" t="s">
        <v>336</v>
      </c>
      <c r="H11" s="9" t="s">
        <v>337</v>
      </c>
      <c r="I11" s="10" t="s">
        <v>338</v>
      </c>
      <c r="J11" s="10"/>
      <c r="K11" s="10"/>
      <c r="L11" s="10"/>
      <c r="M11" s="10"/>
      <c r="N11" s="10"/>
      <c r="O11" s="10"/>
      <c r="P11" s="10"/>
      <c r="Q11" s="10"/>
      <c r="R11" s="10"/>
    </row>
    <row r="12" spans="1:18" ht="15" customHeight="1">
      <c r="A12" s="70" t="s">
        <v>355</v>
      </c>
      <c r="B12" s="5" t="s">
        <v>342</v>
      </c>
      <c r="C12" s="14" t="s">
        <v>356</v>
      </c>
      <c r="D12" s="15" t="str">
        <f>'Type du patient-victime'!$B$5</f>
        <v>Décrit le type de patient/victime principal</v>
      </c>
      <c r="E12" s="9" t="str">
        <f>'Type du patient-victime'!$B$2</f>
        <v>ENUM</v>
      </c>
      <c r="F12" s="9" t="str">
        <f>'Type du patient-victime'!$B$3</f>
        <v>TYPE_Patient_Victime</v>
      </c>
      <c r="G12" s="8" t="s">
        <v>336</v>
      </c>
      <c r="H12" s="9" t="s">
        <v>337</v>
      </c>
      <c r="I12" s="10" t="s">
        <v>338</v>
      </c>
      <c r="J12" s="10"/>
      <c r="K12" s="10"/>
      <c r="L12" s="10"/>
      <c r="M12" s="10"/>
      <c r="N12" s="10"/>
      <c r="O12" s="10"/>
      <c r="P12" s="10"/>
      <c r="Q12" s="10"/>
      <c r="R12" s="10"/>
    </row>
    <row r="13" spans="1:18" ht="15" customHeight="1">
      <c r="A13" s="70" t="s">
        <v>357</v>
      </c>
      <c r="B13" s="5" t="s">
        <v>342</v>
      </c>
      <c r="C13" s="12" t="s">
        <v>358</v>
      </c>
      <c r="D13" s="7" t="str">
        <f>'Attribution du dossier'!$B$5</f>
        <v>Décrit le type de dossier, et son attribution</v>
      </c>
      <c r="E13" s="13" t="str">
        <f>'Attribution du dossier'!$B$2</f>
        <v>SI-SAMU</v>
      </c>
      <c r="F13" s="5" t="str">
        <f>'Attribution du dossier'!$B$3</f>
        <v>DEVENIRD</v>
      </c>
      <c r="G13" s="8" t="s">
        <v>336</v>
      </c>
      <c r="H13" s="9" t="s">
        <v>337</v>
      </c>
      <c r="I13" s="10"/>
      <c r="J13" s="10" t="s">
        <v>338</v>
      </c>
      <c r="K13" s="10"/>
      <c r="L13" s="10"/>
      <c r="M13" s="10"/>
      <c r="N13" s="10"/>
      <c r="O13" s="10"/>
      <c r="P13" s="10"/>
      <c r="Q13" s="10"/>
      <c r="R13" s="10"/>
    </row>
    <row r="14" spans="1:18" ht="15" customHeight="1">
      <c r="A14" s="70" t="s">
        <v>359</v>
      </c>
      <c r="B14" s="5" t="s">
        <v>342</v>
      </c>
      <c r="C14" s="12" t="s">
        <v>360</v>
      </c>
      <c r="D14" s="7" t="str">
        <f>'Priorité de régulation médicale'!$B$5</f>
        <v>Décrit la priorité de régulation médicale.</v>
      </c>
      <c r="E14" s="13" t="str">
        <f>'Priorité de régulation médicale'!$B$2</f>
        <v>SI-SAMU</v>
      </c>
      <c r="F14" s="5" t="str">
        <f>'Priorité de régulation médicale'!$B$3</f>
        <v>PRIORITE</v>
      </c>
      <c r="G14" s="8" t="s">
        <v>336</v>
      </c>
      <c r="H14" s="9" t="s">
        <v>337</v>
      </c>
      <c r="I14" s="10"/>
      <c r="J14" s="10" t="s">
        <v>338</v>
      </c>
      <c r="K14" s="10" t="s">
        <v>338</v>
      </c>
      <c r="L14" s="10"/>
      <c r="M14" s="10"/>
      <c r="N14" s="10"/>
      <c r="O14" s="10"/>
      <c r="P14" s="10"/>
      <c r="Q14" s="10"/>
      <c r="R14" s="10"/>
    </row>
    <row r="15" spans="1:18" ht="15" customHeight="1">
      <c r="A15" s="70" t="s">
        <v>361</v>
      </c>
      <c r="B15" s="5" t="s">
        <v>362</v>
      </c>
      <c r="C15" s="14" t="s">
        <v>363</v>
      </c>
      <c r="D15" s="15" t="str">
        <f>'Lieu - Source ou type d''id'!$B$5</f>
        <v>Décrit le type d'idenfiant possible pour un lieu  (société / établissement)</v>
      </c>
      <c r="E15" s="9" t="str">
        <f>'Lieu - Source ou type d''id'!$B$2</f>
        <v>ENUM</v>
      </c>
      <c r="F15" s="9" t="str">
        <f>'Lieu - Source ou type d''id'!$B$3</f>
        <v>SOURCE_Id_Lieu</v>
      </c>
      <c r="G15" s="8" t="s">
        <v>336</v>
      </c>
      <c r="H15" s="9" t="s">
        <v>337</v>
      </c>
      <c r="I15" s="10" t="s">
        <v>338</v>
      </c>
      <c r="J15" s="10" t="s">
        <v>338</v>
      </c>
      <c r="K15" s="10" t="s">
        <v>338</v>
      </c>
      <c r="L15" s="10"/>
      <c r="M15" s="10"/>
      <c r="N15" s="10"/>
      <c r="O15" s="10"/>
      <c r="P15" s="10"/>
      <c r="Q15" s="10"/>
      <c r="R15" s="10"/>
    </row>
    <row r="16" spans="1:18" ht="15" customHeight="1">
      <c r="A16" s="70" t="s">
        <v>364</v>
      </c>
      <c r="B16" s="5" t="s">
        <v>362</v>
      </c>
      <c r="C16" s="14" t="s">
        <v>365</v>
      </c>
      <c r="D16" s="15" t="str">
        <f>Precision!$B$5</f>
        <v>Décrit le niveau de précision des coordonnées GPS envoyées</v>
      </c>
      <c r="E16" s="9" t="str">
        <f>Precision!$B$2</f>
        <v>ENUM</v>
      </c>
      <c r="F16" s="9" t="str">
        <f>Precision!$B$3</f>
        <v>PRECISION</v>
      </c>
      <c r="G16" s="8" t="s">
        <v>336</v>
      </c>
      <c r="H16" s="9" t="s">
        <v>337</v>
      </c>
      <c r="I16" s="10" t="s">
        <v>338</v>
      </c>
      <c r="J16" s="10" t="s">
        <v>338</v>
      </c>
      <c r="K16" s="10"/>
      <c r="L16" s="10"/>
      <c r="M16" s="10"/>
      <c r="N16" s="10"/>
      <c r="O16" s="10"/>
      <c r="P16" s="10"/>
      <c r="Q16" s="10"/>
      <c r="R16" s="10"/>
    </row>
    <row r="17" spans="1:18" ht="15" customHeight="1">
      <c r="A17" s="70" t="s">
        <v>366</v>
      </c>
      <c r="B17" s="5" t="s">
        <v>362</v>
      </c>
      <c r="C17" s="14" t="s">
        <v>367</v>
      </c>
      <c r="D17" s="15" t="str">
        <f>'Nom de la source'!$B$5</f>
        <v>Décrit le système fournissant le localisant</v>
      </c>
      <c r="E17" s="9" t="str">
        <f>'Nom de la source'!$B$2</f>
        <v>ENUM</v>
      </c>
      <c r="F17" s="9" t="str">
        <f>'Nom de la source'!$B$3</f>
        <v>SOURCE_Loc</v>
      </c>
      <c r="G17" s="8" t="s">
        <v>336</v>
      </c>
      <c r="H17" s="9" t="s">
        <v>337</v>
      </c>
      <c r="I17" s="10" t="s">
        <v>338</v>
      </c>
      <c r="J17" s="10" t="s">
        <v>338</v>
      </c>
      <c r="K17" s="10" t="s">
        <v>338</v>
      </c>
      <c r="L17" s="10"/>
      <c r="M17" s="10"/>
      <c r="N17" s="10"/>
      <c r="O17" s="10"/>
      <c r="P17" s="10"/>
      <c r="Q17" s="10"/>
      <c r="R17" s="10"/>
    </row>
    <row r="18" spans="1:18" ht="15" customHeight="1">
      <c r="A18" s="70" t="s">
        <v>368</v>
      </c>
      <c r="B18" s="5" t="s">
        <v>362</v>
      </c>
      <c r="C18" s="14" t="s">
        <v>369</v>
      </c>
      <c r="D18" s="15" t="str">
        <f>'Type d''objet'!$B$5</f>
        <v>Décrit le type d'objet dans le système</v>
      </c>
      <c r="E18" s="9" t="str">
        <f>'Type d''objet'!$B$2</f>
        <v>ENUM</v>
      </c>
      <c r="F18" s="9" t="str">
        <f>'Type d''objet'!$B$3</f>
        <v>TYPE_Objet_Sys</v>
      </c>
      <c r="G18" s="8" t="s">
        <v>336</v>
      </c>
      <c r="H18" s="9" t="s">
        <v>337</v>
      </c>
      <c r="I18" s="10" t="s">
        <v>338</v>
      </c>
      <c r="J18" s="10" t="s">
        <v>338</v>
      </c>
      <c r="K18" s="10" t="s">
        <v>338</v>
      </c>
      <c r="L18" s="10"/>
      <c r="M18" s="10"/>
      <c r="N18" s="10"/>
      <c r="O18" s="10"/>
      <c r="P18" s="10"/>
      <c r="Q18" s="10"/>
      <c r="R18" s="10"/>
    </row>
    <row r="19" spans="1:18" ht="15" customHeight="1">
      <c r="A19" s="77" t="s">
        <v>370</v>
      </c>
      <c r="B19" s="5" t="s">
        <v>371</v>
      </c>
      <c r="C19" s="81" t="s">
        <v>372</v>
      </c>
      <c r="D19" s="15" t="str">
        <f>Signalement!$B$5</f>
        <v>Décrit le niveau de signalement de l'alerte</v>
      </c>
      <c r="E19" s="9" t="str">
        <f>Signalement!$B$2</f>
        <v>ENUM</v>
      </c>
      <c r="F19" s="9" t="str">
        <f>Signalement!$B$3</f>
        <v>SIGNALEMENT</v>
      </c>
      <c r="G19" s="8" t="s">
        <v>336</v>
      </c>
      <c r="H19" s="9" t="s">
        <v>337</v>
      </c>
      <c r="I19" s="10" t="s">
        <v>338</v>
      </c>
      <c r="J19" s="10"/>
      <c r="K19" s="10"/>
      <c r="L19" s="10"/>
      <c r="M19" s="10"/>
      <c r="N19" s="10"/>
      <c r="O19" s="10"/>
      <c r="P19" s="10"/>
      <c r="Q19" s="10"/>
      <c r="R19" s="10"/>
    </row>
    <row r="20" spans="1:18" ht="15" customHeight="1">
      <c r="A20" s="70" t="s">
        <v>373</v>
      </c>
      <c r="B20" s="5" t="s">
        <v>371</v>
      </c>
      <c r="C20" s="14" t="s">
        <v>374</v>
      </c>
      <c r="D20" s="15" t="str">
        <f>Canal!$B$5</f>
        <v>Décrit le type de canal utilisé pour le contact</v>
      </c>
      <c r="E20" s="9" t="str">
        <f>Canal!$B$2</f>
        <v>ENUM</v>
      </c>
      <c r="F20" s="9" t="str">
        <f>Canal!$B$3</f>
        <v>CONTACT_Canal</v>
      </c>
      <c r="G20" s="8" t="s">
        <v>336</v>
      </c>
      <c r="H20" s="9" t="s">
        <v>337</v>
      </c>
      <c r="I20" s="10" t="s">
        <v>338</v>
      </c>
      <c r="J20" s="10" t="s">
        <v>338</v>
      </c>
      <c r="K20" s="10"/>
      <c r="L20" s="10"/>
      <c r="M20" s="10"/>
      <c r="N20" s="10"/>
      <c r="O20" s="10"/>
      <c r="P20" s="10"/>
      <c r="Q20" s="10"/>
      <c r="R20" s="10"/>
    </row>
    <row r="21" spans="1:18" ht="15" customHeight="1">
      <c r="A21" s="70" t="s">
        <v>375</v>
      </c>
      <c r="B21" s="5" t="s">
        <v>371</v>
      </c>
      <c r="C21" s="14" t="s">
        <v>376</v>
      </c>
      <c r="D21" s="15" t="str">
        <f>'Type de contact'!$B$5</f>
        <v>Décrit le type de contact</v>
      </c>
      <c r="E21" s="9" t="str">
        <f>'Type de contact'!$B$2</f>
        <v>ENUM</v>
      </c>
      <c r="F21" s="9" t="str">
        <f>'Type de contact'!$B$3</f>
        <v>CONTACT_Type</v>
      </c>
      <c r="G21" s="8" t="s">
        <v>336</v>
      </c>
      <c r="H21" s="9" t="s">
        <v>337</v>
      </c>
      <c r="I21" s="10" t="s">
        <v>338</v>
      </c>
      <c r="J21" s="10" t="s">
        <v>338</v>
      </c>
      <c r="K21" s="10" t="s">
        <v>338</v>
      </c>
      <c r="L21" s="10"/>
      <c r="M21" s="10"/>
      <c r="N21" s="10"/>
      <c r="O21" s="10"/>
      <c r="P21" s="10"/>
      <c r="Q21" s="10"/>
      <c r="R21" s="10"/>
    </row>
    <row r="22" spans="1:18" ht="15" customHeight="1">
      <c r="A22" s="71" t="s">
        <v>377</v>
      </c>
      <c r="C22" s="14" t="s">
        <v>378</v>
      </c>
      <c r="D22" s="15" t="str">
        <f>Langue!B5</f>
        <v>Décrit la langue parlée par l'appelant / le requérant.  Source : https://www.loc.gov/standards/iso639-2/php/code_list.php</v>
      </c>
      <c r="E22" s="9" t="str">
        <f>Langue!B2</f>
        <v>ISO-639.1</v>
      </c>
      <c r="F22" s="9" t="str">
        <f>Langue!B3</f>
        <v>LANGUE</v>
      </c>
      <c r="G22" s="8" t="s">
        <v>336</v>
      </c>
      <c r="H22" s="9" t="s">
        <v>379</v>
      </c>
      <c r="I22" s="10" t="s">
        <v>338</v>
      </c>
      <c r="J22" s="10" t="s">
        <v>338</v>
      </c>
      <c r="K22" s="10"/>
      <c r="L22" s="10"/>
      <c r="M22" s="10"/>
      <c r="N22" s="10"/>
      <c r="O22" s="10"/>
      <c r="P22" s="10"/>
      <c r="Q22" s="10"/>
      <c r="R22" s="10"/>
    </row>
    <row r="23" spans="1:18" ht="15" customHeight="1">
      <c r="A23" s="70" t="s">
        <v>380</v>
      </c>
      <c r="B23" s="5" t="s">
        <v>371</v>
      </c>
      <c r="C23" s="14" t="s">
        <v>381</v>
      </c>
      <c r="D23" s="7" t="str">
        <f>'Type de requérant'!$B$5</f>
        <v>Décrit le type de requérant/appelant</v>
      </c>
      <c r="E23" s="13" t="str">
        <f>'Type de requérant'!$B$2</f>
        <v>SI-SAMU</v>
      </c>
      <c r="F23" s="5" t="str">
        <f>'Type de requérant'!$B$3</f>
        <v>TYPAPPLT</v>
      </c>
      <c r="G23" s="8" t="s">
        <v>336</v>
      </c>
      <c r="H23" s="9" t="s">
        <v>337</v>
      </c>
      <c r="I23" s="10" t="s">
        <v>338</v>
      </c>
      <c r="J23" s="10" t="s">
        <v>338</v>
      </c>
      <c r="K23" s="10"/>
      <c r="L23" s="10"/>
      <c r="M23" s="10"/>
      <c r="N23" s="10"/>
      <c r="O23" s="10"/>
      <c r="P23" s="10"/>
      <c r="Q23" s="10"/>
      <c r="R23" s="10"/>
    </row>
    <row r="24" spans="1:18" ht="15" customHeight="1">
      <c r="A24" s="70" t="s">
        <v>382</v>
      </c>
      <c r="B24" s="5" t="s">
        <v>371</v>
      </c>
      <c r="C24" s="14" t="s">
        <v>383</v>
      </c>
      <c r="D24" s="7" t="str">
        <f>'Difficultés de communication'!$B$5</f>
        <v>Décrit les difficultés de communication potentielles du requérant/appelant</v>
      </c>
      <c r="E24" s="13" t="str">
        <f>'Difficultés de communication'!$B$2</f>
        <v>SI-SAMU</v>
      </c>
      <c r="F24" s="5" t="str">
        <f>'Difficultés de communication'!$B$3</f>
        <v>PBAPL</v>
      </c>
      <c r="G24" s="8" t="s">
        <v>336</v>
      </c>
      <c r="H24" s="9" t="s">
        <v>337</v>
      </c>
      <c r="I24" s="10" t="s">
        <v>338</v>
      </c>
      <c r="J24" s="10" t="s">
        <v>338</v>
      </c>
      <c r="K24" s="10"/>
      <c r="L24" s="10"/>
      <c r="M24" s="10"/>
      <c r="N24" s="10"/>
      <c r="O24" s="10"/>
      <c r="P24" s="10"/>
      <c r="Q24" s="10"/>
      <c r="R24" s="10"/>
    </row>
    <row r="25" spans="1:18" ht="15" customHeight="1">
      <c r="A25" s="71" t="s">
        <v>384</v>
      </c>
      <c r="B25" s="9" t="s">
        <v>385</v>
      </c>
      <c r="C25" s="14" t="s">
        <v>386</v>
      </c>
      <c r="D25" s="7" t="str">
        <f>'Patient - type d''Id'!$B$5</f>
        <v>Décrit le type d'identifiant fourni</v>
      </c>
      <c r="E25" s="13" t="str">
        <f>'Patient - type d''Id'!$B$2</f>
        <v>ENUM</v>
      </c>
      <c r="F25" s="13" t="str">
        <f>'Patient - type d''Id'!$B$3</f>
        <v>TYPE_Id_Patient</v>
      </c>
      <c r="G25" s="8" t="s">
        <v>336</v>
      </c>
      <c r="H25" s="9" t="s">
        <v>337</v>
      </c>
      <c r="I25" s="10"/>
      <c r="J25" s="10" t="s">
        <v>338</v>
      </c>
      <c r="K25" s="10" t="s">
        <v>338</v>
      </c>
      <c r="L25" s="10"/>
      <c r="M25" s="10" t="s">
        <v>338</v>
      </c>
      <c r="N25" s="10"/>
      <c r="O25" s="10"/>
      <c r="P25" s="10"/>
      <c r="Q25" s="10"/>
      <c r="R25" s="10"/>
    </row>
    <row r="26" spans="1:18" ht="15" customHeight="1">
      <c r="A26" s="70" t="s">
        <v>387</v>
      </c>
      <c r="B26" s="9" t="s">
        <v>385</v>
      </c>
      <c r="C26" s="14" t="s">
        <v>388</v>
      </c>
      <c r="D26" s="7" t="str">
        <f>Sexe!$B$5</f>
        <v>Décrit le sexe du patient</v>
      </c>
      <c r="E26" s="13" t="str">
        <f>Sexe!$B$2</f>
        <v>NOS</v>
      </c>
      <c r="F26" s="5" t="str">
        <f>Sexe!$B$3</f>
        <v>NOMENC_SEXE</v>
      </c>
      <c r="G26" s="8" t="s">
        <v>336</v>
      </c>
      <c r="H26" s="9" t="s">
        <v>379</v>
      </c>
      <c r="I26" s="10" t="s">
        <v>338</v>
      </c>
      <c r="J26" s="10" t="s">
        <v>338</v>
      </c>
      <c r="K26" s="10" t="s">
        <v>338</v>
      </c>
      <c r="L26" s="10" t="s">
        <v>338</v>
      </c>
      <c r="M26" s="10" t="s">
        <v>338</v>
      </c>
      <c r="N26" s="10"/>
      <c r="O26" s="10"/>
      <c r="P26" s="10"/>
      <c r="Q26" s="10"/>
      <c r="R26" s="10"/>
    </row>
    <row r="27" spans="1:18" ht="15" customHeight="1">
      <c r="A27" s="71" t="s">
        <v>389</v>
      </c>
      <c r="B27" s="9" t="s">
        <v>390</v>
      </c>
      <c r="C27" s="14" t="s">
        <v>391</v>
      </c>
      <c r="D27" s="7" t="str">
        <f>'Niveau de soin'!$B$5</f>
        <v>Décrit le niveau de soins : le plus grave est retenu pour qualifier le dossier/affaire. Pour chaque patient/victime, le motif spécifique est indiqué.</v>
      </c>
      <c r="E27" s="13" t="str">
        <f>'Niveau de soin'!$B$2</f>
        <v>SI-SAMU</v>
      </c>
      <c r="F27" s="5" t="str">
        <f>'Niveau de soin'!$B$3</f>
        <v>GRAVITE</v>
      </c>
      <c r="G27" s="8" t="s">
        <v>336</v>
      </c>
      <c r="H27" s="9" t="s">
        <v>337</v>
      </c>
      <c r="I27" s="10"/>
      <c r="J27" s="10" t="s">
        <v>338</v>
      </c>
      <c r="K27" s="10" t="s">
        <v>338</v>
      </c>
      <c r="L27" s="10"/>
      <c r="M27" s="10"/>
      <c r="N27" s="10"/>
      <c r="O27" s="10"/>
      <c r="P27" s="10"/>
      <c r="Q27" s="10"/>
      <c r="R27" s="10"/>
    </row>
    <row r="28" spans="1:18" ht="15" customHeight="1">
      <c r="A28" s="71" t="s">
        <v>392</v>
      </c>
      <c r="B28" s="9" t="s">
        <v>393</v>
      </c>
      <c r="C28" s="14" t="s">
        <v>394</v>
      </c>
      <c r="D28" s="7" t="str">
        <f>Role!$B$5</f>
        <v>Décrit le rôle de l'opérateur dans l'organisation à laquelle il appartient</v>
      </c>
      <c r="E28" s="13" t="str">
        <f>Role!$B$2</f>
        <v>ENUM</v>
      </c>
      <c r="F28" s="13" t="str">
        <f>Role!$B$3</f>
        <v>ROLE</v>
      </c>
      <c r="G28" s="8" t="s">
        <v>336</v>
      </c>
      <c r="H28" s="9" t="s">
        <v>337</v>
      </c>
      <c r="I28" s="10"/>
      <c r="J28" s="10" t="s">
        <v>338</v>
      </c>
      <c r="K28" s="10" t="s">
        <v>338</v>
      </c>
      <c r="L28" s="10"/>
      <c r="M28" s="10" t="s">
        <v>338</v>
      </c>
      <c r="N28" s="10"/>
      <c r="O28" s="10"/>
      <c r="P28" s="10"/>
      <c r="Q28" s="10"/>
      <c r="R28" s="10"/>
    </row>
    <row r="29" spans="1:18" ht="15" customHeight="1">
      <c r="A29" s="70" t="s">
        <v>395</v>
      </c>
      <c r="B29" s="5" t="s">
        <v>396</v>
      </c>
      <c r="C29" s="14" t="s">
        <v>397</v>
      </c>
      <c r="D29" s="7" t="str">
        <f>'Type de decision'!$B$5</f>
        <v>Décrit le type de décision prise</v>
      </c>
      <c r="E29" s="13" t="str">
        <f>'Type de decision'!$B$2</f>
        <v>SI-SAMU</v>
      </c>
      <c r="F29" s="5" t="str">
        <f>'Type de decision'!$B$3</f>
        <v>TYPEDEC</v>
      </c>
      <c r="G29" s="8" t="s">
        <v>336</v>
      </c>
      <c r="H29" s="9" t="s">
        <v>337</v>
      </c>
      <c r="I29" s="16"/>
      <c r="J29" s="16" t="s">
        <v>338</v>
      </c>
      <c r="K29" s="16" t="s">
        <v>338</v>
      </c>
      <c r="L29" s="16"/>
      <c r="M29" s="16"/>
      <c r="N29" s="10"/>
      <c r="O29" s="10"/>
      <c r="P29" s="10"/>
      <c r="Q29" s="10"/>
      <c r="R29" s="10"/>
    </row>
    <row r="30" spans="1:18" ht="15" customHeight="1">
      <c r="A30" s="70" t="s">
        <v>398</v>
      </c>
      <c r="B30" s="5" t="s">
        <v>399</v>
      </c>
      <c r="C30" s="14" t="s">
        <v>400</v>
      </c>
      <c r="D30" s="7" t="str">
        <f>'Type de ressource'!$B$5</f>
        <v xml:space="preserve">Décrit le type de moyen/ressources, dans un sens plus large que type de vecteur/véhicule. N.B. dans OPG pour les message EMSI.
</v>
      </c>
      <c r="E30" s="13" t="str">
        <f>'Type de ressource'!$B$2</f>
        <v>SI-SAMU</v>
      </c>
      <c r="F30" s="5" t="str">
        <f>'Type de ressource'!$B$3</f>
        <v>TYPE_MOYEN</v>
      </c>
      <c r="G30" s="8" t="s">
        <v>336</v>
      </c>
      <c r="H30" s="9" t="s">
        <v>337</v>
      </c>
      <c r="I30" s="10"/>
      <c r="J30" s="10" t="s">
        <v>338</v>
      </c>
      <c r="K30" s="10" t="s">
        <v>338</v>
      </c>
      <c r="L30" s="10" t="s">
        <v>338</v>
      </c>
      <c r="M30" s="10"/>
      <c r="N30" s="10"/>
      <c r="O30" s="10"/>
      <c r="P30" s="10" t="s">
        <v>338</v>
      </c>
      <c r="Q30" s="10"/>
      <c r="R30" s="10"/>
    </row>
    <row r="31" spans="1:18" ht="15" customHeight="1">
      <c r="A31" s="71" t="s">
        <v>401</v>
      </c>
      <c r="B31" s="9" t="s">
        <v>399</v>
      </c>
      <c r="C31" s="14" t="s">
        <v>402</v>
      </c>
      <c r="D31" s="7" t="str">
        <f>'Type de vecteurs'!$B$5</f>
        <v>Décrit le type de vecteur/véhicule ou de ressource mobilisée, avec plus de précision que simplement le type de ressources. Utilisée exclusivement en inter-santé (cf. EMSI-OPG pour 15-NexSIS)</v>
      </c>
      <c r="E31" s="13" t="str">
        <f>'Type de vecteurs'!$B$2</f>
        <v>SI-SAMU</v>
      </c>
      <c r="F31" s="5" t="str">
        <f>'Type de vecteurs'!$B$3</f>
        <v>TYPE_VECTEUR</v>
      </c>
      <c r="G31" s="8" t="s">
        <v>336</v>
      </c>
      <c r="H31" s="9" t="s">
        <v>337</v>
      </c>
      <c r="I31" s="10"/>
      <c r="J31" s="10"/>
      <c r="K31" s="10"/>
      <c r="L31" s="10" t="s">
        <v>338</v>
      </c>
      <c r="M31" s="10"/>
      <c r="N31" s="10" t="s">
        <v>338</v>
      </c>
      <c r="O31" s="10"/>
      <c r="P31" s="10" t="s">
        <v>338</v>
      </c>
      <c r="Q31" s="10"/>
      <c r="R31" s="10"/>
    </row>
    <row r="32" spans="1:18" ht="15" customHeight="1">
      <c r="A32" s="70" t="s">
        <v>403</v>
      </c>
      <c r="B32" s="5" t="s">
        <v>404</v>
      </c>
      <c r="C32" s="14" t="s">
        <v>405</v>
      </c>
      <c r="D32" s="11" t="str">
        <f>'Niveau de prise en charge'!$B$5</f>
        <v>Décrit le niveau de prise en charge exigé.</v>
      </c>
      <c r="E32" s="5" t="str">
        <f>'Niveau de prise en charge'!$B$2</f>
        <v>SI-SAMU</v>
      </c>
      <c r="F32" s="5" t="str">
        <f>'Niveau de prise en charge'!$B$3</f>
        <v>NIVSOIN</v>
      </c>
      <c r="G32" s="8" t="s">
        <v>336</v>
      </c>
      <c r="H32" s="9" t="s">
        <v>337</v>
      </c>
      <c r="I32" s="10"/>
      <c r="J32" s="10"/>
      <c r="K32" s="10"/>
      <c r="L32" s="10" t="s">
        <v>338</v>
      </c>
      <c r="M32" s="10"/>
      <c r="N32" s="10" t="s">
        <v>338</v>
      </c>
      <c r="O32" s="10"/>
      <c r="P32" s="10"/>
      <c r="Q32" s="10"/>
      <c r="R32" s="10"/>
    </row>
    <row r="33" spans="1:18" ht="15" customHeight="1">
      <c r="A33" s="70" t="s">
        <v>406</v>
      </c>
      <c r="B33" s="5" t="s">
        <v>396</v>
      </c>
      <c r="C33" s="14" t="s">
        <v>407</v>
      </c>
      <c r="D33" s="11" t="str">
        <f>'Type de destination'!$B$5</f>
        <v>Décrit la filière compétente pour traiter le dossier.</v>
      </c>
      <c r="E33" s="5" t="str">
        <f>'Type de destination'!$B$2</f>
        <v>ENUM</v>
      </c>
      <c r="F33" s="5" t="str">
        <f>'Type de destination'!$B$3</f>
        <v>TYPE_Destination</v>
      </c>
      <c r="G33" s="8" t="s">
        <v>336</v>
      </c>
      <c r="H33" s="9" t="s">
        <v>337</v>
      </c>
      <c r="I33" s="10"/>
      <c r="J33" s="10" t="s">
        <v>338</v>
      </c>
      <c r="K33" s="10" t="s">
        <v>338</v>
      </c>
      <c r="L33" s="10"/>
      <c r="M33" s="10"/>
      <c r="N33" s="10"/>
      <c r="O33" s="10"/>
      <c r="P33" s="10"/>
      <c r="Q33" s="10"/>
      <c r="R33" s="10"/>
    </row>
    <row r="34" spans="1:18" ht="15" customHeight="1">
      <c r="A34" s="71" t="s">
        <v>408</v>
      </c>
      <c r="B34" s="9" t="s">
        <v>409</v>
      </c>
      <c r="C34" s="14" t="s">
        <v>410</v>
      </c>
      <c r="D34" s="11" t="str">
        <f>'Effet à obtenir'!$B$5</f>
        <v>Décrit les effets à obtenir utilisés uniquement entre SAMU, en intersanté.</v>
      </c>
      <c r="E34" s="5" t="str">
        <f>'Effet à obtenir'!$B$2</f>
        <v>CISU</v>
      </c>
      <c r="F34" s="5" t="str">
        <f>'Effet à obtenir'!$B$3</f>
        <v>Code_Effet_a_obtenir</v>
      </c>
      <c r="G34" s="8" t="s">
        <v>336</v>
      </c>
      <c r="H34" s="9" t="s">
        <v>2567</v>
      </c>
      <c r="I34" s="10"/>
      <c r="J34" s="10"/>
      <c r="K34" s="10"/>
      <c r="L34" s="10"/>
      <c r="M34" s="10"/>
      <c r="N34" s="10"/>
      <c r="O34" s="10" t="s">
        <v>338</v>
      </c>
      <c r="P34" s="10"/>
      <c r="Q34" s="10"/>
      <c r="R34" s="10"/>
    </row>
    <row r="35" spans="1:18" ht="15" customHeight="1">
      <c r="A35" s="71" t="s">
        <v>411</v>
      </c>
      <c r="B35" s="9" t="s">
        <v>409</v>
      </c>
      <c r="C35" s="14" t="s">
        <v>412</v>
      </c>
      <c r="D35" s="11" t="str">
        <f>'Cadre conventionnel'!$B$5</f>
        <v xml:space="preserve">Décrit le cadre conventionnel dans lequel s'inscrit une demande de ressources. Codes inter-santé uniquement (voir EMSI pour lien 15-Nexsis). </v>
      </c>
      <c r="E35" s="5" t="str">
        <f>'Cadre conventionnel'!$B$2</f>
        <v>CISU</v>
      </c>
      <c r="F35" s="5" t="str">
        <f>'Cadre conventionnel'!$B$3</f>
        <v>CADRE_CONV</v>
      </c>
      <c r="G35" s="8" t="s">
        <v>336</v>
      </c>
      <c r="H35" s="9" t="s">
        <v>2567</v>
      </c>
      <c r="I35" s="10"/>
      <c r="J35" s="10"/>
      <c r="K35" s="10"/>
      <c r="L35" s="10"/>
      <c r="M35" s="10"/>
      <c r="N35" s="72"/>
      <c r="O35" s="10" t="s">
        <v>338</v>
      </c>
      <c r="P35" s="72"/>
      <c r="Q35" s="10"/>
      <c r="R35" s="10"/>
    </row>
    <row r="36" spans="1:18" ht="15" customHeight="1">
      <c r="A36" s="71" t="s">
        <v>413</v>
      </c>
      <c r="B36" s="9" t="s">
        <v>409</v>
      </c>
      <c r="C36" s="14" t="s">
        <v>414</v>
      </c>
      <c r="D36" s="11" t="str">
        <f>'Delai d''intervention'!$B$5</f>
        <v>Décrit le délai d'intervention attendu ou souhaité pour une ressource ou un vecteur.</v>
      </c>
      <c r="E36" s="5" t="str">
        <f>'Delai d''intervention'!$B$2</f>
        <v>SI-SAMU</v>
      </c>
      <c r="F36" s="5" t="str">
        <f>'Delai d''intervention'!$B$3</f>
        <v>DELAI</v>
      </c>
      <c r="G36" s="8" t="s">
        <v>336</v>
      </c>
      <c r="H36" s="9" t="s">
        <v>337</v>
      </c>
      <c r="I36" s="10"/>
      <c r="J36" s="10"/>
      <c r="K36" s="10"/>
      <c r="L36" s="10"/>
      <c r="M36" s="10"/>
      <c r="N36" s="10"/>
      <c r="O36" s="10" t="s">
        <v>338</v>
      </c>
      <c r="P36" s="10" t="s">
        <v>338</v>
      </c>
      <c r="Q36" s="10"/>
      <c r="R36" s="10"/>
    </row>
    <row r="37" spans="1:18" ht="15" customHeight="1">
      <c r="A37" s="71" t="s">
        <v>415</v>
      </c>
      <c r="B37" s="9" t="s">
        <v>416</v>
      </c>
      <c r="C37" s="14" t="s">
        <v>417</v>
      </c>
      <c r="D37" s="11" t="str">
        <f>'Annulation DR'!$B$5</f>
        <v>Décrit l'état de l'annulation de demande de ressources</v>
      </c>
      <c r="E37" s="5" t="str">
        <f>'Annulation DR'!B2</f>
        <v>ENUM</v>
      </c>
      <c r="F37" s="5" t="str">
        <f>'Annulation DR'!B3</f>
        <v>STATUS_DR</v>
      </c>
      <c r="G37" s="8" t="s">
        <v>336</v>
      </c>
      <c r="H37" s="9" t="s">
        <v>337</v>
      </c>
      <c r="I37" s="10"/>
      <c r="J37" s="10"/>
      <c r="K37" s="10"/>
      <c r="L37" s="10"/>
      <c r="M37" s="10"/>
      <c r="N37" s="10"/>
      <c r="O37" s="10" t="s">
        <v>338</v>
      </c>
      <c r="P37" s="10"/>
      <c r="Q37" s="10"/>
      <c r="R37" s="10"/>
    </row>
    <row r="38" spans="1:18" ht="15" customHeight="1">
      <c r="A38" s="71" t="s">
        <v>418</v>
      </c>
      <c r="B38" s="9" t="s">
        <v>419</v>
      </c>
      <c r="C38" s="14" t="s">
        <v>420</v>
      </c>
      <c r="D38" s="11" t="str">
        <f>'Reponse demande ressources'!$B$5</f>
        <v>Décrit la réponse à une demande de ressources</v>
      </c>
      <c r="E38" s="5" t="str">
        <f>'Reponse demande ressources'!$B$2</f>
        <v>ENUM</v>
      </c>
      <c r="F38" s="5" t="str">
        <f>'Reponse demande ressources'!$B$3</f>
        <v>REPONSE</v>
      </c>
      <c r="G38" s="8" t="s">
        <v>336</v>
      </c>
      <c r="H38" s="9" t="s">
        <v>337</v>
      </c>
      <c r="I38" s="10"/>
      <c r="J38" s="10"/>
      <c r="K38" s="10"/>
      <c r="L38" s="10"/>
      <c r="M38" s="10"/>
      <c r="N38" s="10"/>
      <c r="O38" s="10"/>
      <c r="P38" s="10" t="s">
        <v>338</v>
      </c>
      <c r="Q38" s="10"/>
      <c r="R38" s="10"/>
    </row>
    <row r="39" spans="1:18" ht="15" customHeight="1">
      <c r="A39" s="71" t="s">
        <v>421</v>
      </c>
      <c r="B39" s="9" t="s">
        <v>422</v>
      </c>
      <c r="C39" s="14" t="s">
        <v>423</v>
      </c>
      <c r="D39" s="11" t="str">
        <f>'Statut du vecteur'!$B$5</f>
        <v>Décrit le statut du vecteur/véhicule mobilisé</v>
      </c>
      <c r="E39" s="5" t="str">
        <f>'Statut du vecteur'!$B$2</f>
        <v>SI-SAMU</v>
      </c>
      <c r="F39" s="5" t="str">
        <f>'Statut du vecteur'!$B$3</f>
        <v>STATUS_VECTEUR</v>
      </c>
      <c r="G39" s="8" t="s">
        <v>336</v>
      </c>
      <c r="H39" s="9" t="s">
        <v>337</v>
      </c>
      <c r="I39" s="10"/>
      <c r="J39" s="10"/>
      <c r="K39" s="10"/>
      <c r="L39" s="10"/>
      <c r="M39" s="10"/>
      <c r="N39" s="10" t="s">
        <v>338</v>
      </c>
      <c r="O39" s="10"/>
      <c r="P39" s="10"/>
      <c r="Q39" s="10" t="s">
        <v>338</v>
      </c>
      <c r="R39" s="10"/>
    </row>
    <row r="40" spans="1:18" ht="15" customHeight="1">
      <c r="A40" s="71" t="s">
        <v>424</v>
      </c>
      <c r="B40" s="9"/>
      <c r="C40" s="14" t="s">
        <v>425</v>
      </c>
      <c r="D40" s="9" t="str">
        <f>'Etape message'!B5</f>
        <v>Décrit les différentes étapes d'intégration et de consultation du dossier dans un système</v>
      </c>
      <c r="E40" s="9" t="str">
        <f>'Etape message'!B2</f>
        <v>ENUM</v>
      </c>
      <c r="F40" s="9" t="str">
        <f>'Etape message'!B3</f>
        <v>Etape_Message</v>
      </c>
      <c r="G40" s="8" t="s">
        <v>336</v>
      </c>
      <c r="H40" s="9" t="s">
        <v>426</v>
      </c>
      <c r="I40" s="10"/>
      <c r="J40" s="10"/>
      <c r="K40" s="10"/>
      <c r="L40" s="10"/>
      <c r="M40" s="10"/>
      <c r="N40" s="10"/>
      <c r="O40" s="10"/>
      <c r="P40" s="10"/>
      <c r="Q40" s="10"/>
      <c r="R40" s="10" t="s">
        <v>338</v>
      </c>
    </row>
    <row r="41" spans="1:18" ht="15" customHeight="1">
      <c r="A41" s="9"/>
      <c r="B41" s="9"/>
      <c r="C41" s="14"/>
      <c r="D41" s="9"/>
      <c r="E41" s="9"/>
      <c r="F41" s="9"/>
      <c r="G41" s="9"/>
      <c r="H41" s="9"/>
      <c r="I41" s="10"/>
      <c r="J41" s="10"/>
      <c r="K41" s="10"/>
      <c r="L41" s="10"/>
      <c r="M41" s="10"/>
      <c r="N41" s="10"/>
      <c r="O41" s="10"/>
      <c r="P41" s="10"/>
      <c r="Q41" s="10"/>
      <c r="R41" s="10"/>
    </row>
    <row r="42" spans="1:18">
      <c r="A42" s="9"/>
      <c r="B42" s="9"/>
      <c r="C42" s="9"/>
      <c r="D42" s="9"/>
      <c r="E42" s="9"/>
      <c r="F42" s="9"/>
      <c r="G42" s="9"/>
      <c r="H42" s="9"/>
      <c r="I42" s="10"/>
      <c r="J42" s="10"/>
      <c r="K42" s="10"/>
      <c r="L42" s="10"/>
      <c r="M42" s="10"/>
      <c r="N42" s="10"/>
      <c r="O42" s="10"/>
      <c r="P42" s="10"/>
      <c r="Q42" s="10"/>
      <c r="R42" s="10"/>
    </row>
    <row r="43" spans="1:18">
      <c r="A43" s="9"/>
      <c r="B43" s="9"/>
      <c r="C43" s="9"/>
      <c r="D43" s="9"/>
      <c r="E43" s="9"/>
      <c r="F43" s="9"/>
      <c r="G43" s="9"/>
      <c r="H43" s="9"/>
      <c r="I43" s="10"/>
      <c r="J43" s="10"/>
      <c r="K43" s="10"/>
      <c r="L43" s="10"/>
      <c r="M43" s="10"/>
      <c r="N43" s="10"/>
      <c r="O43" s="10"/>
      <c r="P43" s="10"/>
      <c r="Q43" s="10"/>
      <c r="R43" s="10"/>
    </row>
    <row r="44" spans="1:18">
      <c r="A44" s="9"/>
      <c r="B44" s="9"/>
      <c r="C44" s="9"/>
      <c r="D44" s="9"/>
      <c r="E44" s="9"/>
      <c r="F44" s="9"/>
      <c r="G44" s="9"/>
      <c r="H44" s="9"/>
      <c r="I44" s="10"/>
      <c r="J44" s="10"/>
      <c r="K44" s="10"/>
      <c r="L44" s="10"/>
      <c r="M44" s="10"/>
      <c r="N44" s="10"/>
      <c r="O44" s="10"/>
      <c r="P44" s="10"/>
      <c r="Q44" s="10"/>
      <c r="R44" s="10"/>
    </row>
    <row r="45" spans="1:18">
      <c r="A45" s="9"/>
      <c r="B45" s="9"/>
      <c r="C45" s="9"/>
      <c r="D45" s="9"/>
      <c r="E45" s="9"/>
      <c r="F45" s="9"/>
      <c r="G45" s="9"/>
      <c r="H45" s="9"/>
      <c r="I45" s="10"/>
      <c r="J45" s="10"/>
      <c r="K45" s="10"/>
      <c r="L45" s="10"/>
      <c r="M45" s="10"/>
      <c r="N45" s="10"/>
      <c r="O45" s="10"/>
      <c r="P45" s="10"/>
      <c r="Q45" s="10"/>
      <c r="R45" s="10"/>
    </row>
    <row r="46" spans="1:18">
      <c r="A46" s="9"/>
      <c r="B46" s="9"/>
      <c r="C46" s="9"/>
      <c r="D46" s="9"/>
      <c r="E46" s="9"/>
      <c r="F46" s="9"/>
      <c r="G46" s="9"/>
      <c r="H46" s="9"/>
      <c r="I46" s="10"/>
      <c r="J46" s="10"/>
      <c r="K46" s="10"/>
      <c r="L46" s="10"/>
      <c r="M46" s="10"/>
      <c r="N46" s="10"/>
      <c r="O46" s="10"/>
      <c r="P46" s="10"/>
      <c r="Q46" s="10"/>
      <c r="R46" s="10"/>
    </row>
    <row r="47" spans="1:18">
      <c r="A47" s="9"/>
      <c r="B47" s="9"/>
      <c r="C47" s="9"/>
      <c r="D47" s="9"/>
      <c r="E47" s="9"/>
      <c r="F47" s="9"/>
      <c r="G47" s="9"/>
      <c r="H47" s="9"/>
      <c r="I47" s="10"/>
      <c r="J47" s="10"/>
      <c r="K47" s="10"/>
      <c r="L47" s="10"/>
      <c r="M47" s="10"/>
      <c r="N47" s="10"/>
      <c r="O47" s="10"/>
      <c r="P47" s="10"/>
      <c r="Q47" s="10"/>
      <c r="R47" s="10"/>
    </row>
    <row r="48" spans="1:18">
      <c r="A48" s="9"/>
      <c r="B48" s="9"/>
      <c r="C48" s="9"/>
      <c r="D48" s="9"/>
      <c r="E48" s="9"/>
      <c r="F48" s="9"/>
      <c r="G48" s="9"/>
      <c r="H48" s="9"/>
      <c r="I48" s="10"/>
      <c r="J48" s="10"/>
      <c r="K48" s="10"/>
      <c r="L48" s="10"/>
      <c r="M48" s="10"/>
      <c r="N48" s="10"/>
      <c r="O48" s="10"/>
      <c r="P48" s="10"/>
      <c r="Q48" s="10"/>
      <c r="R48" s="10"/>
    </row>
    <row r="49" spans="1:18">
      <c r="A49" s="9"/>
      <c r="B49" s="9"/>
      <c r="C49" s="9"/>
      <c r="D49" s="9"/>
      <c r="E49" s="9"/>
      <c r="F49" s="9"/>
      <c r="G49" s="9"/>
      <c r="H49" s="9"/>
      <c r="I49" s="10"/>
      <c r="J49" s="10"/>
      <c r="K49" s="10"/>
      <c r="L49" s="10"/>
      <c r="M49" s="10"/>
      <c r="N49" s="10"/>
      <c r="O49" s="10"/>
      <c r="P49" s="10"/>
      <c r="Q49" s="10"/>
      <c r="R49" s="10"/>
    </row>
    <row r="50" spans="1:18">
      <c r="A50" s="9"/>
      <c r="B50" s="9"/>
      <c r="C50" s="9"/>
      <c r="D50" s="9"/>
      <c r="E50" s="9"/>
      <c r="F50" s="9"/>
      <c r="G50" s="9"/>
      <c r="H50" s="9"/>
      <c r="I50" s="10"/>
      <c r="J50" s="10"/>
      <c r="K50" s="10"/>
      <c r="L50" s="10"/>
      <c r="M50" s="10"/>
      <c r="N50" s="10"/>
      <c r="O50" s="10"/>
      <c r="P50" s="10"/>
      <c r="Q50" s="10"/>
      <c r="R50" s="10"/>
    </row>
    <row r="51" spans="1:18">
      <c r="A51" s="9"/>
      <c r="B51" s="9"/>
      <c r="C51" s="9"/>
      <c r="D51" s="9"/>
      <c r="E51" s="9"/>
      <c r="F51" s="9"/>
      <c r="G51" s="9"/>
      <c r="H51" s="9"/>
      <c r="I51" s="10"/>
      <c r="J51" s="10"/>
      <c r="K51" s="10"/>
      <c r="L51" s="10"/>
      <c r="M51" s="10"/>
      <c r="N51" s="10"/>
      <c r="O51" s="10"/>
      <c r="P51" s="10"/>
      <c r="Q51" s="10"/>
      <c r="R51" s="10"/>
    </row>
    <row r="52" spans="1:18">
      <c r="A52" s="9"/>
      <c r="B52" s="9"/>
      <c r="C52" s="9"/>
      <c r="D52" s="9"/>
      <c r="E52" s="9"/>
      <c r="F52" s="9"/>
      <c r="G52" s="9"/>
      <c r="H52" s="9"/>
      <c r="I52" s="10"/>
      <c r="J52" s="10"/>
      <c r="K52" s="10"/>
      <c r="L52" s="10"/>
      <c r="M52" s="10"/>
      <c r="N52" s="10"/>
      <c r="O52" s="10"/>
      <c r="P52" s="10"/>
      <c r="Q52" s="10"/>
      <c r="R52" s="10"/>
    </row>
    <row r="53" spans="1:18">
      <c r="A53" s="9"/>
      <c r="B53" s="9"/>
      <c r="C53" s="9"/>
      <c r="D53" s="9"/>
      <c r="E53" s="9"/>
      <c r="F53" s="9"/>
      <c r="G53" s="9"/>
      <c r="H53" s="9"/>
      <c r="I53" s="10"/>
      <c r="J53" s="10"/>
      <c r="K53" s="10"/>
      <c r="L53" s="10"/>
      <c r="M53" s="10"/>
      <c r="N53" s="10"/>
      <c r="O53" s="10"/>
      <c r="P53" s="10"/>
      <c r="Q53" s="10"/>
      <c r="R53" s="10"/>
    </row>
    <row r="54" spans="1:18">
      <c r="A54" s="9"/>
      <c r="B54" s="9"/>
      <c r="C54" s="9"/>
      <c r="D54" s="9"/>
      <c r="E54" s="9"/>
      <c r="F54" s="9"/>
      <c r="G54" s="9"/>
      <c r="H54" s="9"/>
      <c r="I54" s="10"/>
      <c r="J54" s="10"/>
      <c r="K54" s="10"/>
      <c r="L54" s="10"/>
      <c r="M54" s="10"/>
      <c r="N54" s="10"/>
      <c r="O54" s="10"/>
      <c r="P54" s="10"/>
      <c r="Q54" s="10"/>
      <c r="R54" s="10"/>
    </row>
    <row r="55" spans="1:18">
      <c r="A55" s="9"/>
      <c r="B55" s="9"/>
      <c r="C55" s="9"/>
      <c r="D55" s="9"/>
      <c r="E55" s="9"/>
      <c r="F55" s="9"/>
      <c r="G55" s="9"/>
      <c r="H55" s="9"/>
      <c r="I55" s="10"/>
      <c r="J55" s="10"/>
      <c r="K55" s="10"/>
      <c r="L55" s="10"/>
      <c r="M55" s="10"/>
      <c r="N55" s="10"/>
      <c r="O55" s="10"/>
      <c r="P55" s="10"/>
      <c r="Q55" s="10"/>
      <c r="R55" s="10"/>
    </row>
    <row r="56" spans="1:18">
      <c r="A56" s="9"/>
      <c r="B56" s="9"/>
      <c r="C56" s="9"/>
      <c r="D56" s="9"/>
      <c r="E56" s="9"/>
      <c r="F56" s="9"/>
      <c r="G56" s="9"/>
      <c r="H56" s="9"/>
      <c r="I56" s="10"/>
      <c r="J56" s="10"/>
      <c r="K56" s="10"/>
      <c r="L56" s="10"/>
      <c r="M56" s="10"/>
      <c r="N56" s="10"/>
      <c r="O56" s="10"/>
      <c r="P56" s="10"/>
      <c r="Q56" s="10"/>
      <c r="R56" s="10"/>
    </row>
    <row r="57" spans="1:18">
      <c r="A57" s="9"/>
      <c r="B57" s="9"/>
      <c r="C57" s="9"/>
      <c r="D57" s="9"/>
      <c r="E57" s="9"/>
      <c r="F57" s="9"/>
      <c r="G57" s="9"/>
      <c r="H57" s="9"/>
      <c r="I57" s="10"/>
      <c r="J57" s="10"/>
      <c r="K57" s="10"/>
      <c r="L57" s="10"/>
      <c r="M57" s="10"/>
      <c r="N57" s="10"/>
      <c r="O57" s="10"/>
      <c r="P57" s="10"/>
      <c r="Q57" s="10"/>
      <c r="R57" s="10"/>
    </row>
    <row r="58" spans="1:18">
      <c r="A58" s="9"/>
      <c r="B58" s="9"/>
      <c r="C58" s="9"/>
      <c r="D58" s="9"/>
      <c r="E58" s="9"/>
      <c r="F58" s="9"/>
      <c r="G58" s="9"/>
      <c r="H58" s="9"/>
      <c r="I58" s="10"/>
      <c r="J58" s="10"/>
      <c r="K58" s="10"/>
      <c r="L58" s="10"/>
      <c r="M58" s="10"/>
      <c r="N58" s="10"/>
      <c r="O58" s="10"/>
      <c r="P58" s="10"/>
      <c r="Q58" s="10"/>
      <c r="R58" s="10"/>
    </row>
    <row r="59" spans="1:18">
      <c r="A59" s="9"/>
      <c r="B59" s="9"/>
      <c r="C59" s="9"/>
      <c r="D59" s="9"/>
      <c r="E59" s="9"/>
      <c r="F59" s="9"/>
      <c r="G59" s="9"/>
      <c r="H59" s="9"/>
      <c r="I59" s="10"/>
      <c r="J59" s="10"/>
      <c r="K59" s="10"/>
      <c r="L59" s="10"/>
      <c r="M59" s="10"/>
      <c r="N59" s="10"/>
      <c r="O59" s="10"/>
      <c r="P59" s="10"/>
      <c r="Q59" s="10"/>
      <c r="R59" s="10"/>
    </row>
    <row r="60" spans="1:18">
      <c r="A60" s="9"/>
      <c r="B60" s="9"/>
      <c r="C60" s="9"/>
      <c r="D60" s="9"/>
      <c r="E60" s="9"/>
      <c r="F60" s="9"/>
      <c r="G60" s="9"/>
      <c r="H60" s="9"/>
      <c r="I60" s="10"/>
      <c r="J60" s="10"/>
      <c r="K60" s="10"/>
      <c r="L60" s="10"/>
      <c r="M60" s="10"/>
      <c r="N60" s="10"/>
      <c r="O60" s="10"/>
      <c r="P60" s="10"/>
      <c r="Q60" s="10"/>
      <c r="R60" s="10"/>
    </row>
    <row r="61" spans="1:18">
      <c r="A61" s="9"/>
      <c r="B61" s="9"/>
      <c r="C61" s="9"/>
      <c r="D61" s="9"/>
      <c r="E61" s="9"/>
      <c r="F61" s="9"/>
      <c r="G61" s="9"/>
      <c r="H61" s="9"/>
      <c r="I61" s="10"/>
      <c r="J61" s="10"/>
      <c r="K61" s="10"/>
      <c r="L61" s="10"/>
      <c r="M61" s="10"/>
      <c r="N61" s="10"/>
      <c r="O61" s="10"/>
      <c r="P61" s="10"/>
      <c r="Q61" s="10"/>
      <c r="R61" s="10"/>
    </row>
    <row r="62" spans="1:18">
      <c r="A62" s="9"/>
      <c r="B62" s="9"/>
      <c r="C62" s="9"/>
      <c r="D62" s="9"/>
      <c r="E62" s="9"/>
      <c r="F62" s="9"/>
      <c r="G62" s="9"/>
      <c r="H62" s="9"/>
      <c r="I62" s="10"/>
      <c r="J62" s="10"/>
      <c r="K62" s="10"/>
      <c r="L62" s="10"/>
      <c r="M62" s="10"/>
      <c r="N62" s="10"/>
      <c r="O62" s="10"/>
      <c r="P62" s="10"/>
      <c r="Q62" s="10"/>
      <c r="R62" s="10"/>
    </row>
    <row r="63" spans="1:18">
      <c r="A63" s="9"/>
      <c r="B63" s="9"/>
      <c r="C63" s="9"/>
      <c r="D63" s="9"/>
      <c r="E63" s="9"/>
      <c r="F63" s="9"/>
      <c r="G63" s="9"/>
      <c r="H63" s="9"/>
      <c r="I63" s="10"/>
      <c r="J63" s="10"/>
      <c r="K63" s="10"/>
      <c r="L63" s="10"/>
      <c r="M63" s="10"/>
      <c r="N63" s="10"/>
      <c r="O63" s="10"/>
      <c r="P63" s="10"/>
      <c r="Q63" s="10"/>
      <c r="R63" s="10"/>
    </row>
    <row r="64" spans="1:18">
      <c r="A64" s="9"/>
      <c r="B64" s="9"/>
      <c r="C64" s="9"/>
      <c r="D64" s="9"/>
      <c r="E64" s="9"/>
      <c r="F64" s="9"/>
      <c r="G64" s="9"/>
      <c r="H64" s="9"/>
      <c r="I64" s="10"/>
      <c r="J64" s="10"/>
      <c r="K64" s="10"/>
      <c r="L64" s="10"/>
      <c r="M64" s="10"/>
      <c r="N64" s="10"/>
      <c r="O64" s="10"/>
      <c r="P64" s="10"/>
      <c r="Q64" s="10"/>
      <c r="R64" s="10"/>
    </row>
    <row r="65" spans="1:18">
      <c r="A65" s="9"/>
      <c r="B65" s="9"/>
      <c r="C65" s="9"/>
      <c r="D65" s="9"/>
      <c r="E65" s="9"/>
      <c r="F65" s="9"/>
      <c r="G65" s="9"/>
      <c r="H65" s="9"/>
      <c r="I65" s="10"/>
      <c r="J65" s="10"/>
      <c r="K65" s="10"/>
      <c r="L65" s="10"/>
      <c r="M65" s="10"/>
      <c r="N65" s="10"/>
      <c r="O65" s="10"/>
      <c r="P65" s="10"/>
      <c r="Q65" s="10"/>
      <c r="R65" s="10"/>
    </row>
    <row r="66" spans="1:18">
      <c r="A66" s="9"/>
      <c r="B66" s="9"/>
      <c r="C66" s="9"/>
      <c r="D66" s="9"/>
      <c r="E66" s="9"/>
      <c r="F66" s="9"/>
      <c r="G66" s="9"/>
      <c r="H66" s="9"/>
      <c r="I66" s="10"/>
      <c r="J66" s="10"/>
      <c r="K66" s="10"/>
      <c r="L66" s="10"/>
      <c r="M66" s="10"/>
      <c r="N66" s="10"/>
      <c r="O66" s="10"/>
      <c r="P66" s="10"/>
      <c r="Q66" s="10"/>
      <c r="R66" s="10"/>
    </row>
    <row r="67" spans="1:18">
      <c r="A67" s="9"/>
      <c r="B67" s="9"/>
      <c r="C67" s="9"/>
      <c r="D67" s="9"/>
      <c r="E67" s="9"/>
      <c r="F67" s="9"/>
      <c r="G67" s="9"/>
      <c r="H67" s="9"/>
      <c r="I67" s="10"/>
      <c r="J67" s="10"/>
      <c r="K67" s="10"/>
      <c r="L67" s="10"/>
      <c r="M67" s="10"/>
      <c r="N67" s="10"/>
      <c r="O67" s="10"/>
      <c r="P67" s="10"/>
      <c r="Q67" s="10"/>
      <c r="R67" s="10"/>
    </row>
    <row r="68" spans="1:18">
      <c r="A68" s="9"/>
      <c r="B68" s="9"/>
      <c r="C68" s="9"/>
      <c r="D68" s="9"/>
      <c r="E68" s="9"/>
      <c r="F68" s="9"/>
      <c r="G68" s="9"/>
      <c r="H68" s="9"/>
      <c r="I68" s="10"/>
      <c r="J68" s="10"/>
      <c r="K68" s="10"/>
      <c r="L68" s="10"/>
      <c r="M68" s="10"/>
      <c r="N68" s="10"/>
      <c r="O68" s="10"/>
      <c r="P68" s="10"/>
      <c r="Q68" s="10"/>
      <c r="R68" s="10"/>
    </row>
    <row r="69" spans="1:18">
      <c r="A69" s="9"/>
      <c r="B69" s="9"/>
      <c r="C69" s="9"/>
      <c r="D69" s="9"/>
      <c r="E69" s="9"/>
      <c r="F69" s="9"/>
      <c r="G69" s="9"/>
      <c r="H69" s="9"/>
      <c r="I69" s="10"/>
      <c r="J69" s="10"/>
      <c r="K69" s="10"/>
      <c r="L69" s="10"/>
      <c r="M69" s="10"/>
      <c r="N69" s="10"/>
      <c r="O69" s="10"/>
      <c r="P69" s="10"/>
      <c r="Q69" s="10"/>
      <c r="R69" s="10"/>
    </row>
    <row r="70" spans="1:18">
      <c r="A70" s="9"/>
      <c r="B70" s="9"/>
      <c r="C70" s="9"/>
      <c r="D70" s="9"/>
      <c r="E70" s="9"/>
      <c r="F70" s="9"/>
      <c r="G70" s="9"/>
      <c r="H70" s="9"/>
      <c r="I70" s="10"/>
      <c r="J70" s="10"/>
      <c r="K70" s="10"/>
      <c r="L70" s="10"/>
      <c r="M70" s="10"/>
      <c r="N70" s="10"/>
      <c r="O70" s="10"/>
      <c r="P70" s="10"/>
      <c r="Q70" s="10"/>
      <c r="R70" s="10"/>
    </row>
    <row r="71" spans="1:18">
      <c r="A71" s="9"/>
      <c r="B71" s="9"/>
      <c r="C71" s="9"/>
      <c r="D71" s="9"/>
      <c r="E71" s="9"/>
      <c r="F71" s="9"/>
      <c r="G71" s="9"/>
      <c r="H71" s="9"/>
      <c r="I71" s="10"/>
      <c r="J71" s="10"/>
      <c r="K71" s="10"/>
      <c r="L71" s="10"/>
      <c r="M71" s="10"/>
      <c r="N71" s="10"/>
      <c r="O71" s="10"/>
      <c r="P71" s="10"/>
      <c r="Q71" s="10"/>
      <c r="R71" s="10"/>
    </row>
    <row r="72" spans="1:18">
      <c r="A72" s="9"/>
      <c r="B72" s="9"/>
      <c r="C72" s="9"/>
      <c r="D72" s="9"/>
      <c r="E72" s="9"/>
      <c r="F72" s="9"/>
      <c r="G72" s="9"/>
      <c r="H72" s="9"/>
      <c r="I72" s="10"/>
      <c r="J72" s="10"/>
      <c r="K72" s="10"/>
      <c r="L72" s="10"/>
      <c r="M72" s="10"/>
      <c r="N72" s="10"/>
      <c r="O72" s="10"/>
      <c r="P72" s="10"/>
      <c r="Q72" s="10"/>
      <c r="R72" s="10"/>
    </row>
    <row r="73" spans="1:18">
      <c r="A73" s="9"/>
      <c r="B73" s="9"/>
      <c r="C73" s="9"/>
      <c r="D73" s="9"/>
      <c r="E73" s="9"/>
      <c r="F73" s="9"/>
      <c r="G73" s="9"/>
      <c r="H73" s="9"/>
      <c r="I73" s="10"/>
      <c r="J73" s="10"/>
      <c r="K73" s="10"/>
      <c r="L73" s="10"/>
      <c r="M73" s="10"/>
      <c r="N73" s="10"/>
      <c r="O73" s="10"/>
      <c r="P73" s="10"/>
      <c r="Q73" s="10"/>
      <c r="R73" s="10"/>
    </row>
    <row r="74" spans="1:18">
      <c r="A74" s="9"/>
      <c r="B74" s="9"/>
      <c r="C74" s="9"/>
      <c r="D74" s="9"/>
      <c r="E74" s="9"/>
      <c r="F74" s="9"/>
      <c r="G74" s="9"/>
      <c r="H74" s="9"/>
      <c r="I74" s="10"/>
      <c r="J74" s="10"/>
      <c r="K74" s="10"/>
      <c r="L74" s="10"/>
      <c r="M74" s="10"/>
      <c r="N74" s="10"/>
      <c r="O74" s="10"/>
      <c r="P74" s="10"/>
      <c r="Q74" s="10"/>
      <c r="R74" s="10"/>
    </row>
    <row r="75" spans="1:18">
      <c r="A75" s="9"/>
      <c r="B75" s="9"/>
      <c r="C75" s="9"/>
      <c r="D75" s="9"/>
      <c r="E75" s="9"/>
      <c r="F75" s="9"/>
      <c r="G75" s="9"/>
      <c r="H75" s="9"/>
      <c r="I75" s="10"/>
      <c r="J75" s="10"/>
      <c r="K75" s="10"/>
      <c r="L75" s="10"/>
      <c r="M75" s="10"/>
      <c r="N75" s="10"/>
      <c r="O75" s="10"/>
      <c r="P75" s="10"/>
      <c r="Q75" s="10"/>
      <c r="R75" s="10"/>
    </row>
    <row r="76" spans="1:18">
      <c r="A76" s="9"/>
      <c r="B76" s="9"/>
      <c r="C76" s="9"/>
      <c r="D76" s="9"/>
      <c r="E76" s="9"/>
      <c r="F76" s="9"/>
      <c r="G76" s="9"/>
      <c r="H76" s="9"/>
      <c r="I76" s="10"/>
      <c r="J76" s="10"/>
      <c r="K76" s="10"/>
      <c r="L76" s="10"/>
      <c r="M76" s="10"/>
      <c r="N76" s="10"/>
      <c r="O76" s="10"/>
      <c r="P76" s="10"/>
      <c r="Q76" s="10"/>
      <c r="R76" s="10"/>
    </row>
    <row r="77" spans="1:18">
      <c r="A77" s="9"/>
      <c r="B77" s="9"/>
      <c r="C77" s="9"/>
      <c r="D77" s="9"/>
      <c r="E77" s="9"/>
      <c r="F77" s="9"/>
      <c r="G77" s="9"/>
      <c r="H77" s="9"/>
      <c r="I77" s="10"/>
      <c r="J77" s="10"/>
      <c r="K77" s="10"/>
      <c r="L77" s="10"/>
      <c r="M77" s="10"/>
      <c r="N77" s="10"/>
      <c r="O77" s="10"/>
      <c r="P77" s="10"/>
      <c r="Q77" s="10"/>
      <c r="R77" s="10"/>
    </row>
    <row r="78" spans="1:18">
      <c r="A78" s="9"/>
      <c r="B78" s="9"/>
      <c r="C78" s="9"/>
      <c r="D78" s="9"/>
      <c r="E78" s="9"/>
      <c r="F78" s="9"/>
      <c r="G78" s="9"/>
      <c r="H78" s="9"/>
      <c r="I78" s="10"/>
      <c r="J78" s="10"/>
      <c r="K78" s="10"/>
      <c r="L78" s="10"/>
      <c r="M78" s="10"/>
      <c r="N78" s="10"/>
      <c r="O78" s="10"/>
      <c r="P78" s="10"/>
      <c r="Q78" s="10"/>
      <c r="R78" s="10"/>
    </row>
    <row r="79" spans="1:18">
      <c r="A79" s="9"/>
      <c r="B79" s="9"/>
      <c r="C79" s="9"/>
      <c r="D79" s="9"/>
      <c r="E79" s="9"/>
      <c r="F79" s="9"/>
      <c r="G79" s="9"/>
      <c r="H79" s="9"/>
      <c r="I79" s="10"/>
      <c r="J79" s="10"/>
      <c r="K79" s="10"/>
      <c r="L79" s="10"/>
      <c r="M79" s="10"/>
      <c r="N79" s="10"/>
      <c r="O79" s="10"/>
      <c r="P79" s="10"/>
      <c r="Q79" s="10"/>
      <c r="R79" s="10"/>
    </row>
    <row r="80" spans="1:18">
      <c r="A80" s="9"/>
      <c r="B80" s="9"/>
      <c r="C80" s="9"/>
      <c r="D80" s="9"/>
      <c r="E80" s="9"/>
      <c r="F80" s="9"/>
      <c r="G80" s="9"/>
      <c r="H80" s="9"/>
      <c r="I80" s="10"/>
      <c r="J80" s="10"/>
      <c r="K80" s="10"/>
      <c r="L80" s="10"/>
      <c r="M80" s="10"/>
      <c r="N80" s="10"/>
      <c r="O80" s="10"/>
      <c r="P80" s="10"/>
      <c r="Q80" s="10"/>
      <c r="R80" s="10"/>
    </row>
    <row r="81" spans="1:18">
      <c r="A81" s="9"/>
      <c r="B81" s="9"/>
      <c r="C81" s="9"/>
      <c r="D81" s="9"/>
      <c r="E81" s="9"/>
      <c r="F81" s="9"/>
      <c r="G81" s="9"/>
      <c r="H81" s="9"/>
      <c r="I81" s="10"/>
      <c r="J81" s="10"/>
      <c r="K81" s="10"/>
      <c r="L81" s="10"/>
      <c r="M81" s="10"/>
      <c r="N81" s="10"/>
      <c r="O81" s="10"/>
      <c r="P81" s="10"/>
      <c r="Q81" s="10"/>
      <c r="R81" s="10"/>
    </row>
    <row r="82" spans="1:18">
      <c r="A82" s="9"/>
      <c r="B82" s="9"/>
      <c r="C82" s="9"/>
      <c r="D82" s="9"/>
      <c r="E82" s="9"/>
      <c r="F82" s="9"/>
      <c r="G82" s="9"/>
      <c r="H82" s="9"/>
      <c r="I82" s="10"/>
      <c r="J82" s="10"/>
      <c r="K82" s="10"/>
      <c r="L82" s="10"/>
      <c r="M82" s="10"/>
      <c r="N82" s="10"/>
      <c r="O82" s="10"/>
      <c r="P82" s="10"/>
      <c r="Q82" s="10"/>
      <c r="R82" s="10"/>
    </row>
    <row r="83" spans="1:18">
      <c r="A83" s="9"/>
      <c r="B83" s="9"/>
      <c r="C83" s="9"/>
      <c r="D83" s="9"/>
      <c r="E83" s="9"/>
      <c r="F83" s="9"/>
      <c r="G83" s="9"/>
      <c r="H83" s="9"/>
      <c r="I83" s="10"/>
      <c r="J83" s="10"/>
      <c r="K83" s="10"/>
      <c r="L83" s="10"/>
      <c r="M83" s="10"/>
      <c r="N83" s="10"/>
      <c r="O83" s="10"/>
      <c r="P83" s="10"/>
      <c r="Q83" s="10"/>
      <c r="R83" s="10"/>
    </row>
    <row r="84" spans="1:18">
      <c r="A84" s="9"/>
      <c r="B84" s="9"/>
      <c r="C84" s="9"/>
      <c r="D84" s="9"/>
      <c r="E84" s="9"/>
      <c r="F84" s="9"/>
      <c r="G84" s="9"/>
      <c r="H84" s="9"/>
      <c r="I84" s="10"/>
      <c r="J84" s="10"/>
      <c r="K84" s="10"/>
      <c r="L84" s="10"/>
      <c r="M84" s="10"/>
      <c r="N84" s="10"/>
      <c r="O84" s="10"/>
      <c r="P84" s="10"/>
      <c r="Q84" s="10"/>
      <c r="R84" s="10"/>
    </row>
    <row r="85" spans="1:18">
      <c r="A85" s="9"/>
      <c r="B85" s="9"/>
      <c r="C85" s="9"/>
      <c r="D85" s="9"/>
      <c r="E85" s="9"/>
      <c r="F85" s="9"/>
      <c r="G85" s="9"/>
      <c r="H85" s="9"/>
      <c r="I85" s="10"/>
      <c r="J85" s="10"/>
      <c r="K85" s="10"/>
      <c r="L85" s="10"/>
      <c r="M85" s="10"/>
      <c r="N85" s="10"/>
      <c r="O85" s="10"/>
      <c r="P85" s="10"/>
      <c r="Q85" s="10"/>
      <c r="R85" s="10"/>
    </row>
    <row r="86" spans="1:18">
      <c r="A86" s="9"/>
      <c r="B86" s="9"/>
      <c r="C86" s="9"/>
      <c r="D86" s="9"/>
      <c r="E86" s="9"/>
      <c r="F86" s="9"/>
      <c r="G86" s="9"/>
      <c r="H86" s="9"/>
      <c r="I86" s="10"/>
      <c r="J86" s="10"/>
      <c r="K86" s="10"/>
      <c r="L86" s="10"/>
      <c r="M86" s="10"/>
      <c r="N86" s="10"/>
      <c r="O86" s="10"/>
      <c r="P86" s="10"/>
      <c r="Q86" s="10"/>
      <c r="R86" s="10"/>
    </row>
    <row r="87" spans="1:18">
      <c r="A87" s="9"/>
      <c r="B87" s="9"/>
      <c r="C87" s="9"/>
      <c r="D87" s="9"/>
      <c r="E87" s="9"/>
      <c r="F87" s="9"/>
      <c r="G87" s="9"/>
      <c r="H87" s="9"/>
      <c r="I87" s="10"/>
      <c r="J87" s="10"/>
      <c r="K87" s="10"/>
      <c r="L87" s="10"/>
      <c r="M87" s="10"/>
      <c r="N87" s="10"/>
      <c r="O87" s="10"/>
      <c r="P87" s="10"/>
      <c r="Q87" s="10"/>
      <c r="R87" s="10"/>
    </row>
    <row r="88" spans="1:18">
      <c r="A88" s="9"/>
      <c r="B88" s="9"/>
      <c r="C88" s="9"/>
      <c r="D88" s="9"/>
      <c r="E88" s="9"/>
      <c r="F88" s="9"/>
      <c r="G88" s="9"/>
      <c r="H88" s="9"/>
      <c r="I88" s="10"/>
      <c r="J88" s="10"/>
      <c r="K88" s="10"/>
      <c r="L88" s="10"/>
      <c r="M88" s="10"/>
      <c r="N88" s="10"/>
      <c r="O88" s="10"/>
      <c r="P88" s="10"/>
      <c r="Q88" s="10"/>
      <c r="R88" s="10"/>
    </row>
    <row r="89" spans="1:18">
      <c r="A89" s="9"/>
      <c r="B89" s="9"/>
      <c r="C89" s="9"/>
      <c r="D89" s="9"/>
      <c r="E89" s="9"/>
      <c r="F89" s="9"/>
      <c r="G89" s="9"/>
      <c r="H89" s="9"/>
      <c r="I89" s="10"/>
      <c r="J89" s="10"/>
      <c r="K89" s="10"/>
      <c r="L89" s="10"/>
      <c r="M89" s="10"/>
      <c r="N89" s="10"/>
      <c r="O89" s="10"/>
      <c r="P89" s="10"/>
      <c r="Q89" s="10"/>
      <c r="R89" s="10"/>
    </row>
    <row r="90" spans="1:18">
      <c r="A90" s="9"/>
      <c r="B90" s="9"/>
      <c r="C90" s="9"/>
      <c r="D90" s="9"/>
      <c r="E90" s="9"/>
      <c r="F90" s="9"/>
      <c r="G90" s="9"/>
      <c r="H90" s="9"/>
      <c r="I90" s="10"/>
      <c r="J90" s="10"/>
      <c r="K90" s="10"/>
      <c r="L90" s="10"/>
      <c r="M90" s="10"/>
      <c r="N90" s="10"/>
      <c r="O90" s="10"/>
      <c r="P90" s="10"/>
      <c r="Q90" s="10"/>
      <c r="R90" s="10"/>
    </row>
    <row r="91" spans="1:18">
      <c r="A91" s="9"/>
      <c r="B91" s="9"/>
      <c r="C91" s="9"/>
      <c r="D91" s="9"/>
      <c r="E91" s="9"/>
      <c r="F91" s="9"/>
      <c r="G91" s="9"/>
      <c r="H91" s="9"/>
      <c r="I91" s="10"/>
      <c r="J91" s="10"/>
      <c r="K91" s="10"/>
      <c r="L91" s="10"/>
      <c r="M91" s="10"/>
      <c r="N91" s="10"/>
      <c r="O91" s="10"/>
      <c r="P91" s="10"/>
      <c r="Q91" s="10"/>
      <c r="R91" s="10"/>
    </row>
    <row r="92" spans="1:18">
      <c r="A92" s="9"/>
      <c r="B92" s="9"/>
      <c r="C92" s="9"/>
      <c r="D92" s="9"/>
      <c r="E92" s="9"/>
      <c r="F92" s="9"/>
      <c r="G92" s="9"/>
      <c r="H92" s="9"/>
      <c r="I92" s="10"/>
      <c r="J92" s="10"/>
      <c r="K92" s="10"/>
      <c r="L92" s="10"/>
      <c r="M92" s="10"/>
      <c r="N92" s="10"/>
      <c r="O92" s="10"/>
      <c r="P92" s="10"/>
      <c r="Q92" s="10"/>
      <c r="R92" s="10"/>
    </row>
    <row r="93" spans="1:18">
      <c r="A93" s="9"/>
      <c r="B93" s="9"/>
      <c r="C93" s="9"/>
      <c r="D93" s="9"/>
      <c r="E93" s="9"/>
      <c r="F93" s="9"/>
      <c r="G93" s="9"/>
      <c r="H93" s="9"/>
      <c r="I93" s="10"/>
      <c r="J93" s="10"/>
      <c r="K93" s="10"/>
      <c r="L93" s="10"/>
      <c r="M93" s="10"/>
      <c r="N93" s="10"/>
      <c r="O93" s="10"/>
      <c r="P93" s="10"/>
      <c r="Q93" s="10"/>
      <c r="R93" s="10"/>
    </row>
    <row r="94" spans="1:18">
      <c r="A94" s="9"/>
      <c r="B94" s="9"/>
      <c r="C94" s="9"/>
      <c r="D94" s="9"/>
      <c r="E94" s="9"/>
      <c r="F94" s="9"/>
      <c r="G94" s="9"/>
      <c r="H94" s="9"/>
      <c r="I94" s="10"/>
      <c r="J94" s="10"/>
      <c r="K94" s="10"/>
      <c r="L94" s="10"/>
      <c r="M94" s="10"/>
      <c r="N94" s="10"/>
      <c r="O94" s="10"/>
      <c r="P94" s="10"/>
      <c r="Q94" s="10"/>
      <c r="R94" s="10"/>
    </row>
    <row r="95" spans="1:18">
      <c r="A95" s="9"/>
      <c r="B95" s="9"/>
      <c r="C95" s="9"/>
      <c r="D95" s="9"/>
      <c r="E95" s="9"/>
      <c r="F95" s="9"/>
      <c r="G95" s="9"/>
      <c r="H95" s="9"/>
      <c r="I95" s="10"/>
      <c r="J95" s="10"/>
      <c r="K95" s="10"/>
      <c r="L95" s="10"/>
      <c r="M95" s="10"/>
      <c r="N95" s="10"/>
      <c r="O95" s="10"/>
      <c r="P95" s="10"/>
      <c r="Q95" s="10"/>
      <c r="R95" s="10"/>
    </row>
    <row r="96" spans="1:18">
      <c r="A96" s="9"/>
      <c r="B96" s="9"/>
      <c r="C96" s="9"/>
      <c r="D96" s="9"/>
      <c r="E96" s="9"/>
      <c r="F96" s="9"/>
      <c r="G96" s="9"/>
      <c r="H96" s="9"/>
      <c r="I96" s="10"/>
      <c r="J96" s="10"/>
      <c r="K96" s="10"/>
      <c r="L96" s="10"/>
      <c r="M96" s="10"/>
      <c r="N96" s="10"/>
      <c r="O96" s="10"/>
      <c r="P96" s="10"/>
      <c r="Q96" s="10"/>
      <c r="R96" s="10"/>
    </row>
    <row r="97" spans="1:18">
      <c r="A97" s="9"/>
      <c r="B97" s="9"/>
      <c r="C97" s="9"/>
      <c r="D97" s="9"/>
      <c r="E97" s="9"/>
      <c r="F97" s="9"/>
      <c r="G97" s="9"/>
      <c r="H97" s="9"/>
      <c r="I97" s="10"/>
      <c r="J97" s="10"/>
      <c r="K97" s="10"/>
      <c r="L97" s="10"/>
      <c r="M97" s="10"/>
      <c r="N97" s="10"/>
      <c r="O97" s="10"/>
      <c r="P97" s="10"/>
      <c r="Q97" s="10"/>
      <c r="R97" s="10"/>
    </row>
    <row r="98" spans="1:18">
      <c r="A98" s="9"/>
      <c r="B98" s="9"/>
      <c r="C98" s="9"/>
      <c r="D98" s="9"/>
      <c r="E98" s="9"/>
      <c r="F98" s="9"/>
      <c r="G98" s="9"/>
      <c r="H98" s="9"/>
      <c r="I98" s="10"/>
      <c r="J98" s="10"/>
      <c r="K98" s="10"/>
      <c r="L98" s="10"/>
      <c r="M98" s="10"/>
      <c r="N98" s="10"/>
      <c r="O98" s="10"/>
      <c r="P98" s="10"/>
      <c r="Q98" s="10"/>
      <c r="R98" s="10"/>
    </row>
    <row r="99" spans="1:18">
      <c r="A99" s="9"/>
      <c r="B99" s="9"/>
      <c r="C99" s="9"/>
      <c r="D99" s="9"/>
      <c r="E99" s="9"/>
      <c r="F99" s="9"/>
      <c r="G99" s="9"/>
      <c r="H99" s="9"/>
      <c r="I99" s="10"/>
      <c r="J99" s="10"/>
      <c r="K99" s="10"/>
      <c r="L99" s="10"/>
      <c r="M99" s="10"/>
      <c r="N99" s="10"/>
      <c r="O99" s="10"/>
      <c r="P99" s="10"/>
      <c r="Q99" s="10"/>
      <c r="R99" s="10"/>
    </row>
    <row r="100" spans="1:18">
      <c r="A100" s="9"/>
      <c r="B100" s="9"/>
      <c r="C100" s="9"/>
      <c r="D100" s="9"/>
      <c r="E100" s="9"/>
      <c r="F100" s="9"/>
      <c r="G100" s="9"/>
      <c r="H100" s="9"/>
      <c r="I100" s="10"/>
      <c r="J100" s="10"/>
      <c r="K100" s="10"/>
      <c r="L100" s="10"/>
      <c r="M100" s="10"/>
      <c r="N100" s="10"/>
      <c r="O100" s="10"/>
      <c r="P100" s="10"/>
      <c r="Q100" s="10"/>
      <c r="R100" s="10"/>
    </row>
    <row r="101" spans="1:18">
      <c r="A101" s="9"/>
      <c r="B101" s="9"/>
      <c r="C101" s="9"/>
      <c r="D101" s="9"/>
      <c r="E101" s="9"/>
      <c r="F101" s="9"/>
      <c r="G101" s="9"/>
      <c r="H101" s="9"/>
      <c r="I101" s="10"/>
      <c r="J101" s="10"/>
      <c r="K101" s="10"/>
      <c r="L101" s="10"/>
      <c r="M101" s="10"/>
      <c r="N101" s="10"/>
      <c r="O101" s="10"/>
      <c r="P101" s="10"/>
      <c r="Q101" s="10"/>
      <c r="R101" s="10"/>
    </row>
    <row r="102" spans="1:18">
      <c r="A102" s="9"/>
      <c r="B102" s="9"/>
      <c r="C102" s="9"/>
      <c r="D102" s="9"/>
      <c r="E102" s="9"/>
      <c r="F102" s="9"/>
      <c r="G102" s="9"/>
      <c r="H102" s="9"/>
      <c r="I102" s="10"/>
      <c r="J102" s="10"/>
      <c r="K102" s="10"/>
      <c r="L102" s="10"/>
      <c r="M102" s="10"/>
      <c r="N102" s="10"/>
      <c r="O102" s="10"/>
      <c r="P102" s="10"/>
      <c r="Q102" s="10"/>
      <c r="R102" s="10"/>
    </row>
    <row r="103" spans="1:18">
      <c r="A103" s="9"/>
      <c r="B103" s="9"/>
      <c r="C103" s="9"/>
      <c r="D103" s="9"/>
      <c r="E103" s="9"/>
      <c r="F103" s="9"/>
      <c r="G103" s="9"/>
      <c r="H103" s="9"/>
      <c r="I103" s="10"/>
      <c r="J103" s="10"/>
      <c r="K103" s="10"/>
      <c r="L103" s="10"/>
      <c r="M103" s="10"/>
      <c r="N103" s="10"/>
      <c r="O103" s="10"/>
      <c r="P103" s="10"/>
      <c r="Q103" s="10"/>
      <c r="R103" s="10"/>
    </row>
    <row r="104" spans="1:18">
      <c r="A104" s="9"/>
      <c r="B104" s="9"/>
      <c r="C104" s="9"/>
      <c r="D104" s="9"/>
      <c r="E104" s="9"/>
      <c r="F104" s="9"/>
      <c r="G104" s="9"/>
      <c r="H104" s="9"/>
      <c r="I104" s="10"/>
      <c r="J104" s="10"/>
      <c r="K104" s="10"/>
      <c r="L104" s="10"/>
      <c r="M104" s="10"/>
      <c r="N104" s="10"/>
      <c r="O104" s="10"/>
      <c r="P104" s="10"/>
      <c r="Q104" s="10"/>
      <c r="R104" s="10"/>
    </row>
    <row r="105" spans="1:18">
      <c r="A105" s="9"/>
      <c r="B105" s="9"/>
      <c r="C105" s="9"/>
      <c r="D105" s="9"/>
      <c r="E105" s="9"/>
      <c r="F105" s="9"/>
      <c r="G105" s="9"/>
      <c r="H105" s="9"/>
      <c r="I105" s="10"/>
      <c r="J105" s="10"/>
      <c r="K105" s="10"/>
      <c r="L105" s="10"/>
      <c r="M105" s="10"/>
      <c r="N105" s="10"/>
      <c r="O105" s="10"/>
      <c r="P105" s="10"/>
      <c r="Q105" s="10"/>
      <c r="R105" s="10"/>
    </row>
    <row r="106" spans="1:18">
      <c r="A106" s="9"/>
      <c r="B106" s="9"/>
      <c r="C106" s="9"/>
      <c r="D106" s="9"/>
      <c r="E106" s="9"/>
      <c r="F106" s="9"/>
      <c r="G106" s="9"/>
      <c r="H106" s="9"/>
      <c r="I106" s="10"/>
      <c r="J106" s="10"/>
      <c r="K106" s="10"/>
      <c r="L106" s="10"/>
      <c r="M106" s="10"/>
      <c r="N106" s="10"/>
      <c r="O106" s="10"/>
      <c r="P106" s="10"/>
      <c r="Q106" s="10"/>
      <c r="R106" s="10"/>
    </row>
    <row r="107" spans="1:18">
      <c r="A107" s="9"/>
      <c r="B107" s="9"/>
      <c r="C107" s="9"/>
      <c r="D107" s="9"/>
      <c r="E107" s="9"/>
      <c r="F107" s="9"/>
      <c r="G107" s="9"/>
      <c r="H107" s="9"/>
      <c r="I107" s="10"/>
      <c r="J107" s="10"/>
      <c r="K107" s="10"/>
      <c r="L107" s="10"/>
      <c r="M107" s="10"/>
      <c r="N107" s="10"/>
      <c r="O107" s="10"/>
      <c r="P107" s="10"/>
      <c r="Q107" s="10"/>
      <c r="R107" s="10"/>
    </row>
    <row r="108" spans="1:18">
      <c r="A108" s="9"/>
      <c r="B108" s="9"/>
      <c r="C108" s="9"/>
      <c r="D108" s="9"/>
      <c r="E108" s="9"/>
      <c r="F108" s="9"/>
      <c r="G108" s="9"/>
      <c r="H108" s="9"/>
      <c r="I108" s="10"/>
      <c r="J108" s="10"/>
      <c r="K108" s="10"/>
      <c r="L108" s="10"/>
      <c r="M108" s="10"/>
      <c r="N108" s="10"/>
      <c r="O108" s="10"/>
      <c r="P108" s="10"/>
      <c r="Q108" s="10"/>
      <c r="R108" s="10"/>
    </row>
    <row r="109" spans="1:18">
      <c r="A109" s="9"/>
      <c r="B109" s="9"/>
      <c r="C109" s="9"/>
      <c r="D109" s="9"/>
      <c r="E109" s="9"/>
      <c r="F109" s="9"/>
      <c r="G109" s="9"/>
      <c r="H109" s="9"/>
      <c r="I109" s="10"/>
      <c r="J109" s="10"/>
      <c r="K109" s="10"/>
      <c r="L109" s="10"/>
      <c r="M109" s="10"/>
      <c r="N109" s="10"/>
      <c r="O109" s="10"/>
      <c r="P109" s="10"/>
      <c r="Q109" s="10"/>
      <c r="R109" s="10"/>
    </row>
    <row r="110" spans="1:18">
      <c r="A110" s="9"/>
      <c r="B110" s="9"/>
      <c r="C110" s="9"/>
      <c r="D110" s="9"/>
      <c r="E110" s="9"/>
      <c r="F110" s="9"/>
      <c r="G110" s="9"/>
      <c r="H110" s="9"/>
      <c r="I110" s="10"/>
      <c r="J110" s="10"/>
      <c r="K110" s="10"/>
      <c r="L110" s="10"/>
      <c r="M110" s="10"/>
      <c r="N110" s="10"/>
      <c r="O110" s="10"/>
      <c r="P110" s="10"/>
      <c r="Q110" s="10"/>
      <c r="R110" s="10"/>
    </row>
    <row r="111" spans="1:18">
      <c r="A111" s="9"/>
      <c r="B111" s="9"/>
      <c r="C111" s="9"/>
      <c r="D111" s="9"/>
      <c r="E111" s="9"/>
      <c r="F111" s="9"/>
      <c r="G111" s="9"/>
      <c r="H111" s="9"/>
      <c r="I111" s="10"/>
      <c r="J111" s="10"/>
      <c r="K111" s="10"/>
      <c r="L111" s="10"/>
      <c r="M111" s="10"/>
      <c r="N111" s="10"/>
      <c r="O111" s="10"/>
      <c r="P111" s="10"/>
      <c r="Q111" s="10"/>
      <c r="R111" s="10"/>
    </row>
    <row r="112" spans="1:18">
      <c r="A112" s="9"/>
      <c r="B112" s="9"/>
      <c r="C112" s="9"/>
      <c r="D112" s="9"/>
      <c r="E112" s="9"/>
      <c r="F112" s="9"/>
      <c r="G112" s="9"/>
      <c r="H112" s="9"/>
      <c r="I112" s="10"/>
      <c r="J112" s="10"/>
      <c r="K112" s="10"/>
      <c r="L112" s="10"/>
      <c r="M112" s="10"/>
      <c r="N112" s="10"/>
      <c r="O112" s="10"/>
      <c r="P112" s="10"/>
      <c r="Q112" s="10"/>
      <c r="R112" s="10"/>
    </row>
    <row r="113" spans="1:18">
      <c r="A113" s="9"/>
      <c r="B113" s="9"/>
      <c r="C113" s="9"/>
      <c r="D113" s="9"/>
      <c r="E113" s="9"/>
      <c r="F113" s="9"/>
      <c r="G113" s="9"/>
      <c r="H113" s="9"/>
      <c r="I113" s="10"/>
      <c r="J113" s="10"/>
      <c r="K113" s="10"/>
      <c r="L113" s="10"/>
      <c r="M113" s="10"/>
      <c r="N113" s="10"/>
      <c r="O113" s="10"/>
      <c r="P113" s="10"/>
      <c r="Q113" s="10"/>
      <c r="R113" s="10"/>
    </row>
    <row r="114" spans="1:18">
      <c r="A114" s="9"/>
      <c r="B114" s="9"/>
      <c r="C114" s="9"/>
      <c r="D114" s="9"/>
      <c r="E114" s="9"/>
      <c r="F114" s="9"/>
      <c r="G114" s="9"/>
      <c r="H114" s="9"/>
      <c r="I114" s="10"/>
      <c r="J114" s="10"/>
      <c r="K114" s="10"/>
      <c r="L114" s="10"/>
      <c r="M114" s="10"/>
      <c r="N114" s="10"/>
      <c r="O114" s="10"/>
      <c r="P114" s="10"/>
      <c r="Q114" s="10"/>
      <c r="R114" s="10"/>
    </row>
    <row r="115" spans="1:18">
      <c r="A115" s="9"/>
      <c r="B115" s="9"/>
      <c r="C115" s="9"/>
      <c r="D115" s="9"/>
      <c r="E115" s="9"/>
      <c r="F115" s="9"/>
      <c r="G115" s="9"/>
      <c r="H115" s="9"/>
      <c r="I115" s="10"/>
      <c r="J115" s="10"/>
      <c r="K115" s="10"/>
      <c r="L115" s="10"/>
      <c r="M115" s="10"/>
      <c r="N115" s="10"/>
      <c r="O115" s="10"/>
      <c r="P115" s="10"/>
      <c r="Q115" s="10"/>
      <c r="R115" s="10"/>
    </row>
    <row r="116" spans="1:18">
      <c r="A116" s="9"/>
      <c r="B116" s="9"/>
      <c r="C116" s="9"/>
      <c r="D116" s="9"/>
      <c r="E116" s="9"/>
      <c r="F116" s="9"/>
      <c r="G116" s="9"/>
      <c r="H116" s="9"/>
      <c r="I116" s="10"/>
      <c r="J116" s="10"/>
      <c r="K116" s="10"/>
      <c r="L116" s="10"/>
      <c r="M116" s="10"/>
      <c r="N116" s="10"/>
      <c r="O116" s="10"/>
      <c r="P116" s="10"/>
      <c r="Q116" s="10"/>
      <c r="R116" s="10"/>
    </row>
    <row r="117" spans="1:18">
      <c r="A117" s="9"/>
      <c r="B117" s="9"/>
      <c r="C117" s="9"/>
      <c r="D117" s="9"/>
      <c r="E117" s="9"/>
      <c r="F117" s="9"/>
      <c r="G117" s="9"/>
      <c r="H117" s="9"/>
      <c r="I117" s="10"/>
      <c r="J117" s="10"/>
      <c r="K117" s="10"/>
      <c r="L117" s="10"/>
      <c r="M117" s="10"/>
      <c r="N117" s="10"/>
      <c r="O117" s="10"/>
      <c r="P117" s="10"/>
      <c r="Q117" s="10"/>
      <c r="R117" s="10"/>
    </row>
    <row r="118" spans="1:18">
      <c r="A118" s="9"/>
      <c r="B118" s="9"/>
      <c r="C118" s="9"/>
      <c r="D118" s="9"/>
      <c r="E118" s="9"/>
      <c r="F118" s="9"/>
      <c r="G118" s="9"/>
      <c r="H118" s="9"/>
      <c r="I118" s="10"/>
      <c r="J118" s="10"/>
      <c r="K118" s="10"/>
      <c r="L118" s="10"/>
      <c r="M118" s="10"/>
      <c r="N118" s="10"/>
      <c r="O118" s="10"/>
      <c r="P118" s="10"/>
      <c r="Q118" s="10"/>
      <c r="R118" s="10"/>
    </row>
    <row r="119" spans="1:18">
      <c r="A119" s="9"/>
      <c r="B119" s="9"/>
      <c r="C119" s="9"/>
      <c r="D119" s="9"/>
      <c r="E119" s="9"/>
      <c r="F119" s="9"/>
      <c r="G119" s="9"/>
      <c r="H119" s="9"/>
      <c r="I119" s="10"/>
      <c r="J119" s="10"/>
      <c r="K119" s="10"/>
      <c r="L119" s="10"/>
      <c r="M119" s="10"/>
      <c r="N119" s="10"/>
      <c r="O119" s="10"/>
      <c r="P119" s="10"/>
      <c r="Q119" s="10"/>
      <c r="R119" s="10"/>
    </row>
    <row r="120" spans="1:18">
      <c r="A120" s="9"/>
      <c r="B120" s="9"/>
      <c r="C120" s="9"/>
      <c r="D120" s="9"/>
      <c r="E120" s="9"/>
      <c r="F120" s="9"/>
      <c r="G120" s="9"/>
      <c r="H120" s="9"/>
      <c r="I120" s="10"/>
      <c r="J120" s="10"/>
      <c r="K120" s="10"/>
      <c r="L120" s="10"/>
      <c r="M120" s="10"/>
      <c r="N120" s="10"/>
      <c r="O120" s="10"/>
      <c r="P120" s="10"/>
      <c r="Q120" s="10"/>
      <c r="R120" s="10"/>
    </row>
    <row r="121" spans="1:18">
      <c r="A121" s="9"/>
      <c r="B121" s="9"/>
      <c r="C121" s="9"/>
      <c r="D121" s="9"/>
      <c r="E121" s="9"/>
      <c r="F121" s="9"/>
      <c r="G121" s="9"/>
      <c r="H121" s="9"/>
      <c r="I121" s="10"/>
      <c r="J121" s="10"/>
      <c r="K121" s="10"/>
      <c r="L121" s="10"/>
      <c r="M121" s="10"/>
      <c r="N121" s="10"/>
      <c r="O121" s="10"/>
      <c r="P121" s="10"/>
      <c r="Q121" s="10"/>
      <c r="R121" s="10"/>
    </row>
    <row r="122" spans="1:18">
      <c r="A122" s="9"/>
      <c r="B122" s="9"/>
      <c r="C122" s="9"/>
      <c r="D122" s="9"/>
      <c r="E122" s="9"/>
      <c r="F122" s="9"/>
      <c r="G122" s="9"/>
      <c r="H122" s="9"/>
      <c r="I122" s="10"/>
      <c r="J122" s="10"/>
      <c r="K122" s="10"/>
      <c r="L122" s="10"/>
      <c r="M122" s="10"/>
      <c r="N122" s="10"/>
      <c r="O122" s="10"/>
      <c r="P122" s="10"/>
      <c r="Q122" s="10"/>
      <c r="R122" s="10"/>
    </row>
    <row r="123" spans="1:18">
      <c r="A123" s="9"/>
      <c r="B123" s="9"/>
      <c r="C123" s="9"/>
      <c r="D123" s="9"/>
      <c r="E123" s="9"/>
      <c r="F123" s="9"/>
      <c r="G123" s="9"/>
      <c r="H123" s="9"/>
      <c r="I123" s="9"/>
      <c r="J123" s="9"/>
      <c r="K123" s="9"/>
      <c r="L123" s="9"/>
      <c r="M123" s="9"/>
      <c r="N123" s="9"/>
      <c r="O123" s="9"/>
      <c r="P123" s="9"/>
      <c r="Q123" s="9"/>
      <c r="R123" s="9"/>
    </row>
    <row r="124" spans="1:18">
      <c r="A124" s="9"/>
      <c r="B124" s="9"/>
      <c r="C124" s="9"/>
      <c r="D124" s="9"/>
      <c r="E124" s="9"/>
      <c r="F124" s="9"/>
      <c r="G124" s="9"/>
      <c r="H124" s="9"/>
      <c r="I124" s="9"/>
      <c r="J124" s="9"/>
      <c r="K124" s="9"/>
      <c r="L124" s="9"/>
      <c r="M124" s="9"/>
      <c r="N124" s="9"/>
      <c r="O124" s="9"/>
      <c r="P124" s="9"/>
      <c r="Q124" s="9"/>
      <c r="R124" s="9"/>
    </row>
    <row r="125" spans="1:18">
      <c r="A125" s="9"/>
      <c r="B125" s="9"/>
      <c r="C125" s="9"/>
      <c r="D125" s="9"/>
      <c r="E125" s="9"/>
      <c r="F125" s="9"/>
      <c r="G125" s="9"/>
      <c r="H125" s="9"/>
      <c r="I125" s="9"/>
      <c r="J125" s="9"/>
      <c r="K125" s="9"/>
      <c r="L125" s="9"/>
      <c r="M125" s="9"/>
      <c r="N125" s="9"/>
      <c r="O125" s="9"/>
      <c r="P125" s="9"/>
      <c r="Q125" s="9"/>
      <c r="R125" s="9"/>
    </row>
    <row r="126" spans="1:18">
      <c r="A126" s="9"/>
      <c r="B126" s="9"/>
      <c r="C126" s="9"/>
      <c r="D126" s="9"/>
      <c r="E126" s="9"/>
      <c r="F126" s="9"/>
      <c r="G126" s="9"/>
      <c r="H126" s="9"/>
      <c r="I126" s="9"/>
      <c r="J126" s="9"/>
      <c r="K126" s="9"/>
      <c r="L126" s="9"/>
      <c r="M126" s="9"/>
      <c r="N126" s="9"/>
      <c r="O126" s="9"/>
      <c r="P126" s="9"/>
      <c r="Q126" s="9"/>
      <c r="R126" s="9"/>
    </row>
    <row r="127" spans="1:18">
      <c r="A127" s="9"/>
      <c r="B127" s="9"/>
      <c r="C127" s="9"/>
      <c r="D127" s="9"/>
      <c r="E127" s="9"/>
      <c r="F127" s="9"/>
      <c r="G127" s="9"/>
      <c r="H127" s="9"/>
      <c r="I127" s="9"/>
      <c r="J127" s="9"/>
      <c r="K127" s="9"/>
      <c r="L127" s="9"/>
      <c r="M127" s="9"/>
      <c r="N127" s="9"/>
      <c r="O127" s="9"/>
      <c r="P127" s="9"/>
      <c r="Q127" s="9"/>
      <c r="R127" s="9"/>
    </row>
    <row r="128" spans="1:18">
      <c r="A128" s="9"/>
      <c r="B128" s="9"/>
      <c r="C128" s="9"/>
      <c r="D128" s="9"/>
      <c r="E128" s="9"/>
      <c r="F128" s="9"/>
      <c r="G128" s="9"/>
      <c r="H128" s="9"/>
      <c r="I128" s="9"/>
      <c r="J128" s="9"/>
      <c r="K128" s="9"/>
      <c r="L128" s="9"/>
      <c r="M128" s="9"/>
      <c r="N128" s="9"/>
      <c r="O128" s="9"/>
      <c r="P128" s="9"/>
      <c r="Q128" s="9"/>
      <c r="R128" s="9"/>
    </row>
    <row r="129" spans="1:18">
      <c r="A129" s="9"/>
      <c r="B129" s="9"/>
      <c r="C129" s="9"/>
      <c r="D129" s="9"/>
      <c r="E129" s="9"/>
      <c r="F129" s="9"/>
      <c r="G129" s="9"/>
      <c r="H129" s="9"/>
      <c r="I129" s="9"/>
      <c r="J129" s="9"/>
      <c r="K129" s="9"/>
      <c r="L129" s="9"/>
      <c r="M129" s="9"/>
      <c r="N129" s="9"/>
      <c r="O129" s="9"/>
      <c r="P129" s="9"/>
      <c r="Q129" s="9"/>
      <c r="R129" s="9"/>
    </row>
    <row r="130" spans="1:18">
      <c r="A130" s="9"/>
      <c r="B130" s="9"/>
      <c r="C130" s="9"/>
      <c r="D130" s="9"/>
      <c r="E130" s="9"/>
      <c r="F130" s="9"/>
      <c r="G130" s="9"/>
      <c r="H130" s="9"/>
      <c r="I130" s="9"/>
      <c r="J130" s="9"/>
      <c r="K130" s="9"/>
      <c r="L130" s="9"/>
      <c r="M130" s="9"/>
      <c r="N130" s="9"/>
      <c r="O130" s="9"/>
      <c r="P130" s="9"/>
      <c r="Q130" s="9"/>
      <c r="R130" s="9"/>
    </row>
    <row r="131" spans="1:18">
      <c r="A131" s="9"/>
      <c r="B131" s="9"/>
      <c r="C131" s="9"/>
      <c r="D131" s="9"/>
      <c r="E131" s="9"/>
      <c r="F131" s="9"/>
      <c r="G131" s="9"/>
      <c r="H131" s="9"/>
      <c r="I131" s="9"/>
      <c r="J131" s="9"/>
      <c r="K131" s="9"/>
      <c r="L131" s="9"/>
      <c r="M131" s="9"/>
      <c r="N131" s="9"/>
      <c r="O131" s="9"/>
      <c r="P131" s="9"/>
      <c r="Q131" s="9"/>
      <c r="R131" s="9"/>
    </row>
    <row r="132" spans="1:18">
      <c r="A132" s="9"/>
      <c r="B132" s="9"/>
      <c r="C132" s="9"/>
      <c r="D132" s="9"/>
      <c r="E132" s="9"/>
      <c r="F132" s="9"/>
      <c r="G132" s="9"/>
      <c r="H132" s="9"/>
      <c r="I132" s="9"/>
      <c r="J132" s="9"/>
      <c r="K132" s="9"/>
      <c r="L132" s="9"/>
      <c r="M132" s="9"/>
      <c r="N132" s="9"/>
      <c r="O132" s="9"/>
      <c r="P132" s="9"/>
      <c r="Q132" s="9"/>
      <c r="R132" s="9"/>
    </row>
    <row r="133" spans="1:18">
      <c r="A133" s="9"/>
      <c r="B133" s="9"/>
      <c r="C133" s="9"/>
      <c r="D133" s="9"/>
      <c r="E133" s="9"/>
      <c r="F133" s="9"/>
      <c r="G133" s="9"/>
      <c r="H133" s="9"/>
      <c r="I133" s="9"/>
      <c r="J133" s="9"/>
      <c r="K133" s="9"/>
      <c r="L133" s="9"/>
      <c r="M133" s="9"/>
      <c r="N133" s="9"/>
      <c r="O133" s="9"/>
      <c r="P133" s="9"/>
      <c r="Q133" s="9"/>
      <c r="R133" s="9"/>
    </row>
    <row r="134" spans="1:18">
      <c r="A134" s="9"/>
      <c r="B134" s="9"/>
      <c r="C134" s="9"/>
      <c r="D134" s="9"/>
      <c r="E134" s="9"/>
      <c r="F134" s="9"/>
      <c r="G134" s="9"/>
      <c r="H134" s="9"/>
      <c r="I134" s="9"/>
      <c r="J134" s="9"/>
      <c r="K134" s="9"/>
      <c r="L134" s="9"/>
      <c r="M134" s="9"/>
      <c r="N134" s="9"/>
      <c r="O134" s="9"/>
      <c r="P134" s="9"/>
      <c r="Q134" s="9"/>
      <c r="R134" s="9"/>
    </row>
    <row r="135" spans="1:18">
      <c r="A135" s="9"/>
      <c r="B135" s="9"/>
      <c r="C135" s="9"/>
      <c r="D135" s="9"/>
      <c r="E135" s="9"/>
      <c r="F135" s="9"/>
      <c r="G135" s="9"/>
      <c r="H135" s="9"/>
      <c r="I135" s="9"/>
      <c r="J135" s="9"/>
      <c r="K135" s="9"/>
      <c r="L135" s="9"/>
      <c r="M135" s="9"/>
      <c r="N135" s="9"/>
      <c r="O135" s="9"/>
      <c r="P135" s="9"/>
      <c r="Q135" s="9"/>
      <c r="R135" s="9"/>
    </row>
    <row r="136" spans="1:18">
      <c r="A136" s="9"/>
      <c r="B136" s="9"/>
      <c r="C136" s="9"/>
      <c r="D136" s="9"/>
      <c r="E136" s="9"/>
      <c r="F136" s="9"/>
      <c r="G136" s="9"/>
      <c r="H136" s="9"/>
      <c r="I136" s="9"/>
      <c r="J136" s="9"/>
      <c r="K136" s="9"/>
      <c r="L136" s="9"/>
      <c r="M136" s="9"/>
      <c r="N136" s="9"/>
      <c r="O136" s="9"/>
      <c r="P136" s="9"/>
      <c r="Q136" s="9"/>
      <c r="R136" s="9"/>
    </row>
    <row r="137" spans="1:18">
      <c r="A137" s="9"/>
      <c r="B137" s="9"/>
      <c r="C137" s="9"/>
      <c r="D137" s="9"/>
      <c r="E137" s="9"/>
      <c r="F137" s="9"/>
      <c r="G137" s="9"/>
      <c r="H137" s="9"/>
      <c r="I137" s="9"/>
      <c r="J137" s="9"/>
      <c r="K137" s="9"/>
      <c r="L137" s="9"/>
      <c r="M137" s="9"/>
      <c r="N137" s="9"/>
      <c r="O137" s="9"/>
      <c r="P137" s="9"/>
      <c r="Q137" s="9"/>
      <c r="R137" s="9"/>
    </row>
    <row r="138" spans="1:18">
      <c r="A138" s="9"/>
      <c r="B138" s="9"/>
      <c r="C138" s="9"/>
      <c r="D138" s="9"/>
      <c r="E138" s="9"/>
      <c r="F138" s="9"/>
      <c r="G138" s="9"/>
      <c r="H138" s="9"/>
      <c r="I138" s="9"/>
      <c r="J138" s="9"/>
      <c r="K138" s="9"/>
      <c r="L138" s="9"/>
      <c r="M138" s="9"/>
      <c r="N138" s="9"/>
      <c r="O138" s="9"/>
      <c r="P138" s="9"/>
      <c r="Q138" s="9"/>
      <c r="R138" s="9"/>
    </row>
    <row r="139" spans="1:18">
      <c r="A139" s="9"/>
      <c r="B139" s="9"/>
      <c r="C139" s="9"/>
      <c r="D139" s="9"/>
      <c r="E139" s="9"/>
      <c r="F139" s="9"/>
      <c r="G139" s="9"/>
      <c r="H139" s="9"/>
      <c r="I139" s="9"/>
      <c r="J139" s="9"/>
      <c r="K139" s="9"/>
      <c r="L139" s="9"/>
      <c r="M139" s="9"/>
      <c r="N139" s="9"/>
      <c r="O139" s="9"/>
      <c r="P139" s="9"/>
      <c r="Q139" s="9"/>
      <c r="R139" s="9"/>
    </row>
    <row r="140" spans="1:18">
      <c r="A140" s="9"/>
      <c r="B140" s="9"/>
      <c r="C140" s="9"/>
      <c r="D140" s="9"/>
      <c r="E140" s="9"/>
      <c r="F140" s="9"/>
      <c r="G140" s="9"/>
      <c r="H140" s="9"/>
      <c r="I140" s="9"/>
      <c r="J140" s="9"/>
      <c r="K140" s="9"/>
      <c r="L140" s="9"/>
      <c r="M140" s="9"/>
      <c r="N140" s="9"/>
      <c r="O140" s="9"/>
      <c r="P140" s="9"/>
      <c r="Q140" s="9"/>
      <c r="R140" s="9"/>
    </row>
    <row r="141" spans="1:18">
      <c r="A141" s="9"/>
      <c r="B141" s="9"/>
      <c r="C141" s="9"/>
      <c r="D141" s="9"/>
      <c r="E141" s="9"/>
      <c r="F141" s="9"/>
      <c r="G141" s="9"/>
      <c r="H141" s="9"/>
      <c r="I141" s="9"/>
      <c r="J141" s="9"/>
      <c r="K141" s="9"/>
      <c r="L141" s="9"/>
      <c r="M141" s="9"/>
      <c r="N141" s="9"/>
      <c r="O141" s="9"/>
      <c r="P141" s="9"/>
      <c r="Q141" s="9"/>
      <c r="R141" s="9"/>
    </row>
    <row r="142" spans="1:18">
      <c r="A142" s="9"/>
      <c r="B142" s="9"/>
      <c r="C142" s="9"/>
      <c r="D142" s="9"/>
      <c r="E142" s="9"/>
      <c r="F142" s="9"/>
      <c r="G142" s="9"/>
      <c r="H142" s="9"/>
      <c r="I142" s="9"/>
      <c r="J142" s="9"/>
      <c r="K142" s="9"/>
      <c r="L142" s="9"/>
      <c r="M142" s="9"/>
      <c r="N142" s="9"/>
      <c r="O142" s="9"/>
      <c r="P142" s="9"/>
      <c r="Q142" s="9"/>
      <c r="R142" s="9"/>
    </row>
    <row r="143" spans="1:18">
      <c r="A143" s="9"/>
      <c r="B143" s="9"/>
      <c r="C143" s="9"/>
      <c r="D143" s="9"/>
      <c r="E143" s="9"/>
      <c r="F143" s="9"/>
      <c r="G143" s="9"/>
      <c r="H143" s="9"/>
      <c r="I143" s="9"/>
      <c r="J143" s="9"/>
      <c r="K143" s="9"/>
      <c r="L143" s="9"/>
      <c r="M143" s="9"/>
      <c r="N143" s="9"/>
      <c r="O143" s="9"/>
      <c r="P143" s="9"/>
      <c r="Q143" s="9"/>
      <c r="R143" s="9"/>
    </row>
    <row r="144" spans="1:18">
      <c r="A144" s="9"/>
      <c r="B144" s="9"/>
      <c r="C144" s="9"/>
      <c r="D144" s="9"/>
      <c r="E144" s="9"/>
      <c r="F144" s="9"/>
      <c r="G144" s="9"/>
      <c r="H144" s="9"/>
      <c r="I144" s="9"/>
      <c r="J144" s="9"/>
      <c r="K144" s="9"/>
      <c r="L144" s="9"/>
      <c r="M144" s="9"/>
      <c r="N144" s="9"/>
      <c r="O144" s="9"/>
      <c r="P144" s="9"/>
      <c r="Q144" s="9"/>
      <c r="R144" s="9"/>
    </row>
    <row r="145" spans="1:18">
      <c r="A145" s="9"/>
      <c r="B145" s="9"/>
      <c r="C145" s="9"/>
      <c r="D145" s="9"/>
      <c r="E145" s="9"/>
      <c r="F145" s="9"/>
      <c r="G145" s="9"/>
      <c r="H145" s="9"/>
      <c r="I145" s="9"/>
      <c r="J145" s="9"/>
      <c r="K145" s="9"/>
      <c r="L145" s="9"/>
      <c r="M145" s="9"/>
      <c r="N145" s="9"/>
      <c r="O145" s="9"/>
      <c r="P145" s="9"/>
      <c r="Q145" s="9"/>
      <c r="R145" s="9"/>
    </row>
    <row r="146" spans="1:18">
      <c r="A146" s="9"/>
      <c r="B146" s="9"/>
      <c r="C146" s="9"/>
      <c r="D146" s="9"/>
      <c r="E146" s="9"/>
      <c r="F146" s="9"/>
      <c r="G146" s="9"/>
      <c r="H146" s="9"/>
      <c r="I146" s="9"/>
      <c r="J146" s="9"/>
      <c r="K146" s="9"/>
      <c r="L146" s="9"/>
      <c r="M146" s="9"/>
      <c r="N146" s="9"/>
      <c r="O146" s="9"/>
      <c r="P146" s="9"/>
      <c r="Q146" s="9"/>
      <c r="R146" s="9"/>
    </row>
    <row r="147" spans="1:18">
      <c r="A147" s="9"/>
      <c r="B147" s="9"/>
      <c r="C147" s="9"/>
      <c r="D147" s="9"/>
      <c r="E147" s="9"/>
      <c r="F147" s="9"/>
      <c r="G147" s="9"/>
      <c r="H147" s="9"/>
      <c r="I147" s="9"/>
      <c r="J147" s="9"/>
      <c r="K147" s="9"/>
      <c r="L147" s="9"/>
      <c r="M147" s="9"/>
      <c r="N147" s="9"/>
      <c r="O147" s="9"/>
      <c r="P147" s="9"/>
      <c r="Q147" s="9"/>
      <c r="R147" s="9"/>
    </row>
    <row r="148" spans="1:18">
      <c r="A148" s="9"/>
      <c r="B148" s="9"/>
      <c r="C148" s="9"/>
      <c r="D148" s="9"/>
      <c r="E148" s="9"/>
      <c r="F148" s="9"/>
      <c r="G148" s="9"/>
      <c r="H148" s="9"/>
      <c r="I148" s="9"/>
      <c r="J148" s="9"/>
      <c r="K148" s="9"/>
      <c r="L148" s="9"/>
      <c r="M148" s="9"/>
      <c r="N148" s="9"/>
      <c r="O148" s="9"/>
      <c r="P148" s="9"/>
      <c r="Q148" s="9"/>
      <c r="R148" s="9"/>
    </row>
    <row r="149" spans="1:18">
      <c r="A149" s="9"/>
      <c r="B149" s="9"/>
      <c r="C149" s="9"/>
      <c r="D149" s="9"/>
      <c r="E149" s="9"/>
      <c r="F149" s="9"/>
      <c r="G149" s="9"/>
      <c r="H149" s="9"/>
      <c r="I149" s="9"/>
      <c r="J149" s="9"/>
      <c r="K149" s="9"/>
      <c r="L149" s="9"/>
      <c r="M149" s="9"/>
      <c r="N149" s="9"/>
      <c r="O149" s="9"/>
      <c r="P149" s="9"/>
      <c r="Q149" s="9"/>
      <c r="R149" s="9"/>
    </row>
    <row r="150" spans="1:18">
      <c r="A150" s="9"/>
      <c r="B150" s="9"/>
      <c r="C150" s="9"/>
      <c r="D150" s="9"/>
      <c r="E150" s="9"/>
      <c r="F150" s="9"/>
      <c r="G150" s="9"/>
      <c r="H150" s="9"/>
      <c r="I150" s="9"/>
      <c r="J150" s="9"/>
      <c r="K150" s="9"/>
      <c r="L150" s="9"/>
      <c r="M150" s="9"/>
      <c r="N150" s="9"/>
      <c r="O150" s="9"/>
      <c r="P150" s="9"/>
      <c r="Q150" s="9"/>
      <c r="R150" s="9"/>
    </row>
    <row r="151" spans="1:18">
      <c r="A151" s="9"/>
      <c r="B151" s="9"/>
      <c r="C151" s="9"/>
      <c r="D151" s="9"/>
      <c r="E151" s="9"/>
      <c r="F151" s="9"/>
      <c r="G151" s="9"/>
      <c r="H151" s="9"/>
      <c r="I151" s="9"/>
      <c r="J151" s="9"/>
      <c r="K151" s="9"/>
      <c r="L151" s="9"/>
      <c r="M151" s="9"/>
      <c r="N151" s="9"/>
      <c r="O151" s="9"/>
      <c r="P151" s="9"/>
      <c r="Q151" s="9"/>
      <c r="R151" s="9"/>
    </row>
    <row r="152" spans="1:18">
      <c r="A152" s="9"/>
      <c r="B152" s="9"/>
      <c r="C152" s="9"/>
      <c r="D152" s="9"/>
      <c r="E152" s="9"/>
      <c r="F152" s="9"/>
      <c r="G152" s="9"/>
      <c r="H152" s="9"/>
      <c r="I152" s="9"/>
      <c r="J152" s="9"/>
      <c r="K152" s="9"/>
      <c r="L152" s="9"/>
      <c r="M152" s="9"/>
      <c r="N152" s="9"/>
      <c r="O152" s="9"/>
      <c r="P152" s="9"/>
      <c r="Q152" s="9"/>
      <c r="R152" s="9"/>
    </row>
    <row r="153" spans="1:18">
      <c r="A153" s="9"/>
      <c r="B153" s="9"/>
      <c r="C153" s="9"/>
      <c r="D153" s="9"/>
      <c r="E153" s="9"/>
      <c r="F153" s="9"/>
      <c r="G153" s="9"/>
      <c r="H153" s="9"/>
      <c r="I153" s="9"/>
      <c r="J153" s="9"/>
      <c r="K153" s="9"/>
      <c r="L153" s="9"/>
      <c r="M153" s="9"/>
      <c r="N153" s="9"/>
      <c r="O153" s="9"/>
      <c r="P153" s="9"/>
      <c r="Q153" s="9"/>
      <c r="R153" s="9"/>
    </row>
    <row r="154" spans="1:18">
      <c r="A154" s="9"/>
      <c r="B154" s="9"/>
      <c r="C154" s="9"/>
      <c r="D154" s="9"/>
      <c r="E154" s="9"/>
      <c r="F154" s="9"/>
      <c r="G154" s="9"/>
      <c r="H154" s="9"/>
      <c r="I154" s="9"/>
      <c r="J154" s="9"/>
      <c r="K154" s="9"/>
      <c r="L154" s="9"/>
      <c r="M154" s="9"/>
      <c r="N154" s="9"/>
      <c r="O154" s="9"/>
      <c r="P154" s="9"/>
      <c r="Q154" s="9"/>
      <c r="R154" s="9"/>
    </row>
    <row r="155" spans="1:18">
      <c r="A155" s="9"/>
      <c r="B155" s="9"/>
      <c r="C155" s="9"/>
      <c r="D155" s="9"/>
      <c r="E155" s="9"/>
      <c r="F155" s="9"/>
      <c r="G155" s="9"/>
      <c r="H155" s="9"/>
      <c r="I155" s="9"/>
      <c r="J155" s="9"/>
      <c r="K155" s="9"/>
      <c r="L155" s="9"/>
      <c r="M155" s="9"/>
      <c r="N155" s="9"/>
      <c r="O155" s="9"/>
      <c r="P155" s="9"/>
      <c r="Q155" s="9"/>
      <c r="R155" s="9"/>
    </row>
    <row r="156" spans="1:18">
      <c r="A156" s="9"/>
      <c r="B156" s="9"/>
      <c r="C156" s="9"/>
      <c r="D156" s="9"/>
      <c r="E156" s="9"/>
      <c r="F156" s="9"/>
      <c r="G156" s="9"/>
      <c r="H156" s="9"/>
      <c r="I156" s="9"/>
      <c r="J156" s="9"/>
      <c r="K156" s="9"/>
      <c r="L156" s="9"/>
      <c r="M156" s="9"/>
      <c r="N156" s="9"/>
      <c r="O156" s="9"/>
      <c r="P156" s="9"/>
      <c r="Q156" s="9"/>
      <c r="R156" s="9"/>
    </row>
    <row r="157" spans="1:18">
      <c r="A157" s="9"/>
      <c r="B157" s="9"/>
      <c r="C157" s="9"/>
      <c r="D157" s="9"/>
      <c r="E157" s="9"/>
      <c r="F157" s="9"/>
      <c r="G157" s="9"/>
      <c r="H157" s="9"/>
      <c r="I157" s="9"/>
      <c r="J157" s="9"/>
      <c r="K157" s="9"/>
      <c r="L157" s="9"/>
      <c r="M157" s="9"/>
      <c r="N157" s="9"/>
      <c r="O157" s="9"/>
      <c r="P157" s="9"/>
      <c r="Q157" s="9"/>
      <c r="R157" s="9"/>
    </row>
    <row r="158" spans="1:18">
      <c r="A158" s="9"/>
      <c r="B158" s="9"/>
      <c r="C158" s="9"/>
      <c r="D158" s="9"/>
      <c r="E158" s="9"/>
      <c r="F158" s="9"/>
      <c r="G158" s="9"/>
      <c r="H158" s="9"/>
      <c r="I158" s="9"/>
      <c r="J158" s="9"/>
      <c r="K158" s="9"/>
      <c r="L158" s="9"/>
      <c r="M158" s="9"/>
      <c r="N158" s="9"/>
      <c r="O158" s="9"/>
      <c r="P158" s="9"/>
      <c r="Q158" s="9"/>
      <c r="R158" s="9"/>
    </row>
    <row r="159" spans="1:18">
      <c r="A159" s="9"/>
      <c r="B159" s="9"/>
      <c r="C159" s="9"/>
      <c r="D159" s="9"/>
      <c r="E159" s="9"/>
      <c r="F159" s="9"/>
      <c r="G159" s="9"/>
      <c r="H159" s="9"/>
      <c r="I159" s="9"/>
      <c r="J159" s="9"/>
      <c r="K159" s="9"/>
      <c r="L159" s="9"/>
      <c r="M159" s="9"/>
      <c r="N159" s="9"/>
      <c r="O159" s="9"/>
      <c r="P159" s="9"/>
      <c r="Q159" s="9"/>
      <c r="R159" s="9"/>
    </row>
    <row r="160" spans="1:18">
      <c r="A160" s="9"/>
      <c r="B160" s="9"/>
      <c r="C160" s="9"/>
      <c r="D160" s="9"/>
      <c r="E160" s="9"/>
      <c r="F160" s="9"/>
      <c r="G160" s="9"/>
      <c r="H160" s="9"/>
      <c r="I160" s="9"/>
      <c r="J160" s="9"/>
      <c r="K160" s="9"/>
      <c r="L160" s="9"/>
      <c r="M160" s="9"/>
      <c r="N160" s="9"/>
      <c r="O160" s="9"/>
      <c r="P160" s="9"/>
      <c r="Q160" s="9"/>
      <c r="R160" s="9"/>
    </row>
    <row r="161" spans="1:18">
      <c r="A161" s="9"/>
      <c r="B161" s="9"/>
      <c r="C161" s="9"/>
      <c r="D161" s="9"/>
      <c r="E161" s="9"/>
      <c r="F161" s="9"/>
      <c r="G161" s="9"/>
      <c r="H161" s="9"/>
      <c r="I161" s="9"/>
      <c r="J161" s="9"/>
      <c r="K161" s="9"/>
      <c r="L161" s="9"/>
      <c r="M161" s="9"/>
      <c r="N161" s="9"/>
      <c r="O161" s="9"/>
      <c r="P161" s="9"/>
      <c r="Q161" s="9"/>
      <c r="R161" s="9"/>
    </row>
    <row r="162" spans="1:18">
      <c r="A162" s="9"/>
      <c r="B162" s="9"/>
      <c r="C162" s="9"/>
      <c r="D162" s="9"/>
      <c r="E162" s="9"/>
      <c r="F162" s="9"/>
      <c r="G162" s="9"/>
      <c r="H162" s="9"/>
      <c r="I162" s="9"/>
      <c r="J162" s="9"/>
      <c r="K162" s="9"/>
      <c r="L162" s="9"/>
      <c r="M162" s="9"/>
      <c r="N162" s="9"/>
      <c r="O162" s="9"/>
      <c r="P162" s="9"/>
      <c r="Q162" s="9"/>
      <c r="R162" s="9"/>
    </row>
    <row r="163" spans="1:18">
      <c r="A163" s="9"/>
      <c r="B163" s="9"/>
      <c r="C163" s="9"/>
      <c r="D163" s="9"/>
      <c r="E163" s="9"/>
      <c r="F163" s="9"/>
      <c r="G163" s="9"/>
      <c r="H163" s="9"/>
      <c r="I163" s="9"/>
      <c r="J163" s="9"/>
      <c r="K163" s="9"/>
      <c r="L163" s="9"/>
      <c r="M163" s="9"/>
      <c r="N163" s="9"/>
      <c r="O163" s="9"/>
      <c r="P163" s="9"/>
      <c r="Q163" s="9"/>
      <c r="R163" s="9"/>
    </row>
    <row r="164" spans="1:18">
      <c r="A164" s="9"/>
      <c r="B164" s="9"/>
      <c r="C164" s="9"/>
      <c r="D164" s="9"/>
      <c r="E164" s="9"/>
      <c r="F164" s="9"/>
      <c r="G164" s="9"/>
      <c r="H164" s="9"/>
      <c r="I164" s="9"/>
      <c r="J164" s="9"/>
      <c r="K164" s="9"/>
      <c r="L164" s="9"/>
      <c r="M164" s="9"/>
      <c r="N164" s="9"/>
      <c r="O164" s="9"/>
      <c r="P164" s="9"/>
      <c r="Q164" s="9"/>
      <c r="R164" s="9"/>
    </row>
    <row r="165" spans="1:18">
      <c r="A165" s="9"/>
      <c r="B165" s="9"/>
      <c r="C165" s="9"/>
      <c r="D165" s="9"/>
      <c r="E165" s="9"/>
      <c r="F165" s="9"/>
      <c r="G165" s="9"/>
      <c r="H165" s="9"/>
      <c r="I165" s="9"/>
      <c r="J165" s="9"/>
      <c r="K165" s="9"/>
      <c r="L165" s="9"/>
      <c r="M165" s="9"/>
      <c r="N165" s="9"/>
      <c r="O165" s="9"/>
      <c r="P165" s="9"/>
      <c r="Q165" s="9"/>
      <c r="R165" s="9"/>
    </row>
    <row r="166" spans="1:18">
      <c r="A166" s="9"/>
      <c r="B166" s="9"/>
      <c r="C166" s="9"/>
      <c r="D166" s="9"/>
      <c r="E166" s="9"/>
      <c r="F166" s="9"/>
      <c r="G166" s="9"/>
      <c r="H166" s="9"/>
      <c r="I166" s="9"/>
      <c r="J166" s="9"/>
      <c r="K166" s="9"/>
      <c r="L166" s="9"/>
      <c r="M166" s="9"/>
      <c r="N166" s="9"/>
      <c r="O166" s="9"/>
      <c r="P166" s="9"/>
      <c r="Q166" s="9"/>
      <c r="R166" s="9"/>
    </row>
    <row r="167" spans="1:18">
      <c r="A167" s="9"/>
      <c r="B167" s="9"/>
      <c r="C167" s="9"/>
      <c r="D167" s="9"/>
      <c r="E167" s="9"/>
      <c r="F167" s="9"/>
      <c r="G167" s="9"/>
      <c r="H167" s="9"/>
      <c r="I167" s="9"/>
      <c r="J167" s="9"/>
      <c r="K167" s="9"/>
      <c r="L167" s="9"/>
      <c r="M167" s="9"/>
      <c r="N167" s="9"/>
      <c r="O167" s="9"/>
      <c r="P167" s="9"/>
      <c r="Q167" s="9"/>
      <c r="R167" s="9"/>
    </row>
    <row r="168" spans="1:18">
      <c r="A168" s="9"/>
      <c r="B168" s="9"/>
      <c r="C168" s="9"/>
      <c r="D168" s="9"/>
      <c r="E168" s="9"/>
      <c r="F168" s="9"/>
      <c r="G168" s="9"/>
      <c r="H168" s="9"/>
      <c r="I168" s="9"/>
      <c r="J168" s="9"/>
      <c r="K168" s="9"/>
      <c r="L168" s="9"/>
      <c r="M168" s="9"/>
      <c r="N168" s="9"/>
      <c r="O168" s="9"/>
      <c r="P168" s="9"/>
      <c r="Q168" s="9"/>
      <c r="R168" s="9"/>
    </row>
    <row r="169" spans="1:18">
      <c r="A169" s="9"/>
      <c r="B169" s="9"/>
      <c r="C169" s="9"/>
      <c r="D169" s="9"/>
      <c r="E169" s="9"/>
      <c r="F169" s="9"/>
      <c r="G169" s="9"/>
      <c r="H169" s="9"/>
      <c r="I169" s="9"/>
      <c r="J169" s="9"/>
      <c r="K169" s="9"/>
      <c r="L169" s="9"/>
      <c r="M169" s="9"/>
      <c r="N169" s="9"/>
      <c r="O169" s="9"/>
      <c r="P169" s="9"/>
      <c r="Q169" s="9"/>
      <c r="R169" s="9"/>
    </row>
    <row r="170" spans="1:18">
      <c r="A170" s="9"/>
      <c r="B170" s="9"/>
      <c r="C170" s="9"/>
      <c r="D170" s="9"/>
      <c r="E170" s="9"/>
      <c r="F170" s="9"/>
      <c r="G170" s="9"/>
      <c r="H170" s="9"/>
      <c r="I170" s="9"/>
      <c r="J170" s="9"/>
      <c r="K170" s="9"/>
      <c r="L170" s="9"/>
      <c r="M170" s="9"/>
      <c r="N170" s="9"/>
      <c r="O170" s="9"/>
      <c r="P170" s="9"/>
      <c r="Q170" s="9"/>
      <c r="R170" s="9"/>
    </row>
    <row r="171" spans="1:18">
      <c r="A171" s="9"/>
      <c r="B171" s="9"/>
      <c r="C171" s="9"/>
      <c r="D171" s="9"/>
      <c r="E171" s="9"/>
      <c r="F171" s="9"/>
      <c r="G171" s="9"/>
      <c r="H171" s="9"/>
      <c r="I171" s="9"/>
      <c r="J171" s="9"/>
      <c r="K171" s="9"/>
      <c r="L171" s="9"/>
      <c r="M171" s="9"/>
      <c r="N171" s="9"/>
      <c r="O171" s="9"/>
      <c r="P171" s="9"/>
      <c r="Q171" s="9"/>
      <c r="R171" s="9"/>
    </row>
    <row r="172" spans="1:18">
      <c r="A172" s="9"/>
      <c r="B172" s="9"/>
      <c r="C172" s="9"/>
      <c r="D172" s="9"/>
      <c r="E172" s="9"/>
      <c r="F172" s="9"/>
      <c r="G172" s="9"/>
      <c r="H172" s="9"/>
      <c r="I172" s="9"/>
      <c r="J172" s="9"/>
      <c r="K172" s="9"/>
      <c r="L172" s="9"/>
      <c r="M172" s="9"/>
      <c r="N172" s="9"/>
      <c r="O172" s="9"/>
      <c r="P172" s="9"/>
      <c r="Q172" s="9"/>
      <c r="R172" s="9"/>
    </row>
    <row r="173" spans="1:18">
      <c r="A173" s="9"/>
      <c r="B173" s="9"/>
      <c r="C173" s="9"/>
      <c r="D173" s="9"/>
      <c r="E173" s="9"/>
      <c r="F173" s="9"/>
      <c r="G173" s="9"/>
      <c r="H173" s="9"/>
      <c r="I173" s="9"/>
      <c r="J173" s="9"/>
      <c r="K173" s="9"/>
      <c r="L173" s="9"/>
      <c r="M173" s="9"/>
      <c r="N173" s="9"/>
      <c r="O173" s="9"/>
      <c r="P173" s="9"/>
      <c r="Q173" s="9"/>
      <c r="R173" s="9"/>
    </row>
    <row r="174" spans="1:18">
      <c r="A174" s="9"/>
      <c r="B174" s="9"/>
      <c r="C174" s="9"/>
      <c r="D174" s="9"/>
      <c r="E174" s="9"/>
      <c r="F174" s="9"/>
      <c r="G174" s="9"/>
      <c r="H174" s="9"/>
      <c r="I174" s="9"/>
      <c r="J174" s="9"/>
      <c r="K174" s="9"/>
      <c r="L174" s="9"/>
      <c r="M174" s="9"/>
      <c r="N174" s="9"/>
      <c r="O174" s="9"/>
      <c r="P174" s="9"/>
      <c r="Q174" s="9"/>
      <c r="R174" s="9"/>
    </row>
    <row r="175" spans="1:18">
      <c r="A175" s="9"/>
      <c r="B175" s="9"/>
      <c r="C175" s="9"/>
      <c r="D175" s="9"/>
      <c r="E175" s="9"/>
      <c r="F175" s="9"/>
      <c r="G175" s="9"/>
      <c r="H175" s="9"/>
      <c r="I175" s="9"/>
      <c r="J175" s="9"/>
      <c r="K175" s="9"/>
      <c r="L175" s="9"/>
      <c r="M175" s="9"/>
      <c r="N175" s="9"/>
      <c r="O175" s="9"/>
      <c r="P175" s="9"/>
      <c r="Q175" s="9"/>
      <c r="R175" s="9"/>
    </row>
    <row r="176" spans="1:18">
      <c r="A176" s="9"/>
      <c r="B176" s="9"/>
      <c r="C176" s="9"/>
      <c r="D176" s="9"/>
      <c r="E176" s="9"/>
      <c r="F176" s="9"/>
      <c r="G176" s="9"/>
      <c r="H176" s="9"/>
      <c r="I176" s="9"/>
      <c r="J176" s="9"/>
      <c r="K176" s="9"/>
      <c r="L176" s="9"/>
      <c r="M176" s="9"/>
      <c r="N176" s="9"/>
      <c r="O176" s="9"/>
      <c r="P176" s="9"/>
      <c r="Q176" s="9"/>
      <c r="R176" s="9"/>
    </row>
    <row r="177" spans="1:18">
      <c r="A177" s="9"/>
      <c r="B177" s="9"/>
      <c r="C177" s="9"/>
      <c r="D177" s="9"/>
      <c r="E177" s="9"/>
      <c r="F177" s="9"/>
      <c r="G177" s="9"/>
      <c r="H177" s="9"/>
      <c r="I177" s="9"/>
      <c r="J177" s="9"/>
      <c r="K177" s="9"/>
      <c r="L177" s="9"/>
      <c r="M177" s="9"/>
      <c r="N177" s="9"/>
      <c r="O177" s="9"/>
      <c r="P177" s="9"/>
      <c r="Q177" s="9"/>
      <c r="R177" s="9"/>
    </row>
    <row r="178" spans="1:18">
      <c r="A178" s="9"/>
      <c r="B178" s="9"/>
      <c r="C178" s="9"/>
      <c r="D178" s="9"/>
      <c r="E178" s="9"/>
      <c r="F178" s="9"/>
      <c r="G178" s="9"/>
      <c r="H178" s="9"/>
      <c r="I178" s="9"/>
      <c r="J178" s="9"/>
      <c r="K178" s="9"/>
      <c r="L178" s="9"/>
      <c r="M178" s="9"/>
      <c r="N178" s="9"/>
      <c r="O178" s="9"/>
      <c r="P178" s="9"/>
      <c r="Q178" s="9"/>
      <c r="R178" s="9"/>
    </row>
    <row r="179" spans="1:18">
      <c r="A179" s="9"/>
      <c r="B179" s="9"/>
      <c r="C179" s="9"/>
      <c r="D179" s="9"/>
      <c r="E179" s="9"/>
      <c r="F179" s="9"/>
      <c r="G179" s="9"/>
      <c r="H179" s="9"/>
      <c r="I179" s="9"/>
      <c r="J179" s="9"/>
      <c r="K179" s="9"/>
      <c r="L179" s="9"/>
      <c r="M179" s="9"/>
      <c r="N179" s="9"/>
      <c r="O179" s="9"/>
      <c r="P179" s="9"/>
      <c r="Q179" s="9"/>
      <c r="R179" s="9"/>
    </row>
    <row r="180" spans="1:18">
      <c r="A180" s="9"/>
      <c r="B180" s="9"/>
      <c r="C180" s="9"/>
      <c r="D180" s="9"/>
      <c r="E180" s="9"/>
      <c r="F180" s="9"/>
      <c r="G180" s="9"/>
      <c r="H180" s="9"/>
      <c r="I180" s="9"/>
      <c r="J180" s="9"/>
      <c r="K180" s="9"/>
      <c r="L180" s="9"/>
      <c r="M180" s="9"/>
      <c r="N180" s="9"/>
      <c r="O180" s="9"/>
      <c r="P180" s="9"/>
      <c r="Q180" s="9"/>
      <c r="R180" s="9"/>
    </row>
    <row r="181" spans="1:18">
      <c r="A181" s="9"/>
      <c r="B181" s="9"/>
      <c r="C181" s="9"/>
      <c r="D181" s="9"/>
      <c r="E181" s="9"/>
      <c r="F181" s="9"/>
      <c r="G181" s="9"/>
      <c r="H181" s="9"/>
      <c r="I181" s="9"/>
      <c r="J181" s="9"/>
      <c r="K181" s="9"/>
      <c r="L181" s="9"/>
      <c r="M181" s="9"/>
      <c r="N181" s="9"/>
      <c r="O181" s="9"/>
      <c r="P181" s="9"/>
      <c r="Q181" s="9"/>
      <c r="R181" s="9"/>
    </row>
    <row r="182" spans="1:18">
      <c r="A182" s="9"/>
      <c r="B182" s="9"/>
      <c r="C182" s="9"/>
      <c r="D182" s="9"/>
      <c r="E182" s="9"/>
      <c r="F182" s="9"/>
      <c r="G182" s="9"/>
      <c r="H182" s="9"/>
      <c r="I182" s="9"/>
      <c r="J182" s="9"/>
      <c r="K182" s="9"/>
      <c r="L182" s="9"/>
      <c r="M182" s="9"/>
      <c r="N182" s="9"/>
      <c r="O182" s="9"/>
      <c r="P182" s="9"/>
      <c r="Q182" s="9"/>
      <c r="R182" s="9"/>
    </row>
    <row r="183" spans="1:18">
      <c r="A183" s="9"/>
      <c r="B183" s="9"/>
      <c r="C183" s="9"/>
      <c r="D183" s="9"/>
      <c r="E183" s="9"/>
      <c r="F183" s="9"/>
      <c r="G183" s="9"/>
      <c r="H183" s="9"/>
      <c r="I183" s="9"/>
      <c r="J183" s="9"/>
      <c r="K183" s="9"/>
      <c r="L183" s="9"/>
      <c r="M183" s="9"/>
      <c r="N183" s="9"/>
      <c r="O183" s="9"/>
      <c r="P183" s="9"/>
      <c r="Q183" s="9"/>
      <c r="R183" s="9"/>
    </row>
    <row r="184" spans="1:18">
      <c r="A184" s="9"/>
      <c r="B184" s="9"/>
      <c r="C184" s="9"/>
      <c r="D184" s="9"/>
      <c r="E184" s="9"/>
      <c r="F184" s="9"/>
      <c r="G184" s="9"/>
      <c r="H184" s="9"/>
      <c r="I184" s="9"/>
      <c r="J184" s="9"/>
      <c r="K184" s="9"/>
      <c r="L184" s="9"/>
      <c r="M184" s="9"/>
      <c r="N184" s="9"/>
      <c r="O184" s="9"/>
      <c r="P184" s="9"/>
      <c r="Q184" s="9"/>
      <c r="R184" s="9"/>
    </row>
    <row r="185" spans="1:18">
      <c r="A185" s="9"/>
      <c r="B185" s="9"/>
      <c r="C185" s="9"/>
      <c r="D185" s="9"/>
      <c r="E185" s="9"/>
      <c r="F185" s="9"/>
      <c r="G185" s="9"/>
      <c r="H185" s="9"/>
      <c r="I185" s="9"/>
      <c r="J185" s="9"/>
      <c r="K185" s="9"/>
      <c r="L185" s="9"/>
      <c r="M185" s="9"/>
      <c r="N185" s="9"/>
      <c r="O185" s="9"/>
      <c r="P185" s="9"/>
      <c r="Q185" s="9"/>
      <c r="R185" s="9"/>
    </row>
    <row r="186" spans="1:18">
      <c r="A186" s="9"/>
      <c r="B186" s="9"/>
      <c r="C186" s="9"/>
      <c r="D186" s="9"/>
      <c r="E186" s="9"/>
      <c r="F186" s="9"/>
      <c r="G186" s="9"/>
      <c r="H186" s="9"/>
      <c r="I186" s="9"/>
      <c r="J186" s="9"/>
      <c r="K186" s="9"/>
      <c r="L186" s="9"/>
      <c r="M186" s="9"/>
      <c r="N186" s="9"/>
      <c r="O186" s="9"/>
      <c r="P186" s="9"/>
      <c r="Q186" s="9"/>
      <c r="R186" s="9"/>
    </row>
    <row r="187" spans="1:18">
      <c r="A187" s="9"/>
      <c r="B187" s="9"/>
      <c r="C187" s="9"/>
      <c r="D187" s="9"/>
      <c r="E187" s="9"/>
      <c r="F187" s="9"/>
      <c r="G187" s="9"/>
      <c r="H187" s="9"/>
      <c r="I187" s="9"/>
      <c r="J187" s="9"/>
      <c r="K187" s="9"/>
      <c r="L187" s="9"/>
      <c r="M187" s="9"/>
      <c r="N187" s="9"/>
      <c r="O187" s="9"/>
      <c r="P187" s="9"/>
      <c r="Q187" s="9"/>
      <c r="R187" s="9"/>
    </row>
    <row r="188" spans="1:18">
      <c r="A188" s="9"/>
      <c r="B188" s="9"/>
      <c r="C188" s="9"/>
      <c r="D188" s="9"/>
      <c r="E188" s="9"/>
      <c r="F188" s="9"/>
      <c r="G188" s="9"/>
      <c r="H188" s="9"/>
      <c r="I188" s="9"/>
      <c r="J188" s="9"/>
      <c r="K188" s="9"/>
      <c r="L188" s="9"/>
      <c r="M188" s="9"/>
      <c r="N188" s="9"/>
      <c r="O188" s="9"/>
      <c r="P188" s="9"/>
      <c r="Q188" s="9"/>
      <c r="R188" s="9"/>
    </row>
    <row r="189" spans="1:18">
      <c r="A189" s="9"/>
      <c r="B189" s="9"/>
      <c r="C189" s="9"/>
      <c r="D189" s="9"/>
      <c r="E189" s="9"/>
      <c r="F189" s="9"/>
      <c r="G189" s="9"/>
      <c r="H189" s="9"/>
      <c r="I189" s="9"/>
      <c r="J189" s="9"/>
      <c r="K189" s="9"/>
      <c r="L189" s="9"/>
      <c r="M189" s="9"/>
      <c r="N189" s="9"/>
      <c r="O189" s="9"/>
      <c r="P189" s="9"/>
      <c r="Q189" s="9"/>
      <c r="R189" s="9"/>
    </row>
    <row r="190" spans="1:18">
      <c r="A190" s="9"/>
      <c r="B190" s="9"/>
      <c r="C190" s="9"/>
      <c r="D190" s="9"/>
      <c r="E190" s="9"/>
      <c r="F190" s="9"/>
      <c r="G190" s="9"/>
      <c r="H190" s="9"/>
      <c r="I190" s="9"/>
      <c r="J190" s="9"/>
      <c r="K190" s="9"/>
      <c r="L190" s="9"/>
      <c r="M190" s="9"/>
      <c r="N190" s="9"/>
      <c r="O190" s="9"/>
      <c r="P190" s="9"/>
      <c r="Q190" s="9"/>
      <c r="R190" s="9"/>
    </row>
    <row r="191" spans="1:18">
      <c r="A191" s="9"/>
      <c r="B191" s="9"/>
      <c r="C191" s="9"/>
      <c r="D191" s="9"/>
      <c r="E191" s="9"/>
      <c r="F191" s="9"/>
      <c r="G191" s="9"/>
      <c r="H191" s="9"/>
      <c r="I191" s="9"/>
      <c r="J191" s="9"/>
      <c r="K191" s="9"/>
      <c r="L191" s="9"/>
      <c r="M191" s="9"/>
      <c r="N191" s="9"/>
      <c r="O191" s="9"/>
      <c r="P191" s="9"/>
      <c r="Q191" s="9"/>
      <c r="R191" s="9"/>
    </row>
    <row r="192" spans="1:18">
      <c r="A192" s="9"/>
      <c r="B192" s="9"/>
      <c r="C192" s="9"/>
      <c r="D192" s="9"/>
      <c r="E192" s="9"/>
      <c r="F192" s="9"/>
      <c r="G192" s="9"/>
      <c r="H192" s="9"/>
      <c r="I192" s="9"/>
      <c r="J192" s="9"/>
      <c r="K192" s="9"/>
      <c r="L192" s="9"/>
      <c r="M192" s="9"/>
      <c r="N192" s="9"/>
      <c r="O192" s="9"/>
      <c r="P192" s="9"/>
      <c r="Q192" s="9"/>
      <c r="R192" s="9"/>
    </row>
    <row r="193" spans="1:18">
      <c r="A193" s="9"/>
      <c r="B193" s="9"/>
      <c r="C193" s="9"/>
      <c r="D193" s="9"/>
      <c r="E193" s="9"/>
      <c r="F193" s="9"/>
      <c r="G193" s="9"/>
      <c r="H193" s="9"/>
      <c r="I193" s="9"/>
      <c r="J193" s="9"/>
      <c r="K193" s="9"/>
      <c r="L193" s="9"/>
      <c r="M193" s="9"/>
      <c r="N193" s="9"/>
      <c r="O193" s="9"/>
      <c r="P193" s="9"/>
      <c r="Q193" s="9"/>
      <c r="R193" s="9"/>
    </row>
    <row r="194" spans="1:18">
      <c r="A194" s="9"/>
      <c r="B194" s="9"/>
      <c r="C194" s="9"/>
      <c r="D194" s="9"/>
      <c r="E194" s="9"/>
      <c r="F194" s="9"/>
      <c r="G194" s="9"/>
      <c r="H194" s="9"/>
      <c r="I194" s="9"/>
      <c r="J194" s="9"/>
      <c r="K194" s="9"/>
      <c r="L194" s="9"/>
      <c r="M194" s="9"/>
      <c r="N194" s="9"/>
      <c r="O194" s="9"/>
      <c r="P194" s="9"/>
      <c r="Q194" s="9"/>
      <c r="R194" s="9"/>
    </row>
    <row r="195" spans="1:18">
      <c r="A195" s="9"/>
      <c r="B195" s="9"/>
      <c r="C195" s="9"/>
      <c r="D195" s="9"/>
      <c r="E195" s="9"/>
      <c r="F195" s="9"/>
      <c r="G195" s="9"/>
      <c r="H195" s="9"/>
      <c r="I195" s="9"/>
      <c r="J195" s="9"/>
      <c r="K195" s="9"/>
      <c r="L195" s="9"/>
      <c r="M195" s="9"/>
      <c r="N195" s="9"/>
      <c r="O195" s="9"/>
      <c r="P195" s="9"/>
      <c r="Q195" s="9"/>
      <c r="R195" s="9"/>
    </row>
    <row r="196" spans="1:18">
      <c r="A196" s="9"/>
      <c r="B196" s="9"/>
      <c r="C196" s="9"/>
      <c r="D196" s="9"/>
      <c r="E196" s="9"/>
      <c r="F196" s="9"/>
      <c r="G196" s="9"/>
      <c r="H196" s="9"/>
      <c r="I196" s="9"/>
      <c r="J196" s="9"/>
      <c r="K196" s="9"/>
      <c r="L196" s="9"/>
      <c r="M196" s="9"/>
      <c r="N196" s="9"/>
      <c r="O196" s="9"/>
      <c r="P196" s="9"/>
      <c r="Q196" s="9"/>
      <c r="R196" s="9"/>
    </row>
    <row r="197" spans="1:18">
      <c r="A197" s="9"/>
      <c r="B197" s="9"/>
      <c r="C197" s="9"/>
      <c r="D197" s="9"/>
      <c r="E197" s="9"/>
      <c r="F197" s="9"/>
      <c r="G197" s="9"/>
      <c r="H197" s="9"/>
      <c r="I197" s="9"/>
      <c r="J197" s="9"/>
      <c r="K197" s="9"/>
      <c r="L197" s="9"/>
      <c r="M197" s="9"/>
      <c r="N197" s="9"/>
      <c r="O197" s="9"/>
      <c r="P197" s="9"/>
      <c r="Q197" s="9"/>
      <c r="R197" s="9"/>
    </row>
    <row r="198" spans="1:18">
      <c r="A198" s="9"/>
      <c r="B198" s="9"/>
      <c r="C198" s="9"/>
      <c r="D198" s="9"/>
      <c r="E198" s="9"/>
      <c r="F198" s="9"/>
      <c r="G198" s="9"/>
      <c r="H198" s="9"/>
      <c r="I198" s="9"/>
      <c r="J198" s="9"/>
      <c r="K198" s="9"/>
      <c r="L198" s="9"/>
      <c r="M198" s="9"/>
      <c r="N198" s="9"/>
      <c r="O198" s="9"/>
      <c r="P198" s="9"/>
      <c r="Q198" s="9"/>
      <c r="R198" s="9"/>
    </row>
    <row r="199" spans="1:18">
      <c r="A199" s="9"/>
      <c r="B199" s="9"/>
      <c r="C199" s="9"/>
      <c r="D199" s="9"/>
      <c r="E199" s="9"/>
      <c r="F199" s="9"/>
      <c r="G199" s="9"/>
      <c r="H199" s="9"/>
      <c r="I199" s="9"/>
      <c r="J199" s="9"/>
      <c r="K199" s="9"/>
      <c r="L199" s="9"/>
      <c r="M199" s="9"/>
      <c r="N199" s="9"/>
      <c r="O199" s="9"/>
      <c r="P199" s="9"/>
      <c r="Q199" s="9"/>
      <c r="R199" s="9"/>
    </row>
    <row r="200" spans="1:18">
      <c r="A200" s="9"/>
      <c r="B200" s="9"/>
      <c r="C200" s="9"/>
      <c r="D200" s="9"/>
      <c r="E200" s="9"/>
      <c r="F200" s="9"/>
      <c r="G200" s="9"/>
      <c r="H200" s="9"/>
      <c r="I200" s="9"/>
      <c r="J200" s="9"/>
      <c r="K200" s="9"/>
      <c r="L200" s="9"/>
      <c r="M200" s="9"/>
      <c r="N200" s="9"/>
      <c r="O200" s="9"/>
      <c r="P200" s="9"/>
      <c r="Q200" s="9"/>
      <c r="R200" s="9"/>
    </row>
    <row r="201" spans="1:18">
      <c r="A201" s="9"/>
      <c r="B201" s="9"/>
      <c r="C201" s="9"/>
      <c r="D201" s="9"/>
      <c r="E201" s="9"/>
      <c r="F201" s="9"/>
      <c r="G201" s="9"/>
      <c r="H201" s="9"/>
      <c r="I201" s="9"/>
      <c r="J201" s="9"/>
      <c r="K201" s="9"/>
      <c r="L201" s="9"/>
      <c r="M201" s="9"/>
      <c r="N201" s="9"/>
      <c r="O201" s="9"/>
      <c r="P201" s="9"/>
      <c r="Q201" s="9"/>
      <c r="R201" s="9"/>
    </row>
    <row r="202" spans="1:18">
      <c r="A202" s="9"/>
      <c r="B202" s="9"/>
      <c r="C202" s="9"/>
      <c r="D202" s="9"/>
      <c r="E202" s="9"/>
      <c r="F202" s="9"/>
      <c r="G202" s="9"/>
      <c r="H202" s="9"/>
      <c r="I202" s="9"/>
      <c r="J202" s="9"/>
      <c r="K202" s="9"/>
      <c r="L202" s="9"/>
      <c r="M202" s="9"/>
      <c r="N202" s="9"/>
      <c r="O202" s="9"/>
      <c r="P202" s="9"/>
      <c r="Q202" s="9"/>
      <c r="R202" s="9"/>
    </row>
    <row r="203" spans="1:18">
      <c r="A203" s="9"/>
      <c r="B203" s="9"/>
      <c r="C203" s="9"/>
      <c r="D203" s="9"/>
      <c r="E203" s="9"/>
      <c r="F203" s="9"/>
      <c r="G203" s="9"/>
      <c r="H203" s="9"/>
      <c r="I203" s="9"/>
      <c r="J203" s="9"/>
      <c r="K203" s="9"/>
      <c r="L203" s="9"/>
      <c r="M203" s="9"/>
      <c r="N203" s="9"/>
      <c r="O203" s="9"/>
      <c r="P203" s="9"/>
      <c r="Q203" s="9"/>
      <c r="R203" s="9"/>
    </row>
    <row r="204" spans="1:18">
      <c r="A204" s="9"/>
      <c r="B204" s="9"/>
      <c r="C204" s="9"/>
      <c r="D204" s="9"/>
      <c r="E204" s="9"/>
      <c r="F204" s="9"/>
      <c r="G204" s="9"/>
      <c r="H204" s="9"/>
      <c r="I204" s="9"/>
      <c r="J204" s="9"/>
      <c r="K204" s="9"/>
      <c r="L204" s="9"/>
      <c r="M204" s="9"/>
      <c r="N204" s="9"/>
      <c r="O204" s="9"/>
      <c r="P204" s="9"/>
      <c r="Q204" s="9"/>
      <c r="R204" s="9"/>
    </row>
    <row r="205" spans="1:18">
      <c r="A205" s="9"/>
      <c r="B205" s="9"/>
      <c r="C205" s="9"/>
      <c r="D205" s="9"/>
      <c r="E205" s="9"/>
      <c r="F205" s="9"/>
      <c r="G205" s="9"/>
      <c r="H205" s="9"/>
      <c r="I205" s="9"/>
      <c r="J205" s="9"/>
      <c r="K205" s="9"/>
      <c r="L205" s="9"/>
      <c r="M205" s="9"/>
      <c r="N205" s="9"/>
      <c r="O205" s="9"/>
      <c r="P205" s="9"/>
      <c r="Q205" s="9"/>
      <c r="R205" s="9"/>
    </row>
    <row r="206" spans="1:18">
      <c r="A206" s="9"/>
      <c r="B206" s="9"/>
      <c r="C206" s="9"/>
      <c r="D206" s="9"/>
      <c r="E206" s="9"/>
      <c r="F206" s="9"/>
      <c r="G206" s="9"/>
      <c r="H206" s="9"/>
      <c r="I206" s="9"/>
      <c r="J206" s="9"/>
      <c r="K206" s="9"/>
      <c r="L206" s="9"/>
      <c r="M206" s="9"/>
      <c r="N206" s="9"/>
      <c r="O206" s="9"/>
      <c r="P206" s="9"/>
      <c r="Q206" s="9"/>
      <c r="R206" s="9"/>
    </row>
    <row r="207" spans="1:18">
      <c r="A207" s="9"/>
      <c r="B207" s="9"/>
      <c r="C207" s="9"/>
      <c r="D207" s="9"/>
      <c r="E207" s="9"/>
      <c r="F207" s="9"/>
      <c r="G207" s="9"/>
      <c r="H207" s="9"/>
      <c r="I207" s="9"/>
      <c r="J207" s="9"/>
      <c r="K207" s="9"/>
      <c r="L207" s="9"/>
      <c r="M207" s="9"/>
      <c r="N207" s="9"/>
      <c r="O207" s="9"/>
      <c r="P207" s="9"/>
      <c r="Q207" s="9"/>
      <c r="R207" s="9"/>
    </row>
    <row r="208" spans="1:18">
      <c r="A208" s="9"/>
      <c r="B208" s="9"/>
      <c r="C208" s="9"/>
      <c r="D208" s="9"/>
      <c r="E208" s="9"/>
      <c r="F208" s="9"/>
      <c r="G208" s="9"/>
      <c r="H208" s="9"/>
      <c r="I208" s="9"/>
      <c r="J208" s="9"/>
      <c r="K208" s="9"/>
      <c r="L208" s="9"/>
      <c r="M208" s="9"/>
      <c r="N208" s="9"/>
      <c r="O208" s="9"/>
      <c r="P208" s="9"/>
      <c r="Q208" s="9"/>
      <c r="R208" s="9"/>
    </row>
    <row r="209" spans="1:18">
      <c r="A209" s="9"/>
      <c r="B209" s="9"/>
      <c r="C209" s="9"/>
      <c r="D209" s="9"/>
      <c r="E209" s="9"/>
      <c r="F209" s="9"/>
      <c r="G209" s="9"/>
      <c r="H209" s="9"/>
      <c r="I209" s="9"/>
      <c r="J209" s="9"/>
      <c r="K209" s="9"/>
      <c r="L209" s="9"/>
      <c r="M209" s="9"/>
      <c r="N209" s="9"/>
      <c r="O209" s="9"/>
      <c r="P209" s="9"/>
      <c r="Q209" s="9"/>
      <c r="R209" s="9"/>
    </row>
    <row r="210" spans="1:18">
      <c r="A210" s="9"/>
      <c r="B210" s="9"/>
      <c r="C210" s="9"/>
      <c r="D210" s="9"/>
      <c r="E210" s="9"/>
      <c r="F210" s="9"/>
      <c r="G210" s="9"/>
      <c r="H210" s="9"/>
      <c r="I210" s="9"/>
      <c r="J210" s="9"/>
      <c r="K210" s="9"/>
      <c r="L210" s="9"/>
      <c r="M210" s="9"/>
      <c r="N210" s="9"/>
      <c r="O210" s="9"/>
      <c r="P210" s="9"/>
      <c r="Q210" s="9"/>
      <c r="R210" s="9"/>
    </row>
    <row r="211" spans="1:18">
      <c r="A211" s="9"/>
      <c r="B211" s="9"/>
      <c r="C211" s="9"/>
      <c r="D211" s="9"/>
      <c r="E211" s="9"/>
      <c r="F211" s="9"/>
      <c r="G211" s="9"/>
      <c r="H211" s="9"/>
      <c r="I211" s="9"/>
      <c r="J211" s="9"/>
      <c r="K211" s="9"/>
      <c r="L211" s="9"/>
      <c r="M211" s="9"/>
      <c r="N211" s="9"/>
      <c r="O211" s="9"/>
      <c r="P211" s="9"/>
      <c r="Q211" s="9"/>
      <c r="R211" s="9"/>
    </row>
    <row r="212" spans="1:18">
      <c r="A212" s="9"/>
      <c r="B212" s="9"/>
      <c r="C212" s="9"/>
      <c r="D212" s="9"/>
      <c r="E212" s="9"/>
      <c r="F212" s="9"/>
      <c r="G212" s="9"/>
      <c r="H212" s="9"/>
      <c r="I212" s="9"/>
      <c r="J212" s="9"/>
      <c r="K212" s="9"/>
      <c r="L212" s="9"/>
      <c r="M212" s="9"/>
      <c r="N212" s="9"/>
      <c r="O212" s="9"/>
      <c r="P212" s="9"/>
      <c r="Q212" s="9"/>
      <c r="R212" s="9"/>
    </row>
    <row r="213" spans="1:18">
      <c r="A213" s="9"/>
      <c r="B213" s="9"/>
      <c r="C213" s="9"/>
      <c r="D213" s="9"/>
      <c r="E213" s="9"/>
      <c r="F213" s="9"/>
      <c r="G213" s="9"/>
      <c r="H213" s="9"/>
      <c r="I213" s="9"/>
      <c r="J213" s="9"/>
      <c r="K213" s="9"/>
      <c r="L213" s="9"/>
      <c r="M213" s="9"/>
      <c r="N213" s="9"/>
      <c r="O213" s="9"/>
      <c r="P213" s="9"/>
      <c r="Q213" s="9"/>
      <c r="R213" s="9"/>
    </row>
    <row r="214" spans="1:18">
      <c r="A214" s="9"/>
      <c r="B214" s="9"/>
      <c r="C214" s="9"/>
      <c r="D214" s="9"/>
      <c r="E214" s="9"/>
      <c r="F214" s="9"/>
      <c r="G214" s="9"/>
      <c r="H214" s="9"/>
      <c r="I214" s="9"/>
      <c r="J214" s="9"/>
      <c r="K214" s="9"/>
      <c r="L214" s="9"/>
      <c r="M214" s="9"/>
      <c r="N214" s="9"/>
      <c r="O214" s="9"/>
      <c r="P214" s="9"/>
      <c r="Q214" s="9"/>
      <c r="R214" s="9"/>
    </row>
    <row r="215" spans="1:18">
      <c r="A215" s="9"/>
      <c r="B215" s="9"/>
      <c r="C215" s="9"/>
      <c r="D215" s="9"/>
      <c r="E215" s="9"/>
      <c r="F215" s="9"/>
      <c r="G215" s="9"/>
      <c r="H215" s="9"/>
      <c r="I215" s="9"/>
      <c r="J215" s="9"/>
      <c r="K215" s="9"/>
      <c r="L215" s="9"/>
      <c r="M215" s="9"/>
      <c r="N215" s="9"/>
      <c r="O215" s="9"/>
      <c r="P215" s="9"/>
      <c r="Q215" s="9"/>
      <c r="R215" s="9"/>
    </row>
    <row r="216" spans="1:18">
      <c r="A216" s="9"/>
      <c r="B216" s="9"/>
      <c r="C216" s="9"/>
      <c r="D216" s="9"/>
      <c r="E216" s="9"/>
      <c r="F216" s="9"/>
      <c r="G216" s="9"/>
      <c r="H216" s="9"/>
      <c r="I216" s="9"/>
      <c r="J216" s="9"/>
      <c r="K216" s="9"/>
      <c r="L216" s="9"/>
      <c r="M216" s="9"/>
      <c r="N216" s="9"/>
      <c r="O216" s="9"/>
      <c r="P216" s="9"/>
      <c r="Q216" s="9"/>
      <c r="R216" s="9"/>
    </row>
    <row r="217" spans="1:18">
      <c r="A217" s="9"/>
      <c r="B217" s="9"/>
      <c r="C217" s="9"/>
      <c r="D217" s="9"/>
      <c r="E217" s="9"/>
      <c r="F217" s="9"/>
      <c r="G217" s="9"/>
      <c r="H217" s="9"/>
      <c r="I217" s="9"/>
      <c r="J217" s="9"/>
      <c r="K217" s="9"/>
      <c r="L217" s="9"/>
      <c r="M217" s="9"/>
      <c r="N217" s="9"/>
      <c r="O217" s="9"/>
      <c r="P217" s="9"/>
      <c r="Q217" s="9"/>
      <c r="R217" s="9"/>
    </row>
    <row r="218" spans="1:18">
      <c r="A218" s="9"/>
      <c r="B218" s="9"/>
      <c r="C218" s="9"/>
      <c r="D218" s="9"/>
      <c r="E218" s="9"/>
      <c r="F218" s="9"/>
      <c r="G218" s="9"/>
      <c r="H218" s="9"/>
      <c r="I218" s="9"/>
      <c r="J218" s="9"/>
      <c r="K218" s="9"/>
      <c r="L218" s="9"/>
      <c r="M218" s="9"/>
      <c r="N218" s="9"/>
      <c r="O218" s="9"/>
      <c r="P218" s="9"/>
      <c r="Q218" s="9"/>
      <c r="R218" s="9"/>
    </row>
    <row r="219" spans="1:18">
      <c r="A219" s="9"/>
      <c r="B219" s="9"/>
      <c r="C219" s="9"/>
      <c r="D219" s="9"/>
      <c r="E219" s="9"/>
      <c r="F219" s="9"/>
      <c r="G219" s="9"/>
      <c r="H219" s="9"/>
      <c r="I219" s="9"/>
      <c r="J219" s="9"/>
      <c r="K219" s="9"/>
      <c r="L219" s="9"/>
      <c r="M219" s="9"/>
      <c r="N219" s="9"/>
      <c r="O219" s="9"/>
      <c r="P219" s="9"/>
      <c r="Q219" s="9"/>
      <c r="R219" s="9"/>
    </row>
    <row r="220" spans="1:18">
      <c r="A220" s="9"/>
      <c r="B220" s="9"/>
      <c r="C220" s="9"/>
      <c r="D220" s="9"/>
      <c r="E220" s="9"/>
      <c r="F220" s="9"/>
      <c r="G220" s="9"/>
      <c r="H220" s="9"/>
      <c r="I220" s="9"/>
      <c r="J220" s="9"/>
      <c r="K220" s="9"/>
      <c r="L220" s="9"/>
      <c r="M220" s="9"/>
      <c r="N220" s="9"/>
      <c r="O220" s="9"/>
      <c r="P220" s="9"/>
      <c r="Q220" s="9"/>
      <c r="R220" s="9"/>
    </row>
    <row r="221" spans="1:18">
      <c r="A221" s="9"/>
      <c r="B221" s="9"/>
      <c r="C221" s="9"/>
      <c r="D221" s="9"/>
      <c r="E221" s="9"/>
      <c r="F221" s="9"/>
      <c r="G221" s="9"/>
      <c r="H221" s="9"/>
      <c r="I221" s="9"/>
      <c r="J221" s="9"/>
      <c r="K221" s="9"/>
      <c r="L221" s="9"/>
      <c r="M221" s="9"/>
      <c r="N221" s="9"/>
      <c r="O221" s="9"/>
      <c r="P221" s="9"/>
      <c r="Q221" s="9"/>
      <c r="R221" s="9"/>
    </row>
    <row r="222" spans="1:18">
      <c r="A222" s="9"/>
      <c r="B222" s="9"/>
      <c r="C222" s="9"/>
      <c r="D222" s="9"/>
      <c r="E222" s="9"/>
      <c r="F222" s="9"/>
      <c r="G222" s="9"/>
      <c r="H222" s="9"/>
      <c r="I222" s="9"/>
      <c r="J222" s="9"/>
      <c r="K222" s="9"/>
      <c r="L222" s="9"/>
      <c r="M222" s="9"/>
      <c r="N222" s="9"/>
      <c r="O222" s="9"/>
      <c r="P222" s="9"/>
      <c r="Q222" s="9"/>
      <c r="R222" s="9"/>
    </row>
    <row r="223" spans="1:18">
      <c r="A223" s="9"/>
      <c r="B223" s="9"/>
      <c r="C223" s="9"/>
      <c r="D223" s="9"/>
      <c r="E223" s="9"/>
      <c r="F223" s="9"/>
      <c r="G223" s="9"/>
      <c r="H223" s="9"/>
      <c r="I223" s="9"/>
      <c r="J223" s="9"/>
      <c r="K223" s="9"/>
      <c r="L223" s="9"/>
      <c r="M223" s="9"/>
      <c r="N223" s="9"/>
      <c r="O223" s="9"/>
      <c r="P223" s="9"/>
      <c r="Q223" s="9"/>
      <c r="R223" s="9"/>
    </row>
    <row r="224" spans="1:18">
      <c r="A224" s="9"/>
      <c r="B224" s="9"/>
      <c r="C224" s="9"/>
      <c r="D224" s="9"/>
      <c r="E224" s="9"/>
      <c r="F224" s="9"/>
      <c r="G224" s="9"/>
      <c r="H224" s="9"/>
      <c r="I224" s="9"/>
      <c r="J224" s="9"/>
      <c r="K224" s="9"/>
      <c r="L224" s="9"/>
      <c r="M224" s="9"/>
      <c r="N224" s="9"/>
      <c r="O224" s="9"/>
      <c r="P224" s="9"/>
      <c r="Q224" s="9"/>
      <c r="R224" s="9"/>
    </row>
  </sheetData>
  <autoFilter ref="A2:Q40" xr:uid="{00000000-0009-0000-0000-000000000000}"/>
  <conditionalFormatting sqref="A2:A1048576">
    <cfRule type="duplicateValues" dxfId="49" priority="24"/>
  </conditionalFormatting>
  <conditionalFormatting sqref="A40:A224">
    <cfRule type="expression" dxfId="48" priority="31">
      <formula>ISEVEN(ROW())</formula>
    </cfRule>
  </conditionalFormatting>
  <conditionalFormatting sqref="A3:Q6 N7:Q7 A7:K7 A8:Q39">
    <cfRule type="expression" dxfId="47" priority="29">
      <formula>ISEVEN(ROW())</formula>
    </cfRule>
  </conditionalFormatting>
  <conditionalFormatting sqref="A3:R6 N7:R7 A7:K7 A8:R224">
    <cfRule type="expression" dxfId="46" priority="8">
      <formula>ISODD(ROW())</formula>
    </cfRule>
  </conditionalFormatting>
  <conditionalFormatting sqref="A40:R40">
    <cfRule type="expression" dxfId="45" priority="4">
      <formula>ISEVEN(ROW())</formula>
    </cfRule>
  </conditionalFormatting>
  <conditionalFormatting sqref="B41:R224">
    <cfRule type="expression" dxfId="44" priority="45">
      <formula>ISEVEN(ROW())</formula>
    </cfRule>
  </conditionalFormatting>
  <conditionalFormatting sqref="C22:R22">
    <cfRule type="expression" dxfId="43" priority="25">
      <formula>ISEVEN(ROW())</formula>
    </cfRule>
    <cfRule type="expression" dxfId="42" priority="26">
      <formula>ISODD(ROW())</formula>
    </cfRule>
  </conditionalFormatting>
  <conditionalFormatting sqref="I2:CC1048576">
    <cfRule type="expression" dxfId="41" priority="1">
      <formula>ISBLANK(I2)</formula>
    </cfRule>
    <cfRule type="expression" dxfId="40" priority="2">
      <formula>I2="X"</formula>
    </cfRule>
  </conditionalFormatting>
  <conditionalFormatting sqref="R3:R39">
    <cfRule type="expression" dxfId="39" priority="7">
      <formula>ISEVEN(ROW())</formula>
    </cfRule>
  </conditionalFormatting>
  <hyperlinks>
    <hyperlink ref="G3" location="Filiere!A1" display="Lien nomenclature" xr:uid="{00000000-0004-0000-0000-000000000000}"/>
    <hyperlink ref="G4" location="'Type d''intervention'!A1" display="Lien nomenclature" xr:uid="{00000000-0004-0000-0000-000001000000}"/>
    <hyperlink ref="G5" location="'Origine de l''appel'!A1" display="Lien nomenclature" xr:uid="{00000000-0004-0000-0000-000002000000}"/>
    <hyperlink ref="G6" location="'Nature de fait'!A1" display="Lien nomenclature" xr:uid="{00000000-0004-0000-0000-000003000000}"/>
    <hyperlink ref="G7" location="'Attribution du dossier'!A1" display="Lien nomenclature" xr:uid="{00000000-0004-0000-0000-000004000000}"/>
    <hyperlink ref="G8" location="'Risque, menace et sensibilité'!A1" display="Lien nomenclature" xr:uid="{00000000-0004-0000-0000-000005000000}"/>
    <hyperlink ref="G9" location="'Motif de recours médico-secouri'!A1" display="Lien nomenclature" xr:uid="{00000000-0004-0000-0000-000006000000}"/>
    <hyperlink ref="G10" location="'Etats du dossier'!A1" display="Lien nomenclature" xr:uid="{00000000-0004-0000-0000-000007000000}"/>
    <hyperlink ref="G11" location="'Nombre de patients-victimes'!A1" display="Lien nomenclature" xr:uid="{00000000-0004-0000-0000-000008000000}"/>
    <hyperlink ref="G12" location="'Type du patient-victime'!A1" display="Lien nomenclature" xr:uid="{00000000-0004-0000-0000-000009000000}"/>
    <hyperlink ref="G13" location="'Attribution du dossier'!A1" display="Lien nomenclature" xr:uid="{00000000-0004-0000-0000-00000A000000}"/>
    <hyperlink ref="G14" location="'Priorité de régulation médicale'!A1" display="Lien nomenclature" xr:uid="{00000000-0004-0000-0000-00000B000000}"/>
    <hyperlink ref="G15" location="'Lieu - Source ou type d''id'!A1" display="Lien nomenclature" xr:uid="{00000000-0004-0000-0000-00000C000000}"/>
    <hyperlink ref="G16" location="Precision!A1" display="Lien nomenclature" xr:uid="{00000000-0004-0000-0000-00000D000000}"/>
    <hyperlink ref="G17" location="'Nom de la source'!A1" display="Lien nomenclature" xr:uid="{00000000-0004-0000-0000-00000E000000}"/>
    <hyperlink ref="G18" location="'Type d''objet'!A1" display="Lien nomenclature" xr:uid="{00000000-0004-0000-0000-00000F000000}"/>
    <hyperlink ref="G19" location="Signalement!A1" display="Lien nomenclature" xr:uid="{00000000-0004-0000-0000-000010000000}"/>
    <hyperlink ref="G20" location="Canal!A1" display="Lien nomenclature" xr:uid="{00000000-0004-0000-0000-000011000000}"/>
    <hyperlink ref="G21" location="'Type de contact'!A1" display="Lien nomenclature" xr:uid="{00000000-0004-0000-0000-000012000000}"/>
    <hyperlink ref="G22" location="Langue!A1" display="Lien nomenclature" xr:uid="{00000000-0004-0000-0000-000013000000}"/>
    <hyperlink ref="G23" location="'Type de requérant'!A1" display="Lien nomenclature" xr:uid="{00000000-0004-0000-0000-000014000000}"/>
    <hyperlink ref="G24" location="'Difficultés de communication'!A1" display="Lien nomenclature" xr:uid="{00000000-0004-0000-0000-000015000000}"/>
    <hyperlink ref="G25" location="'Patient - type d''Id'!A1" display="Lien nomenclature" xr:uid="{00000000-0004-0000-0000-000016000000}"/>
    <hyperlink ref="G26" location="Sexe!A1" display="Lien nomenclature" xr:uid="{00000000-0004-0000-0000-000017000000}"/>
    <hyperlink ref="G27" location="'Niveau de soin'!A1" display="Lien nomenclature" xr:uid="{00000000-0004-0000-0000-000018000000}"/>
    <hyperlink ref="G28" location="Role!A1" display="Lien nomenclature" xr:uid="{00000000-0004-0000-0000-000019000000}"/>
    <hyperlink ref="G29" location="'Type de decision'!A1" display="Lien nomenclature" xr:uid="{00000000-0004-0000-0000-00001A000000}"/>
    <hyperlink ref="G30" location="'Type de ressource'!A1" display="Lien nomenclature" xr:uid="{00000000-0004-0000-0000-00001B000000}"/>
    <hyperlink ref="G31" location="'Type de vecteurs'!A1" display="Lien nomenclature" xr:uid="{00000000-0004-0000-0000-00001C000000}"/>
    <hyperlink ref="G32" location="'Niveau de prise en charge'!A1" display="Lien nomenclature" xr:uid="{00000000-0004-0000-0000-00001D000000}"/>
    <hyperlink ref="G33" location="'Type de destination'!A1" display="Lien nomenclature" xr:uid="{00000000-0004-0000-0000-00001E000000}"/>
    <hyperlink ref="G34" location="'Effet à obtenir'!A1" display="Lien nomenclature" xr:uid="{00000000-0004-0000-0000-00001F000000}"/>
    <hyperlink ref="G35" location="'Cadre conventionnel'!A1" display="Lien nomenclature" xr:uid="{00000000-0004-0000-0000-000020000000}"/>
    <hyperlink ref="G36" location="'Delai d''intervention'!A1" display="Lien nomenclature" xr:uid="{00000000-0004-0000-0000-000021000000}"/>
    <hyperlink ref="G37" location="'Annulation DR'!A1" display="Lien nomenclature" xr:uid="{00000000-0004-0000-0000-000022000000}"/>
    <hyperlink ref="G38" location="'Reponse demande ressources'!A1" display="Lien nomenclature" xr:uid="{00000000-0004-0000-0000-000023000000}"/>
    <hyperlink ref="G39" location="'Statut du vecteur'!A1" display="Lien nomenclature" xr:uid="{00000000-0004-0000-0000-000024000000}"/>
    <hyperlink ref="G40" location="'Etape message'!A1" display="Lien nomenclature" xr:uid="{00000000-0004-0000-0000-000025000000}"/>
  </hyperlink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2"/>
  <sheetViews>
    <sheetView zoomScaleNormal="100" workbookViewId="0">
      <selection activeCell="D7" sqref="D7:D10"/>
    </sheetView>
  </sheetViews>
  <sheetFormatPr baseColWidth="10" defaultColWidth="8.6640625" defaultRowHeight="14.4"/>
  <cols>
    <col min="1" max="1" width="21.44140625" customWidth="1"/>
    <col min="2" max="2" width="23.33203125" customWidth="1"/>
    <col min="3" max="3" width="15.44140625" customWidth="1"/>
    <col min="4" max="4" width="38.44140625" customWidth="1"/>
    <col min="5" max="5" width="14.109375" customWidth="1"/>
  </cols>
  <sheetData>
    <row r="1" spans="1:5">
      <c r="A1" s="17" t="s">
        <v>0</v>
      </c>
      <c r="B1" s="18" t="s">
        <v>334</v>
      </c>
      <c r="C1" s="19"/>
    </row>
    <row r="2" spans="1:5">
      <c r="A2" s="17" t="s">
        <v>2</v>
      </c>
      <c r="B2" s="18" t="s">
        <v>427</v>
      </c>
      <c r="C2" s="19"/>
    </row>
    <row r="3" spans="1:5">
      <c r="A3" s="17" t="s">
        <v>4</v>
      </c>
      <c r="B3" s="18" t="s">
        <v>428</v>
      </c>
      <c r="C3" s="19"/>
    </row>
    <row r="4" spans="1:5">
      <c r="A4" s="17" t="s">
        <v>6</v>
      </c>
      <c r="B4" s="18" t="s">
        <v>429</v>
      </c>
      <c r="C4" s="20"/>
    </row>
    <row r="5" spans="1:5">
      <c r="A5" s="17" t="s">
        <v>8</v>
      </c>
      <c r="B5" s="18" t="s">
        <v>430</v>
      </c>
      <c r="C5" s="20"/>
    </row>
    <row r="6" spans="1:5">
      <c r="A6" s="21" t="s">
        <v>10</v>
      </c>
      <c r="B6" s="21" t="s">
        <v>11</v>
      </c>
      <c r="C6" s="21" t="s">
        <v>12</v>
      </c>
      <c r="D6" s="21" t="s">
        <v>8</v>
      </c>
      <c r="E6" s="21" t="s">
        <v>14</v>
      </c>
    </row>
    <row r="7" spans="1:5" s="25" customFormat="1">
      <c r="A7" s="22" t="s">
        <v>431</v>
      </c>
      <c r="B7" t="s">
        <v>432</v>
      </c>
      <c r="C7" s="23"/>
      <c r="D7" t="s">
        <v>433</v>
      </c>
      <c r="E7" s="24"/>
    </row>
    <row r="8" spans="1:5" s="25" customFormat="1">
      <c r="A8" t="s">
        <v>434</v>
      </c>
      <c r="B8" t="s">
        <v>435</v>
      </c>
      <c r="C8" s="23"/>
      <c r="D8" t="s">
        <v>436</v>
      </c>
      <c r="E8" s="24"/>
    </row>
    <row r="9" spans="1:5" s="25" customFormat="1">
      <c r="A9" t="s">
        <v>437</v>
      </c>
      <c r="B9" t="s">
        <v>438</v>
      </c>
      <c r="C9" s="23"/>
      <c r="D9" t="s">
        <v>439</v>
      </c>
      <c r="E9" s="24"/>
    </row>
    <row r="10" spans="1:5" s="25" customFormat="1">
      <c r="A10" t="s">
        <v>440</v>
      </c>
      <c r="B10" t="s">
        <v>441</v>
      </c>
      <c r="C10" s="23"/>
      <c r="D10" t="s">
        <v>442</v>
      </c>
      <c r="E10" s="24"/>
    </row>
    <row r="11" spans="1:5" s="25" customFormat="1">
      <c r="C11" s="23"/>
      <c r="E11" s="24"/>
    </row>
    <row r="12" spans="1:5" s="25" customFormat="1">
      <c r="C12" s="23"/>
      <c r="E12" s="24"/>
    </row>
    <row r="13" spans="1:5" s="25" customFormat="1">
      <c r="C13" s="23"/>
      <c r="E13" s="24"/>
    </row>
    <row r="14" spans="1:5" s="25" customFormat="1">
      <c r="C14" s="23"/>
      <c r="E14" s="24"/>
    </row>
    <row r="15" spans="1:5" s="25" customFormat="1">
      <c r="C15" s="23"/>
      <c r="E15" s="24"/>
    </row>
    <row r="16" spans="1:5" s="25" customFormat="1">
      <c r="C16" s="23"/>
      <c r="E16" s="24"/>
    </row>
    <row r="17" spans="1:5">
      <c r="C17" s="24"/>
      <c r="E17" s="24"/>
    </row>
    <row r="18" spans="1:5">
      <c r="A18" s="26"/>
      <c r="B18" s="26"/>
      <c r="C18" s="24"/>
      <c r="D18" s="24"/>
      <c r="E18" s="27"/>
    </row>
    <row r="19" spans="1:5" s="30" customFormat="1">
      <c r="A19" s="28"/>
      <c r="B19" s="28"/>
      <c r="C19" s="29"/>
      <c r="D19" s="29"/>
      <c r="E19" s="28"/>
    </row>
    <row r="20" spans="1:5">
      <c r="B20" s="23"/>
      <c r="D20" s="23"/>
      <c r="E20" s="24"/>
    </row>
    <row r="21" spans="1:5">
      <c r="B21" s="24"/>
      <c r="D21" s="24"/>
      <c r="E21" s="24"/>
    </row>
    <row r="22" spans="1:5">
      <c r="B22" s="23"/>
      <c r="D22" s="23"/>
      <c r="E22" s="24"/>
    </row>
    <row r="23" spans="1:5">
      <c r="B23" s="24"/>
      <c r="D23" s="24"/>
      <c r="E23" s="24"/>
    </row>
    <row r="24" spans="1:5">
      <c r="B24" s="23"/>
      <c r="D24" s="23"/>
      <c r="E24" s="24"/>
    </row>
    <row r="25" spans="1:5">
      <c r="B25" s="24"/>
      <c r="D25" s="24"/>
      <c r="E25" s="27"/>
    </row>
    <row r="26" spans="1:5">
      <c r="B26" s="23"/>
      <c r="D26" s="23"/>
      <c r="E26" s="28"/>
    </row>
    <row r="27" spans="1:5">
      <c r="B27" s="24"/>
      <c r="D27" s="24"/>
      <c r="E27" s="24"/>
    </row>
    <row r="28" spans="1:5">
      <c r="B28" s="23"/>
      <c r="D28" s="23"/>
      <c r="E28" s="24"/>
    </row>
    <row r="29" spans="1:5">
      <c r="B29" s="24"/>
      <c r="D29" s="24"/>
      <c r="E29" s="24"/>
    </row>
    <row r="30" spans="1:5">
      <c r="B30" s="23"/>
      <c r="D30" s="23"/>
      <c r="E30" s="24"/>
    </row>
    <row r="31" spans="1:5">
      <c r="C31" s="23"/>
      <c r="E31" s="24"/>
    </row>
    <row r="32" spans="1:5">
      <c r="C32" s="24"/>
      <c r="E32" s="27"/>
    </row>
    <row r="33" spans="1:5">
      <c r="C33" s="23"/>
      <c r="E33" s="28"/>
    </row>
    <row r="34" spans="1:5">
      <c r="C34" s="24"/>
      <c r="E34" s="24"/>
    </row>
    <row r="35" spans="1:5">
      <c r="C35" s="23"/>
      <c r="E35" s="24"/>
    </row>
    <row r="36" spans="1:5">
      <c r="C36" s="24"/>
      <c r="E36" s="24"/>
    </row>
    <row r="37" spans="1:5">
      <c r="C37" s="23"/>
      <c r="E37" s="24"/>
    </row>
    <row r="38" spans="1:5">
      <c r="C38" s="24"/>
      <c r="E38" s="24"/>
    </row>
    <row r="39" spans="1:5">
      <c r="A39" s="26"/>
      <c r="C39" s="23"/>
      <c r="E39" s="27"/>
    </row>
    <row r="40" spans="1:5">
      <c r="A40" s="28"/>
      <c r="C40" s="24"/>
      <c r="E40" s="28"/>
    </row>
    <row r="41" spans="1:5">
      <c r="A41" s="24"/>
      <c r="C41" s="23"/>
      <c r="E41" s="24"/>
    </row>
    <row r="42" spans="1:5">
      <c r="C42" s="24"/>
      <c r="E42" s="24"/>
    </row>
    <row r="43" spans="1:5">
      <c r="C43" s="23"/>
      <c r="E43" s="24"/>
    </row>
    <row r="44" spans="1:5">
      <c r="C44" s="24"/>
      <c r="E44" s="24"/>
    </row>
    <row r="45" spans="1:5">
      <c r="C45" s="24"/>
      <c r="E45" s="24"/>
    </row>
    <row r="46" spans="1:5">
      <c r="A46" s="26"/>
      <c r="B46" s="26"/>
      <c r="C46" s="24"/>
      <c r="D46" s="24"/>
      <c r="E46" s="27"/>
    </row>
    <row r="47" spans="1:5">
      <c r="A47" s="28"/>
      <c r="B47" s="28"/>
      <c r="C47" s="29"/>
      <c r="D47" s="29"/>
      <c r="E47" s="28"/>
    </row>
    <row r="48" spans="1:5">
      <c r="A48" s="24"/>
      <c r="B48" s="24"/>
      <c r="C48" s="24"/>
      <c r="D48" s="24"/>
      <c r="E48" s="24"/>
    </row>
    <row r="49" spans="1:5">
      <c r="A49" s="24"/>
      <c r="B49" s="24"/>
      <c r="C49" s="24"/>
      <c r="D49" s="24"/>
      <c r="E49" s="24"/>
    </row>
    <row r="50" spans="1:5">
      <c r="A50" s="24"/>
      <c r="B50" s="24"/>
      <c r="C50" s="24"/>
      <c r="D50" s="24"/>
      <c r="E50" s="24"/>
    </row>
    <row r="51" spans="1:5">
      <c r="A51" s="24"/>
      <c r="B51" s="24"/>
      <c r="C51" s="24"/>
      <c r="D51" s="24"/>
      <c r="E51" s="24"/>
    </row>
    <row r="52" spans="1:5">
      <c r="A52" s="24"/>
      <c r="B52" s="24"/>
      <c r="C52" s="24"/>
      <c r="D52" s="24"/>
      <c r="E52" s="24"/>
    </row>
  </sheetData>
  <pageMargins left="0.7" right="0.7" top="0.75" bottom="0.75" header="0.511811023622047" footer="0.511811023622047"/>
  <pageSetup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2"/>
  <sheetViews>
    <sheetView zoomScaleNormal="100" workbookViewId="0">
      <selection activeCell="B5" sqref="B5"/>
    </sheetView>
  </sheetViews>
  <sheetFormatPr baseColWidth="10" defaultColWidth="8.6640625" defaultRowHeight="14.4"/>
  <cols>
    <col min="1" max="1" width="21.44140625" customWidth="1"/>
    <col min="2" max="2" width="26.44140625" customWidth="1"/>
    <col min="3" max="3" width="15.44140625" customWidth="1"/>
    <col min="4" max="4" width="12.109375" customWidth="1"/>
    <col min="5" max="5" width="14.109375" customWidth="1"/>
  </cols>
  <sheetData>
    <row r="1" spans="1:5">
      <c r="A1" s="17" t="s">
        <v>0</v>
      </c>
      <c r="B1" s="18" t="s">
        <v>339</v>
      </c>
      <c r="C1" s="19"/>
    </row>
    <row r="2" spans="1:5">
      <c r="A2" s="17" t="s">
        <v>2</v>
      </c>
      <c r="B2" s="18" t="s">
        <v>427</v>
      </c>
      <c r="C2" s="19"/>
    </row>
    <row r="3" spans="1:5">
      <c r="A3" s="17" t="s">
        <v>4</v>
      </c>
      <c r="B3" s="18" t="s">
        <v>443</v>
      </c>
      <c r="C3" s="19"/>
    </row>
    <row r="4" spans="1:5">
      <c r="A4" s="17" t="s">
        <v>6</v>
      </c>
      <c r="B4" s="18" t="s">
        <v>429</v>
      </c>
      <c r="C4" s="20"/>
    </row>
    <row r="5" spans="1:5">
      <c r="A5" s="17" t="s">
        <v>8</v>
      </c>
      <c r="B5" s="18" t="s">
        <v>444</v>
      </c>
      <c r="C5" s="20"/>
    </row>
    <row r="6" spans="1:5">
      <c r="A6" s="21" t="s">
        <v>10</v>
      </c>
      <c r="B6" s="21" t="s">
        <v>11</v>
      </c>
      <c r="C6" s="21" t="s">
        <v>12</v>
      </c>
      <c r="D6" s="21" t="s">
        <v>8</v>
      </c>
      <c r="E6" s="21" t="s">
        <v>14</v>
      </c>
    </row>
    <row r="7" spans="1:5" s="25" customFormat="1">
      <c r="A7" s="22" t="s">
        <v>445</v>
      </c>
      <c r="B7" s="22" t="s">
        <v>446</v>
      </c>
      <c r="C7" s="23"/>
      <c r="D7" s="61" t="s">
        <v>447</v>
      </c>
      <c r="E7" s="24"/>
    </row>
    <row r="8" spans="1:5" s="25" customFormat="1">
      <c r="A8" t="s">
        <v>448</v>
      </c>
      <c r="B8" t="s">
        <v>449</v>
      </c>
      <c r="C8" s="23"/>
      <c r="D8" s="61" t="s">
        <v>450</v>
      </c>
      <c r="E8" s="24"/>
    </row>
    <row r="9" spans="1:5" s="25" customFormat="1">
      <c r="A9" t="s">
        <v>451</v>
      </c>
      <c r="B9" t="s">
        <v>452</v>
      </c>
      <c r="C9" s="23"/>
      <c r="D9" s="61" t="s">
        <v>453</v>
      </c>
      <c r="E9" s="24"/>
    </row>
    <row r="10" spans="1:5" s="25" customFormat="1">
      <c r="A10" t="s">
        <v>454</v>
      </c>
      <c r="B10" t="s">
        <v>455</v>
      </c>
      <c r="C10" s="23"/>
      <c r="D10" s="61" t="s">
        <v>456</v>
      </c>
      <c r="E10" s="24"/>
    </row>
    <row r="11" spans="1:5" s="25" customFormat="1">
      <c r="A11" t="s">
        <v>457</v>
      </c>
      <c r="B11" t="s">
        <v>458</v>
      </c>
      <c r="C11" s="23"/>
      <c r="D11" s="61" t="s">
        <v>459</v>
      </c>
      <c r="E11" s="24"/>
    </row>
    <row r="12" spans="1:5" s="25" customFormat="1">
      <c r="C12" s="23"/>
      <c r="E12" s="24"/>
    </row>
    <row r="13" spans="1:5" s="25" customFormat="1">
      <c r="C13" s="23"/>
      <c r="E13" s="24"/>
    </row>
    <row r="14" spans="1:5" s="25" customFormat="1">
      <c r="C14" s="23"/>
      <c r="E14" s="24"/>
    </row>
    <row r="15" spans="1:5" s="25" customFormat="1">
      <c r="C15" s="23"/>
      <c r="E15" s="24"/>
    </row>
    <row r="16" spans="1:5" s="25" customFormat="1">
      <c r="B16" s="24"/>
      <c r="C16" s="23"/>
      <c r="E16" s="24"/>
    </row>
    <row r="17" spans="1:5">
      <c r="B17" s="27"/>
      <c r="C17" s="24"/>
      <c r="E17" s="24"/>
    </row>
    <row r="18" spans="1:5">
      <c r="A18" s="26"/>
      <c r="B18" s="28"/>
      <c r="C18" s="24"/>
      <c r="D18" s="24"/>
      <c r="E18" s="27"/>
    </row>
    <row r="19" spans="1:5" s="30" customFormat="1">
      <c r="A19" s="28"/>
      <c r="B19" s="24"/>
      <c r="C19" s="29"/>
      <c r="D19" s="29"/>
      <c r="E19" s="28"/>
    </row>
    <row r="20" spans="1:5">
      <c r="A20" s="24"/>
      <c r="B20" s="24"/>
      <c r="C20" s="24"/>
      <c r="D20" s="24"/>
      <c r="E20" s="24"/>
    </row>
    <row r="21" spans="1:5">
      <c r="A21" s="24"/>
      <c r="B21" s="24"/>
      <c r="C21" s="24"/>
      <c r="D21" s="24"/>
      <c r="E21" s="24"/>
    </row>
    <row r="22" spans="1:5">
      <c r="A22" s="24"/>
      <c r="B22" s="24"/>
      <c r="C22" s="24"/>
      <c r="D22" s="24"/>
      <c r="E22" s="24"/>
    </row>
    <row r="23" spans="1:5">
      <c r="A23" s="24"/>
      <c r="B23" s="24"/>
      <c r="C23" s="24"/>
      <c r="D23" s="24"/>
      <c r="E23" s="24"/>
    </row>
    <row r="24" spans="1:5">
      <c r="A24" s="24"/>
      <c r="B24" s="27"/>
      <c r="C24" s="24"/>
      <c r="D24" s="24"/>
      <c r="E24" s="24"/>
    </row>
    <row r="25" spans="1:5">
      <c r="A25" s="24"/>
      <c r="B25" s="28"/>
      <c r="C25" s="24"/>
      <c r="D25" s="24"/>
      <c r="E25" s="24"/>
    </row>
    <row r="26" spans="1:5">
      <c r="A26" s="24"/>
      <c r="B26" s="24"/>
      <c r="C26" s="24"/>
      <c r="D26" s="24"/>
      <c r="E26" s="24"/>
    </row>
    <row r="27" spans="1:5">
      <c r="A27" s="24"/>
      <c r="B27" s="24"/>
      <c r="C27" s="24"/>
      <c r="D27" s="24"/>
      <c r="E27" s="24"/>
    </row>
    <row r="28" spans="1:5">
      <c r="A28" s="24"/>
      <c r="B28" s="24"/>
      <c r="C28" s="24"/>
      <c r="D28" s="24"/>
      <c r="E28" s="24"/>
    </row>
    <row r="29" spans="1:5">
      <c r="A29" s="24"/>
      <c r="B29" s="24"/>
      <c r="C29" s="24"/>
      <c r="D29" s="24"/>
      <c r="E29" s="24"/>
    </row>
    <row r="30" spans="1:5">
      <c r="A30" s="24"/>
      <c r="B30" s="24"/>
      <c r="C30" s="24"/>
      <c r="D30" s="24"/>
      <c r="E30" s="24"/>
    </row>
    <row r="31" spans="1:5">
      <c r="A31" s="24"/>
      <c r="B31" s="24"/>
      <c r="C31" s="24"/>
      <c r="D31" s="24"/>
      <c r="E31" s="24"/>
    </row>
    <row r="32" spans="1:5">
      <c r="A32" s="24"/>
      <c r="B32" s="24"/>
      <c r="C32" s="24"/>
      <c r="D32" s="24"/>
      <c r="E32" s="24"/>
    </row>
    <row r="33" spans="1:5">
      <c r="A33" s="24"/>
      <c r="B33" s="24"/>
      <c r="C33" s="24"/>
      <c r="D33" s="24"/>
      <c r="E33" s="24"/>
    </row>
    <row r="34" spans="1:5">
      <c r="A34" s="24"/>
      <c r="B34" s="24"/>
      <c r="C34" s="24"/>
      <c r="D34" s="24"/>
      <c r="E34" s="24"/>
    </row>
    <row r="35" spans="1:5">
      <c r="A35" s="24"/>
      <c r="B35" s="24"/>
      <c r="C35" s="24"/>
      <c r="D35" s="24"/>
      <c r="E35" s="24"/>
    </row>
    <row r="36" spans="1:5">
      <c r="A36" s="24"/>
      <c r="B36" s="24"/>
      <c r="C36" s="24"/>
      <c r="D36" s="24"/>
      <c r="E36" s="24"/>
    </row>
    <row r="37" spans="1:5">
      <c r="A37" s="24"/>
      <c r="B37" s="24"/>
      <c r="C37" s="24"/>
      <c r="D37" s="24"/>
      <c r="E37" s="24"/>
    </row>
    <row r="38" spans="1:5">
      <c r="A38" s="24"/>
      <c r="B38" s="24"/>
      <c r="C38" s="24"/>
      <c r="D38" s="24"/>
      <c r="E38" s="24"/>
    </row>
    <row r="39" spans="1:5">
      <c r="A39" s="24"/>
      <c r="B39" s="24"/>
      <c r="C39" s="24"/>
      <c r="D39" s="24"/>
      <c r="E39" s="24"/>
    </row>
    <row r="40" spans="1:5">
      <c r="A40" s="24"/>
      <c r="B40" s="24"/>
      <c r="C40" s="24"/>
      <c r="D40" s="24"/>
      <c r="E40" s="24"/>
    </row>
    <row r="41" spans="1:5">
      <c r="A41" s="24"/>
      <c r="B41" s="24"/>
      <c r="C41" s="24"/>
      <c r="D41" s="24"/>
      <c r="E41" s="24"/>
    </row>
    <row r="42" spans="1:5">
      <c r="A42" s="24"/>
      <c r="B42" s="24"/>
      <c r="C42" s="24"/>
      <c r="D42" s="24"/>
      <c r="E42" s="24"/>
    </row>
    <row r="43" spans="1:5">
      <c r="A43" s="24"/>
      <c r="B43" s="24"/>
      <c r="C43" s="24"/>
      <c r="D43" s="24"/>
      <c r="E43" s="24"/>
    </row>
    <row r="44" spans="1:5">
      <c r="A44" s="24"/>
      <c r="B44" s="24"/>
      <c r="C44" s="24"/>
      <c r="D44" s="24"/>
      <c r="E44" s="24"/>
    </row>
    <row r="45" spans="1:5">
      <c r="A45" s="24"/>
      <c r="B45" s="24"/>
      <c r="C45" s="24"/>
      <c r="D45" s="24"/>
      <c r="E45" s="24"/>
    </row>
    <row r="46" spans="1:5">
      <c r="A46" s="24"/>
      <c r="B46" s="24"/>
      <c r="C46" s="24"/>
      <c r="D46" s="24"/>
      <c r="E46" s="24"/>
    </row>
    <row r="47" spans="1:5">
      <c r="A47" s="24"/>
      <c r="B47" s="24"/>
      <c r="C47" s="24"/>
      <c r="D47" s="24"/>
      <c r="E47" s="24"/>
    </row>
    <row r="48" spans="1:5">
      <c r="A48" s="24"/>
      <c r="B48" s="24"/>
      <c r="C48" s="24"/>
      <c r="D48" s="24"/>
      <c r="E48" s="24"/>
    </row>
    <row r="49" spans="1:5">
      <c r="A49" s="24"/>
      <c r="B49" s="24"/>
      <c r="C49" s="24"/>
      <c r="D49" s="24"/>
      <c r="E49" s="24"/>
    </row>
    <row r="50" spans="1:5">
      <c r="A50" s="24"/>
      <c r="B50" s="24"/>
      <c r="C50" s="24"/>
      <c r="D50" s="24"/>
      <c r="E50" s="24"/>
    </row>
    <row r="51" spans="1:5">
      <c r="A51" s="24"/>
      <c r="B51" s="24"/>
      <c r="C51" s="24"/>
      <c r="D51" s="24"/>
      <c r="E51" s="24"/>
    </row>
    <row r="52" spans="1:5">
      <c r="A52" s="24"/>
      <c r="B52" s="24"/>
      <c r="C52" s="24"/>
      <c r="D52" s="24"/>
      <c r="E52" s="24"/>
    </row>
  </sheetData>
  <pageMargins left="0.7" right="0.7" top="0.75" bottom="0.75" header="0.511811023622047" footer="0.511811023622047"/>
  <pageSetup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1"/>
  <sheetViews>
    <sheetView zoomScaleNormal="100" workbookViewId="0">
      <selection activeCell="D7" sqref="D7:D25"/>
    </sheetView>
  </sheetViews>
  <sheetFormatPr baseColWidth="10" defaultColWidth="8.6640625" defaultRowHeight="14.4"/>
  <cols>
    <col min="1" max="1" width="21.44140625" customWidth="1"/>
    <col min="2" max="2" width="20.6640625" customWidth="1"/>
    <col min="3" max="3" width="15.44140625" customWidth="1"/>
    <col min="4" max="4" width="32.88671875" customWidth="1"/>
    <col min="5" max="5" width="118.44140625" customWidth="1"/>
  </cols>
  <sheetData>
    <row r="1" spans="1:5">
      <c r="A1" s="17" t="s">
        <v>0</v>
      </c>
      <c r="B1" s="18" t="s">
        <v>341</v>
      </c>
      <c r="C1" s="19"/>
    </row>
    <row r="2" spans="1:5">
      <c r="A2" s="17" t="s">
        <v>2</v>
      </c>
      <c r="B2" s="18" t="s">
        <v>427</v>
      </c>
      <c r="C2" s="19"/>
    </row>
    <row r="3" spans="1:5">
      <c r="A3" s="17" t="s">
        <v>4</v>
      </c>
      <c r="B3" s="18" t="s">
        <v>460</v>
      </c>
      <c r="C3" s="19"/>
    </row>
    <row r="4" spans="1:5">
      <c r="A4" s="17" t="s">
        <v>6</v>
      </c>
      <c r="B4" s="18" t="s">
        <v>429</v>
      </c>
      <c r="C4" s="20"/>
    </row>
    <row r="5" spans="1:5">
      <c r="A5" s="17" t="s">
        <v>8</v>
      </c>
      <c r="B5" s="18" t="s">
        <v>461</v>
      </c>
      <c r="C5" s="20"/>
    </row>
    <row r="6" spans="1:5">
      <c r="A6" s="21" t="s">
        <v>10</v>
      </c>
      <c r="B6" s="21" t="s">
        <v>11</v>
      </c>
      <c r="C6" s="21" t="s">
        <v>12</v>
      </c>
      <c r="D6" s="21" t="s">
        <v>8</v>
      </c>
      <c r="E6" s="21" t="s">
        <v>14</v>
      </c>
    </row>
    <row r="7" spans="1:5" s="25" customFormat="1">
      <c r="A7" s="59">
        <v>15</v>
      </c>
      <c r="B7" s="60" t="s">
        <v>462</v>
      </c>
      <c r="D7" s="60" t="s">
        <v>463</v>
      </c>
      <c r="E7" s="24"/>
    </row>
    <row r="8" spans="1:5" s="25" customFormat="1">
      <c r="A8" s="59">
        <v>116117</v>
      </c>
      <c r="B8" s="60" t="s">
        <v>464</v>
      </c>
      <c r="D8" s="60" t="s">
        <v>465</v>
      </c>
      <c r="E8" s="24"/>
    </row>
    <row r="9" spans="1:5" s="25" customFormat="1">
      <c r="A9" s="59" t="s">
        <v>466</v>
      </c>
      <c r="B9" s="60" t="s">
        <v>467</v>
      </c>
      <c r="D9" s="60" t="s">
        <v>468</v>
      </c>
      <c r="E9" s="24"/>
    </row>
    <row r="10" spans="1:5" s="25" customFormat="1">
      <c r="A10" s="59">
        <v>112</v>
      </c>
      <c r="B10" s="60" t="s">
        <v>469</v>
      </c>
      <c r="D10" s="60" t="s">
        <v>470</v>
      </c>
      <c r="E10" s="24"/>
    </row>
    <row r="11" spans="1:5" s="25" customFormat="1">
      <c r="A11" s="59">
        <v>115</v>
      </c>
      <c r="B11" s="60" t="s">
        <v>471</v>
      </c>
      <c r="D11" s="60" t="s">
        <v>472</v>
      </c>
      <c r="E11" s="24"/>
    </row>
    <row r="12" spans="1:5" s="25" customFormat="1">
      <c r="A12" s="59" t="s">
        <v>473</v>
      </c>
      <c r="B12" s="60" t="s">
        <v>474</v>
      </c>
      <c r="D12" s="60" t="s">
        <v>475</v>
      </c>
      <c r="E12" s="24"/>
    </row>
    <row r="13" spans="1:5" s="25" customFormat="1">
      <c r="A13" s="59" t="s">
        <v>476</v>
      </c>
      <c r="B13" s="60" t="s">
        <v>477</v>
      </c>
      <c r="D13" s="60" t="s">
        <v>478</v>
      </c>
      <c r="E13" s="24"/>
    </row>
    <row r="14" spans="1:5" s="25" customFormat="1">
      <c r="A14" s="59" t="s">
        <v>479</v>
      </c>
      <c r="B14" s="60" t="s">
        <v>480</v>
      </c>
      <c r="D14" s="60" t="s">
        <v>481</v>
      </c>
      <c r="E14" s="24"/>
    </row>
    <row r="15" spans="1:5" s="25" customFormat="1">
      <c r="A15" s="59" t="s">
        <v>482</v>
      </c>
      <c r="B15" s="60" t="s">
        <v>483</v>
      </c>
      <c r="D15" s="60" t="s">
        <v>484</v>
      </c>
      <c r="E15" s="24"/>
    </row>
    <row r="16" spans="1:5">
      <c r="A16" s="59" t="s">
        <v>485</v>
      </c>
      <c r="B16" s="60" t="s">
        <v>486</v>
      </c>
      <c r="D16" s="60" t="s">
        <v>487</v>
      </c>
      <c r="E16" s="24"/>
    </row>
    <row r="17" spans="1:15">
      <c r="A17" s="59" t="s">
        <v>488</v>
      </c>
      <c r="B17" s="60" t="s">
        <v>489</v>
      </c>
      <c r="D17" s="60" t="s">
        <v>490</v>
      </c>
      <c r="E17" s="27"/>
    </row>
    <row r="18" spans="1:15" s="30" customFormat="1">
      <c r="A18" s="59" t="s">
        <v>491</v>
      </c>
      <c r="B18" s="60" t="s">
        <v>492</v>
      </c>
      <c r="D18" s="60" t="s">
        <v>493</v>
      </c>
      <c r="E18" s="28"/>
    </row>
    <row r="19" spans="1:15">
      <c r="A19" s="59" t="s">
        <v>494</v>
      </c>
      <c r="B19" s="60" t="s">
        <v>495</v>
      </c>
      <c r="D19" s="60" t="s">
        <v>496</v>
      </c>
      <c r="E19" s="24"/>
    </row>
    <row r="20" spans="1:15">
      <c r="A20" s="59" t="s">
        <v>497</v>
      </c>
      <c r="B20" s="60" t="s">
        <v>498</v>
      </c>
      <c r="D20" s="60" t="s">
        <v>499</v>
      </c>
      <c r="E20" s="24"/>
    </row>
    <row r="21" spans="1:15">
      <c r="A21" s="59" t="s">
        <v>500</v>
      </c>
      <c r="B21" s="60" t="s">
        <v>501</v>
      </c>
      <c r="D21" s="60" t="s">
        <v>502</v>
      </c>
      <c r="E21" s="24"/>
    </row>
    <row r="22" spans="1:15">
      <c r="A22" s="59" t="s">
        <v>503</v>
      </c>
      <c r="B22" s="60" t="s">
        <v>503</v>
      </c>
      <c r="D22" s="60" t="s">
        <v>504</v>
      </c>
      <c r="E22" s="24"/>
    </row>
    <row r="23" spans="1:15">
      <c r="A23" s="59" t="s">
        <v>505</v>
      </c>
      <c r="B23" s="60" t="s">
        <v>506</v>
      </c>
      <c r="D23" s="60" t="s">
        <v>507</v>
      </c>
      <c r="E23" s="24"/>
      <c r="O23" s="36"/>
    </row>
    <row r="24" spans="1:15">
      <c r="A24" s="59" t="s">
        <v>508</v>
      </c>
      <c r="B24" s="60" t="s">
        <v>509</v>
      </c>
      <c r="D24" s="60" t="s">
        <v>510</v>
      </c>
      <c r="E24" s="24"/>
    </row>
    <row r="25" spans="1:15">
      <c r="A25" s="59" t="s">
        <v>511</v>
      </c>
      <c r="B25" s="60" t="s">
        <v>512</v>
      </c>
      <c r="D25" s="60" t="s">
        <v>513</v>
      </c>
      <c r="E25" s="24"/>
    </row>
    <row r="26" spans="1:15">
      <c r="B26" s="23"/>
      <c r="D26" s="24"/>
      <c r="E26" s="24"/>
    </row>
    <row r="27" spans="1:15">
      <c r="B27" s="23"/>
      <c r="D27" s="24"/>
      <c r="E27" s="24"/>
    </row>
    <row r="28" spans="1:15">
      <c r="B28" s="24"/>
      <c r="D28" s="24"/>
      <c r="E28" s="24"/>
    </row>
    <row r="29" spans="1:15">
      <c r="A29" s="26"/>
      <c r="B29" s="24"/>
      <c r="C29" s="26"/>
      <c r="D29" s="24"/>
      <c r="E29" s="24"/>
    </row>
    <row r="30" spans="1:15">
      <c r="B30" s="23"/>
      <c r="D30" s="24"/>
      <c r="E30" s="24"/>
    </row>
    <row r="31" spans="1:15">
      <c r="B31" s="23"/>
      <c r="D31" s="24"/>
      <c r="E31" s="24"/>
    </row>
    <row r="32" spans="1:15">
      <c r="B32" s="23"/>
      <c r="D32" s="24"/>
      <c r="E32" s="24"/>
    </row>
    <row r="33" spans="1:5">
      <c r="B33" s="23"/>
      <c r="D33" s="24"/>
      <c r="E33" s="24"/>
    </row>
    <row r="34" spans="1:5">
      <c r="B34" s="24"/>
      <c r="D34" s="24"/>
      <c r="E34" s="24"/>
    </row>
    <row r="35" spans="1:5">
      <c r="A35" s="26"/>
      <c r="B35" s="24"/>
      <c r="C35" s="26"/>
      <c r="D35" s="24"/>
      <c r="E35" s="24"/>
    </row>
    <row r="36" spans="1:5">
      <c r="B36" s="23"/>
      <c r="D36" s="24"/>
      <c r="E36" s="24"/>
    </row>
    <row r="37" spans="1:5">
      <c r="B37" s="23"/>
      <c r="D37" s="24"/>
      <c r="E37" s="24"/>
    </row>
    <row r="38" spans="1:5">
      <c r="B38" s="23"/>
      <c r="D38" s="24"/>
      <c r="E38" s="24"/>
    </row>
    <row r="39" spans="1:5">
      <c r="B39" s="23"/>
      <c r="D39" s="24"/>
      <c r="E39" s="24"/>
    </row>
    <row r="40" spans="1:5">
      <c r="A40" s="24"/>
      <c r="B40" s="24"/>
      <c r="C40" s="24"/>
      <c r="D40" s="24"/>
      <c r="E40" s="24"/>
    </row>
    <row r="41" spans="1:5">
      <c r="A41" s="24"/>
      <c r="B41" s="24"/>
      <c r="C41" s="24"/>
      <c r="D41" s="24"/>
      <c r="E41" s="24"/>
    </row>
    <row r="42" spans="1:5">
      <c r="A42" s="24"/>
      <c r="B42" s="24"/>
      <c r="C42" s="24"/>
      <c r="D42" s="24"/>
      <c r="E42" s="24"/>
    </row>
    <row r="43" spans="1:5">
      <c r="A43" s="24"/>
      <c r="B43" s="24"/>
      <c r="C43" s="24"/>
      <c r="D43" s="24"/>
      <c r="E43" s="24"/>
    </row>
    <row r="44" spans="1:5">
      <c r="A44" s="24"/>
      <c r="B44" s="24"/>
      <c r="C44" s="24"/>
      <c r="D44" s="24"/>
      <c r="E44" s="24"/>
    </row>
    <row r="45" spans="1:5">
      <c r="A45" s="24"/>
      <c r="B45" s="24"/>
      <c r="C45" s="24"/>
      <c r="D45" s="24"/>
      <c r="E45" s="24"/>
    </row>
    <row r="46" spans="1:5">
      <c r="A46" s="24"/>
      <c r="B46" s="24"/>
      <c r="C46" s="24"/>
      <c r="D46" s="24"/>
      <c r="E46" s="24"/>
    </row>
    <row r="47" spans="1:5">
      <c r="A47" s="24"/>
      <c r="B47" s="24"/>
      <c r="C47" s="24"/>
      <c r="D47" s="24"/>
      <c r="E47" s="24"/>
    </row>
    <row r="48" spans="1:5">
      <c r="A48" s="24"/>
      <c r="B48" s="24"/>
      <c r="C48" s="24"/>
      <c r="D48" s="24"/>
      <c r="E48" s="24"/>
    </row>
    <row r="49" spans="1:5">
      <c r="A49" s="24"/>
      <c r="B49" s="24"/>
      <c r="C49" s="24"/>
      <c r="D49" s="24"/>
      <c r="E49" s="24"/>
    </row>
    <row r="50" spans="1:5">
      <c r="A50" s="24"/>
      <c r="B50" s="24"/>
      <c r="C50" s="24"/>
      <c r="D50" s="24"/>
      <c r="E50" s="24"/>
    </row>
    <row r="51" spans="1:5">
      <c r="A51" s="24"/>
      <c r="B51" s="24"/>
      <c r="C51" s="24"/>
      <c r="D51" s="24"/>
      <c r="E51" s="24"/>
    </row>
  </sheetData>
  <conditionalFormatting sqref="B24">
    <cfRule type="expression" dxfId="38" priority="1">
      <formula>OR($AD24="X",$AC24="X")</formula>
    </cfRule>
    <cfRule type="expression" dxfId="37" priority="2">
      <formula>AND($AD24=1,$AC24=1)</formula>
    </cfRule>
    <cfRule type="expression" dxfId="36" priority="3">
      <formula>$AD24=1</formula>
    </cfRule>
    <cfRule type="expression" dxfId="35" priority="4">
      <formula>$AC24=1</formula>
    </cfRule>
    <cfRule type="expression" dxfId="34" priority="5">
      <formula>AND(NOT(ISBLANK($V24)),ISBLANK($AC24),ISBLANK($AD24))</formula>
    </cfRule>
    <cfRule type="expression" dxfId="33" priority="6">
      <formula>AND($Q24="X",OR($B24&lt;&gt;"",$C24&lt;&gt;""))</formula>
    </cfRule>
  </conditionalFormatting>
  <conditionalFormatting sqref="O23">
    <cfRule type="expression" dxfId="32" priority="30">
      <formula>OR($AD23="X",$AC23="X")</formula>
    </cfRule>
    <cfRule type="expression" dxfId="31" priority="31">
      <formula>AND($AD23=1,$AC23=1)</formula>
    </cfRule>
    <cfRule type="expression" dxfId="30" priority="32">
      <formula>$AD23=1</formula>
    </cfRule>
    <cfRule type="expression" dxfId="29" priority="33">
      <formula>$AC23=1</formula>
    </cfRule>
    <cfRule type="expression" dxfId="28" priority="34">
      <formula>AND(NOT(ISBLANK($V23)),ISBLANK($AC23),ISBLANK($AD23))</formula>
    </cfRule>
    <cfRule type="expression" dxfId="27" priority="35">
      <formula>AND($Q23="X",OR(#REF!&lt;&gt;"",$B23&lt;&gt;""))</formula>
    </cfRule>
  </conditionalFormatting>
  <pageMargins left="0.7" right="0.7" top="0.75" bottom="0.75" header="0.511811023622047" footer="0.511811023622047"/>
  <pageSetup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3"/>
  <sheetViews>
    <sheetView topLeftCell="A45" zoomScale="70" zoomScaleNormal="70" workbookViewId="0">
      <selection activeCell="B60" sqref="B60"/>
    </sheetView>
  </sheetViews>
  <sheetFormatPr baseColWidth="10" defaultColWidth="9.109375" defaultRowHeight="14.4"/>
  <cols>
    <col min="1" max="1" width="13.33203125" customWidth="1"/>
    <col min="2" max="2" width="29.6640625" customWidth="1"/>
    <col min="3" max="3" width="30.6640625" customWidth="1"/>
    <col min="4" max="4" width="45.88671875" customWidth="1"/>
    <col min="5" max="5" width="47.88671875" customWidth="1"/>
    <col min="6" max="6" width="38.44140625" customWidth="1"/>
  </cols>
  <sheetData>
    <row r="1" spans="1:6">
      <c r="A1" s="17" t="s">
        <v>0</v>
      </c>
      <c r="B1" s="18" t="s">
        <v>344</v>
      </c>
    </row>
    <row r="2" spans="1:6">
      <c r="A2" s="17" t="s">
        <v>2</v>
      </c>
      <c r="B2" s="18" t="s">
        <v>3</v>
      </c>
    </row>
    <row r="3" spans="1:6">
      <c r="A3" s="17" t="s">
        <v>4</v>
      </c>
      <c r="B3" s="18" t="s">
        <v>514</v>
      </c>
    </row>
    <row r="4" spans="1:6">
      <c r="A4" s="17" t="s">
        <v>6</v>
      </c>
      <c r="B4" s="18" t="s">
        <v>7</v>
      </c>
    </row>
    <row r="5" spans="1:6">
      <c r="A5" s="17" t="s">
        <v>8</v>
      </c>
      <c r="B5" s="18" t="s">
        <v>515</v>
      </c>
    </row>
    <row r="6" spans="1:6">
      <c r="A6" s="21" t="s">
        <v>10</v>
      </c>
      <c r="B6" s="21" t="s">
        <v>11</v>
      </c>
      <c r="C6" s="21" t="s">
        <v>12</v>
      </c>
      <c r="D6" s="21" t="s">
        <v>13</v>
      </c>
      <c r="E6" s="37" t="s">
        <v>8</v>
      </c>
      <c r="F6" s="37" t="s">
        <v>14</v>
      </c>
    </row>
    <row r="7" spans="1:6" ht="64.5" customHeight="1">
      <c r="A7" s="82" t="s">
        <v>516</v>
      </c>
      <c r="B7" s="82" t="s">
        <v>517</v>
      </c>
      <c r="C7" s="82"/>
      <c r="D7" s="83"/>
      <c r="E7" s="84"/>
    </row>
    <row r="8" spans="1:6">
      <c r="A8" s="82" t="s">
        <v>518</v>
      </c>
      <c r="B8" s="82"/>
      <c r="C8" s="82" t="s">
        <v>2568</v>
      </c>
      <c r="D8" s="83"/>
      <c r="E8" s="84"/>
    </row>
    <row r="9" spans="1:6" ht="26.25" customHeight="1">
      <c r="A9" s="82" t="s">
        <v>519</v>
      </c>
      <c r="B9" s="82"/>
      <c r="C9" s="82"/>
      <c r="D9" s="83" t="s">
        <v>2569</v>
      </c>
      <c r="E9" s="84" t="s">
        <v>74</v>
      </c>
    </row>
    <row r="10" spans="1:6" ht="26.25" customHeight="1">
      <c r="A10" s="82" t="s">
        <v>520</v>
      </c>
      <c r="B10" s="82"/>
      <c r="C10" s="82"/>
      <c r="D10" s="83" t="s">
        <v>2570</v>
      </c>
      <c r="E10" s="84" t="s">
        <v>76</v>
      </c>
    </row>
    <row r="11" spans="1:6" ht="26.25" customHeight="1">
      <c r="A11" s="82" t="s">
        <v>521</v>
      </c>
      <c r="B11" s="82"/>
      <c r="C11" s="82"/>
      <c r="D11" s="83" t="s">
        <v>2571</v>
      </c>
      <c r="E11" s="84" t="s">
        <v>522</v>
      </c>
    </row>
    <row r="12" spans="1:6" ht="26.25" customHeight="1">
      <c r="A12" s="82" t="s">
        <v>523</v>
      </c>
      <c r="B12" s="82"/>
      <c r="C12" s="82"/>
      <c r="D12" s="83" t="s">
        <v>2572</v>
      </c>
      <c r="E12" s="84" t="s">
        <v>2573</v>
      </c>
    </row>
    <row r="13" spans="1:6" ht="27.6">
      <c r="A13" s="82" t="s">
        <v>524</v>
      </c>
      <c r="B13" s="82"/>
      <c r="C13" s="82"/>
      <c r="D13" s="83" t="s">
        <v>2574</v>
      </c>
      <c r="E13" s="84" t="s">
        <v>2575</v>
      </c>
    </row>
    <row r="14" spans="1:6" ht="26.25" customHeight="1">
      <c r="A14" s="82" t="s">
        <v>525</v>
      </c>
      <c r="B14" s="82"/>
      <c r="C14" s="82"/>
      <c r="D14" s="83" t="s">
        <v>2576</v>
      </c>
      <c r="E14" s="84" t="s">
        <v>2577</v>
      </c>
    </row>
    <row r="15" spans="1:6">
      <c r="A15" s="82" t="s">
        <v>2578</v>
      </c>
      <c r="B15" s="82"/>
      <c r="C15" s="82"/>
      <c r="D15" s="83" t="s">
        <v>2579</v>
      </c>
      <c r="E15" s="84"/>
    </row>
    <row r="16" spans="1:6" ht="26.25" customHeight="1">
      <c r="A16" s="82" t="s">
        <v>2580</v>
      </c>
      <c r="B16" s="82"/>
      <c r="C16" s="82" t="s">
        <v>2581</v>
      </c>
      <c r="D16" s="83"/>
      <c r="E16" s="84"/>
    </row>
    <row r="17" spans="1:5" ht="26.25" customHeight="1">
      <c r="A17" s="82" t="s">
        <v>2582</v>
      </c>
      <c r="B17" s="82"/>
      <c r="C17" s="82"/>
      <c r="D17" s="83" t="s">
        <v>2583</v>
      </c>
      <c r="E17" s="84"/>
    </row>
    <row r="18" spans="1:5">
      <c r="A18" s="82" t="s">
        <v>2584</v>
      </c>
      <c r="B18" s="82"/>
      <c r="C18" s="82"/>
      <c r="D18" s="83" t="s">
        <v>2585</v>
      </c>
      <c r="E18" s="84"/>
    </row>
    <row r="19" spans="1:5" ht="39" customHeight="1">
      <c r="A19" s="82" t="s">
        <v>2586</v>
      </c>
      <c r="B19" s="82"/>
      <c r="C19" s="82"/>
      <c r="D19" s="83" t="s">
        <v>2587</v>
      </c>
      <c r="E19" s="84"/>
    </row>
    <row r="20" spans="1:5" ht="39" customHeight="1">
      <c r="A20" s="82" t="s">
        <v>2588</v>
      </c>
      <c r="B20" s="82"/>
      <c r="C20" s="82"/>
      <c r="D20" s="83" t="s">
        <v>2589</v>
      </c>
      <c r="E20" s="84"/>
    </row>
    <row r="21" spans="1:5">
      <c r="A21" s="82" t="s">
        <v>2590</v>
      </c>
      <c r="B21" s="82"/>
      <c r="C21" s="82"/>
      <c r="D21" s="83" t="s">
        <v>2591</v>
      </c>
      <c r="E21" s="84"/>
    </row>
    <row r="22" spans="1:5" ht="26.25" customHeight="1">
      <c r="A22" s="82" t="s">
        <v>526</v>
      </c>
      <c r="B22" s="82"/>
      <c r="C22" s="82" t="s">
        <v>527</v>
      </c>
      <c r="D22" s="83"/>
      <c r="E22" s="84" t="s">
        <v>529</v>
      </c>
    </row>
    <row r="23" spans="1:5" ht="26.25" customHeight="1">
      <c r="A23" s="82" t="s">
        <v>528</v>
      </c>
      <c r="B23" s="82"/>
      <c r="C23" s="82"/>
      <c r="D23" s="83" t="s">
        <v>2592</v>
      </c>
      <c r="E23" s="84" t="s">
        <v>92</v>
      </c>
    </row>
    <row r="24" spans="1:5" ht="26.25" customHeight="1">
      <c r="A24" s="82" t="s">
        <v>530</v>
      </c>
      <c r="B24" s="82"/>
      <c r="C24" s="82"/>
      <c r="D24" s="83" t="s">
        <v>2593</v>
      </c>
      <c r="E24" s="84" t="s">
        <v>90</v>
      </c>
    </row>
    <row r="25" spans="1:5" ht="26.25" customHeight="1">
      <c r="A25" s="82" t="s">
        <v>2594</v>
      </c>
      <c r="B25" s="82"/>
      <c r="C25" s="82"/>
      <c r="D25" s="83" t="s">
        <v>2595</v>
      </c>
      <c r="E25" s="84"/>
    </row>
    <row r="26" spans="1:5">
      <c r="A26" s="82" t="s">
        <v>2596</v>
      </c>
      <c r="B26" s="82"/>
      <c r="C26" s="82"/>
      <c r="D26" s="83" t="s">
        <v>2597</v>
      </c>
      <c r="E26" s="84"/>
    </row>
    <row r="27" spans="1:5">
      <c r="A27" s="82" t="s">
        <v>2598</v>
      </c>
      <c r="B27" s="82"/>
      <c r="C27" s="82"/>
      <c r="D27" s="83" t="s">
        <v>2599</v>
      </c>
      <c r="E27" s="84"/>
    </row>
    <row r="28" spans="1:5" ht="51.75" customHeight="1">
      <c r="A28" s="82" t="s">
        <v>2600</v>
      </c>
      <c r="B28" s="82"/>
      <c r="C28" s="82"/>
      <c r="D28" s="83" t="s">
        <v>2601</v>
      </c>
      <c r="E28" s="84"/>
    </row>
    <row r="29" spans="1:5" ht="26.25" customHeight="1">
      <c r="A29" s="82" t="s">
        <v>2602</v>
      </c>
      <c r="B29" s="82"/>
      <c r="C29" s="82"/>
      <c r="D29" s="83" t="s">
        <v>2603</v>
      </c>
      <c r="E29" s="84"/>
    </row>
    <row r="30" spans="1:5">
      <c r="A30" s="82" t="s">
        <v>531</v>
      </c>
      <c r="B30" s="82"/>
      <c r="C30" s="82" t="s">
        <v>532</v>
      </c>
      <c r="D30" s="83"/>
      <c r="E30" s="84"/>
    </row>
    <row r="31" spans="1:5">
      <c r="A31" s="82" t="s">
        <v>2604</v>
      </c>
      <c r="B31" s="82"/>
      <c r="C31" s="82"/>
      <c r="D31" s="83" t="s">
        <v>2605</v>
      </c>
      <c r="E31" s="84"/>
    </row>
    <row r="32" spans="1:5" ht="26.25" customHeight="1">
      <c r="A32" s="82" t="s">
        <v>533</v>
      </c>
      <c r="B32" s="82"/>
      <c r="C32" s="82"/>
      <c r="D32" s="83" t="s">
        <v>2606</v>
      </c>
      <c r="E32" s="84" t="s">
        <v>534</v>
      </c>
    </row>
    <row r="33" spans="1:5" ht="41.4">
      <c r="A33" s="82" t="s">
        <v>535</v>
      </c>
      <c r="B33" s="82"/>
      <c r="C33" s="82"/>
      <c r="D33" s="83" t="s">
        <v>2607</v>
      </c>
      <c r="E33" s="84" t="s">
        <v>536</v>
      </c>
    </row>
    <row r="34" spans="1:5" ht="102.75" customHeight="1">
      <c r="A34" s="82" t="s">
        <v>2608</v>
      </c>
      <c r="B34" s="82"/>
      <c r="C34" s="82"/>
      <c r="D34" s="83" t="s">
        <v>2609</v>
      </c>
      <c r="E34" s="84"/>
    </row>
    <row r="35" spans="1:5" ht="26.25" customHeight="1">
      <c r="A35" s="82" t="s">
        <v>2610</v>
      </c>
      <c r="B35" s="82"/>
      <c r="C35" s="82"/>
      <c r="D35" s="83" t="s">
        <v>2611</v>
      </c>
      <c r="E35" s="84"/>
    </row>
    <row r="36" spans="1:5" ht="39" customHeight="1">
      <c r="A36" s="82" t="s">
        <v>537</v>
      </c>
      <c r="B36" s="82"/>
      <c r="C36" s="82" t="s">
        <v>538</v>
      </c>
      <c r="D36" s="83"/>
      <c r="E36" s="84"/>
    </row>
    <row r="37" spans="1:5" ht="27.6">
      <c r="A37" s="82" t="s">
        <v>539</v>
      </c>
      <c r="B37" s="82"/>
      <c r="C37" s="82"/>
      <c r="D37" s="83" t="s">
        <v>2612</v>
      </c>
      <c r="E37" s="84" t="s">
        <v>84</v>
      </c>
    </row>
    <row r="38" spans="1:5" ht="39" customHeight="1">
      <c r="A38" s="82" t="s">
        <v>540</v>
      </c>
      <c r="B38" s="82"/>
      <c r="C38" s="82"/>
      <c r="D38" s="83" t="s">
        <v>2613</v>
      </c>
      <c r="E38" s="84" t="s">
        <v>86</v>
      </c>
    </row>
    <row r="39" spans="1:5" ht="26.25" customHeight="1">
      <c r="A39" s="82" t="s">
        <v>541</v>
      </c>
      <c r="B39" s="82"/>
      <c r="C39" s="82"/>
      <c r="D39" s="83" t="s">
        <v>2614</v>
      </c>
      <c r="E39" s="84" t="s">
        <v>88</v>
      </c>
    </row>
    <row r="40" spans="1:5" ht="39" customHeight="1">
      <c r="A40" s="82" t="s">
        <v>542</v>
      </c>
      <c r="B40" s="82"/>
      <c r="C40" s="82"/>
      <c r="D40" s="83" t="s">
        <v>2615</v>
      </c>
      <c r="E40" s="84" t="s">
        <v>543</v>
      </c>
    </row>
    <row r="41" spans="1:5">
      <c r="A41" s="82" t="s">
        <v>2616</v>
      </c>
      <c r="B41" s="82"/>
      <c r="C41" s="82"/>
      <c r="D41" s="83" t="s">
        <v>2617</v>
      </c>
      <c r="E41" s="84"/>
    </row>
    <row r="42" spans="1:5" ht="39" customHeight="1">
      <c r="A42" s="82" t="s">
        <v>2618</v>
      </c>
      <c r="B42" s="82"/>
      <c r="C42" s="82"/>
      <c r="D42" s="83" t="s">
        <v>2619</v>
      </c>
      <c r="E42" s="84"/>
    </row>
    <row r="43" spans="1:5">
      <c r="A43" s="82" t="s">
        <v>544</v>
      </c>
      <c r="B43" s="82"/>
      <c r="C43" s="82" t="s">
        <v>545</v>
      </c>
      <c r="D43" s="83"/>
      <c r="E43" s="84"/>
    </row>
    <row r="44" spans="1:5">
      <c r="A44" s="82" t="s">
        <v>546</v>
      </c>
      <c r="B44" s="82" t="s">
        <v>547</v>
      </c>
      <c r="C44" s="82"/>
      <c r="D44" s="83"/>
      <c r="E44" s="84"/>
    </row>
    <row r="45" spans="1:5" ht="55.2">
      <c r="A45" s="82" t="s">
        <v>548</v>
      </c>
      <c r="B45" s="82"/>
      <c r="C45" s="82" t="s">
        <v>2620</v>
      </c>
      <c r="D45" s="83"/>
      <c r="E45" s="84" t="s">
        <v>549</v>
      </c>
    </row>
    <row r="46" spans="1:5" ht="27.6">
      <c r="A46" s="82" t="s">
        <v>550</v>
      </c>
      <c r="B46" s="82"/>
      <c r="C46" s="82" t="s">
        <v>551</v>
      </c>
      <c r="D46" s="83"/>
      <c r="E46" s="84" t="s">
        <v>552</v>
      </c>
    </row>
    <row r="47" spans="1:5">
      <c r="A47" s="82" t="s">
        <v>2621</v>
      </c>
      <c r="B47" s="82"/>
      <c r="C47" s="82" t="s">
        <v>2622</v>
      </c>
      <c r="D47" s="83"/>
      <c r="E47" s="84"/>
    </row>
    <row r="48" spans="1:5">
      <c r="A48" s="82" t="s">
        <v>2623</v>
      </c>
      <c r="B48" s="82"/>
      <c r="C48" s="82"/>
      <c r="D48" s="83" t="s">
        <v>1012</v>
      </c>
      <c r="E48" s="84"/>
    </row>
    <row r="49" spans="1:5">
      <c r="A49" s="82" t="s">
        <v>2624</v>
      </c>
      <c r="B49" s="82"/>
      <c r="C49" s="82"/>
      <c r="D49" s="83" t="s">
        <v>2625</v>
      </c>
      <c r="E49" s="84"/>
    </row>
    <row r="50" spans="1:5" ht="26.25" customHeight="1">
      <c r="A50" s="82" t="s">
        <v>553</v>
      </c>
      <c r="B50" s="82"/>
      <c r="C50" s="82" t="s">
        <v>554</v>
      </c>
      <c r="D50" s="83"/>
      <c r="E50" s="84"/>
    </row>
    <row r="51" spans="1:5" ht="64.5" customHeight="1">
      <c r="A51" s="82" t="s">
        <v>555</v>
      </c>
      <c r="B51" s="82"/>
      <c r="C51" s="82"/>
      <c r="D51" s="83" t="s">
        <v>556</v>
      </c>
      <c r="E51" s="84" t="s">
        <v>557</v>
      </c>
    </row>
    <row r="52" spans="1:5" ht="27.6">
      <c r="A52" s="82" t="s">
        <v>558</v>
      </c>
      <c r="B52" s="82"/>
      <c r="C52" s="82"/>
      <c r="D52" s="83" t="s">
        <v>559</v>
      </c>
      <c r="E52" s="84" t="s">
        <v>560</v>
      </c>
    </row>
    <row r="53" spans="1:5">
      <c r="A53" s="82" t="s">
        <v>561</v>
      </c>
      <c r="B53" s="82"/>
      <c r="C53" s="82" t="s">
        <v>562</v>
      </c>
      <c r="D53" s="83"/>
      <c r="E53" s="84"/>
    </row>
    <row r="54" spans="1:5" ht="110.4">
      <c r="A54" s="82" t="s">
        <v>563</v>
      </c>
      <c r="B54" s="82"/>
      <c r="C54" s="82"/>
      <c r="D54" s="83" t="s">
        <v>564</v>
      </c>
      <c r="E54" s="84" t="s">
        <v>2626</v>
      </c>
    </row>
    <row r="55" spans="1:5" ht="27.6">
      <c r="A55" s="82" t="s">
        <v>565</v>
      </c>
      <c r="B55" s="82"/>
      <c r="C55" s="82"/>
      <c r="D55" s="83" t="s">
        <v>566</v>
      </c>
      <c r="E55" s="84" t="s">
        <v>567</v>
      </c>
    </row>
    <row r="56" spans="1:5" ht="41.4">
      <c r="A56" s="82" t="s">
        <v>568</v>
      </c>
      <c r="B56" s="82"/>
      <c r="C56" s="82"/>
      <c r="D56" s="83" t="s">
        <v>569</v>
      </c>
      <c r="E56" s="84" t="s">
        <v>570</v>
      </c>
    </row>
    <row r="57" spans="1:5">
      <c r="A57" s="82" t="s">
        <v>571</v>
      </c>
      <c r="B57" s="82"/>
      <c r="C57" s="82" t="s">
        <v>572</v>
      </c>
      <c r="D57" s="83"/>
      <c r="E57" s="84"/>
    </row>
    <row r="58" spans="1:5" ht="41.4">
      <c r="A58" s="82" t="s">
        <v>573</v>
      </c>
      <c r="B58" s="82"/>
      <c r="C58" s="82"/>
      <c r="D58" s="83" t="s">
        <v>2627</v>
      </c>
      <c r="E58" s="84" t="s">
        <v>574</v>
      </c>
    </row>
    <row r="59" spans="1:5" ht="27.6">
      <c r="A59" s="82" t="s">
        <v>575</v>
      </c>
      <c r="B59" s="82"/>
      <c r="C59" s="82"/>
      <c r="D59" s="83" t="s">
        <v>2628</v>
      </c>
      <c r="E59" s="84" t="s">
        <v>576</v>
      </c>
    </row>
    <row r="60" spans="1:5" ht="41.4">
      <c r="A60" s="82" t="s">
        <v>2629</v>
      </c>
      <c r="B60" s="82"/>
      <c r="C60" s="82" t="s">
        <v>2630</v>
      </c>
      <c r="D60" s="83"/>
      <c r="E60" s="84" t="s">
        <v>2631</v>
      </c>
    </row>
    <row r="61" spans="1:5">
      <c r="A61" s="82" t="s">
        <v>577</v>
      </c>
      <c r="B61" s="82"/>
      <c r="C61" s="82" t="s">
        <v>2632</v>
      </c>
      <c r="D61" s="83"/>
      <c r="E61" s="84"/>
    </row>
    <row r="62" spans="1:5" ht="41.4">
      <c r="A62" s="82" t="s">
        <v>578</v>
      </c>
      <c r="B62" s="82"/>
      <c r="C62" s="82"/>
      <c r="D62" s="83" t="s">
        <v>579</v>
      </c>
      <c r="E62" s="84" t="s">
        <v>580</v>
      </c>
    </row>
    <row r="63" spans="1:5">
      <c r="A63" s="82" t="s">
        <v>2633</v>
      </c>
      <c r="B63" s="82"/>
      <c r="C63" s="82"/>
      <c r="D63" s="83" t="s">
        <v>2634</v>
      </c>
      <c r="E63" s="84"/>
    </row>
    <row r="64" spans="1:5">
      <c r="A64" s="82" t="s">
        <v>581</v>
      </c>
      <c r="B64" s="82"/>
      <c r="C64" s="82" t="s">
        <v>582</v>
      </c>
      <c r="D64" s="83"/>
      <c r="E64" s="84"/>
    </row>
    <row r="65" spans="1:5">
      <c r="A65" s="82" t="s">
        <v>583</v>
      </c>
      <c r="B65" s="82"/>
      <c r="C65" s="82"/>
      <c r="D65" s="83" t="s">
        <v>2635</v>
      </c>
      <c r="E65" s="84"/>
    </row>
    <row r="66" spans="1:5">
      <c r="A66" s="82" t="s">
        <v>584</v>
      </c>
      <c r="B66" s="82"/>
      <c r="C66" s="82"/>
      <c r="D66" s="83" t="s">
        <v>2636</v>
      </c>
      <c r="E66" s="84"/>
    </row>
    <row r="67" spans="1:5">
      <c r="A67" s="82" t="s">
        <v>585</v>
      </c>
      <c r="B67" s="82"/>
      <c r="C67" s="82"/>
      <c r="D67" s="83" t="s">
        <v>2637</v>
      </c>
      <c r="E67" s="84"/>
    </row>
    <row r="68" spans="1:5">
      <c r="A68" s="82" t="s">
        <v>586</v>
      </c>
      <c r="B68" s="82"/>
      <c r="C68" s="82"/>
      <c r="D68" s="83" t="s">
        <v>2638</v>
      </c>
      <c r="E68" s="84" t="s">
        <v>587</v>
      </c>
    </row>
    <row r="69" spans="1:5">
      <c r="A69" s="82" t="s">
        <v>588</v>
      </c>
      <c r="B69" s="82"/>
      <c r="C69" s="82"/>
      <c r="D69" s="83" t="s">
        <v>2639</v>
      </c>
      <c r="E69" s="84"/>
    </row>
    <row r="70" spans="1:5">
      <c r="A70" s="82" t="s">
        <v>2640</v>
      </c>
      <c r="B70" s="82"/>
      <c r="C70" s="82"/>
      <c r="D70" s="83" t="s">
        <v>2641</v>
      </c>
      <c r="E70" s="84"/>
    </row>
    <row r="71" spans="1:5">
      <c r="A71" s="82" t="s">
        <v>2642</v>
      </c>
      <c r="B71" s="82"/>
      <c r="C71" s="82"/>
      <c r="D71" s="83" t="s">
        <v>2643</v>
      </c>
      <c r="E71" s="84"/>
    </row>
    <row r="72" spans="1:5">
      <c r="A72" s="82" t="s">
        <v>589</v>
      </c>
      <c r="B72" s="82"/>
      <c r="C72" s="82" t="s">
        <v>590</v>
      </c>
      <c r="D72" s="83"/>
      <c r="E72" s="84"/>
    </row>
    <row r="73" spans="1:5" ht="27.6">
      <c r="A73" s="82" t="s">
        <v>591</v>
      </c>
      <c r="B73" s="82"/>
      <c r="C73" s="82"/>
      <c r="D73" s="83" t="s">
        <v>592</v>
      </c>
      <c r="E73" s="84" t="s">
        <v>593</v>
      </c>
    </row>
    <row r="74" spans="1:5" ht="69">
      <c r="A74" s="82" t="s">
        <v>594</v>
      </c>
      <c r="B74" s="82"/>
      <c r="C74" s="82"/>
      <c r="D74" s="83" t="s">
        <v>595</v>
      </c>
      <c r="E74" s="84" t="s">
        <v>2644</v>
      </c>
    </row>
    <row r="75" spans="1:5">
      <c r="A75" s="82" t="s">
        <v>596</v>
      </c>
      <c r="B75" s="82"/>
      <c r="C75" s="82"/>
      <c r="D75" s="83" t="s">
        <v>597</v>
      </c>
      <c r="E75" s="84"/>
    </row>
    <row r="76" spans="1:5">
      <c r="A76" s="82" t="s">
        <v>598</v>
      </c>
      <c r="B76" s="82"/>
      <c r="C76" s="82"/>
      <c r="D76" s="83" t="s">
        <v>2645</v>
      </c>
      <c r="E76" s="84"/>
    </row>
    <row r="77" spans="1:5">
      <c r="A77" s="82" t="s">
        <v>599</v>
      </c>
      <c r="B77" s="82"/>
      <c r="C77" s="82"/>
      <c r="D77" s="83" t="s">
        <v>2646</v>
      </c>
      <c r="E77" s="84"/>
    </row>
    <row r="78" spans="1:5">
      <c r="A78" s="82" t="s">
        <v>600</v>
      </c>
      <c r="B78" s="82"/>
      <c r="C78" s="82"/>
      <c r="D78" s="83" t="s">
        <v>601</v>
      </c>
      <c r="E78" s="84"/>
    </row>
    <row r="79" spans="1:5">
      <c r="A79" s="82" t="s">
        <v>602</v>
      </c>
      <c r="B79" s="82"/>
      <c r="C79" s="82"/>
      <c r="D79" s="83" t="s">
        <v>603</v>
      </c>
      <c r="E79" s="84"/>
    </row>
    <row r="80" spans="1:5">
      <c r="A80" s="82" t="s">
        <v>604</v>
      </c>
      <c r="B80" s="82"/>
      <c r="C80" s="82"/>
      <c r="D80" s="83" t="s">
        <v>605</v>
      </c>
      <c r="E80" s="84"/>
    </row>
    <row r="81" spans="1:5">
      <c r="A81" s="82" t="s">
        <v>606</v>
      </c>
      <c r="B81" s="82"/>
      <c r="C81" s="82" t="s">
        <v>607</v>
      </c>
      <c r="D81" s="83"/>
      <c r="E81" s="84"/>
    </row>
    <row r="82" spans="1:5" ht="39" customHeight="1">
      <c r="A82" s="82" t="s">
        <v>608</v>
      </c>
      <c r="B82" s="82"/>
      <c r="C82" s="82"/>
      <c r="D82" s="83" t="s">
        <v>609</v>
      </c>
      <c r="E82" s="84"/>
    </row>
    <row r="83" spans="1:5">
      <c r="A83" s="82" t="s">
        <v>610</v>
      </c>
      <c r="B83" s="82"/>
      <c r="C83" s="82"/>
      <c r="D83" s="83" t="s">
        <v>611</v>
      </c>
      <c r="E83" s="84"/>
    </row>
    <row r="84" spans="1:5" ht="128.25" customHeight="1">
      <c r="A84" s="82" t="s">
        <v>612</v>
      </c>
      <c r="B84" s="82"/>
      <c r="C84" s="82"/>
      <c r="D84" s="83" t="s">
        <v>613</v>
      </c>
      <c r="E84" s="84"/>
    </row>
    <row r="85" spans="1:5">
      <c r="A85" s="82" t="s">
        <v>614</v>
      </c>
      <c r="B85" s="82"/>
      <c r="C85" s="82"/>
      <c r="D85" s="83" t="s">
        <v>615</v>
      </c>
      <c r="E85" s="84"/>
    </row>
    <row r="86" spans="1:5" ht="51.75" customHeight="1">
      <c r="A86" s="82" t="s">
        <v>616</v>
      </c>
      <c r="B86" s="82"/>
      <c r="C86" s="82"/>
      <c r="D86" s="83" t="s">
        <v>617</v>
      </c>
      <c r="E86" s="84"/>
    </row>
    <row r="87" spans="1:5" ht="26.25" customHeight="1">
      <c r="A87" s="82" t="s">
        <v>618</v>
      </c>
      <c r="B87" s="82"/>
      <c r="C87" s="82"/>
      <c r="D87" s="83" t="s">
        <v>2647</v>
      </c>
      <c r="E87" s="84"/>
    </row>
    <row r="88" spans="1:5">
      <c r="A88" s="82" t="s">
        <v>619</v>
      </c>
      <c r="B88" s="82"/>
      <c r="C88" s="82"/>
      <c r="D88" s="83" t="s">
        <v>620</v>
      </c>
      <c r="E88" s="84"/>
    </row>
    <row r="89" spans="1:5">
      <c r="A89" s="82" t="s">
        <v>621</v>
      </c>
      <c r="B89" s="82"/>
      <c r="C89" s="82" t="s">
        <v>2648</v>
      </c>
      <c r="D89" s="83"/>
      <c r="E89" s="84"/>
    </row>
    <row r="90" spans="1:5" ht="26.25" customHeight="1">
      <c r="A90" s="82" t="s">
        <v>2649</v>
      </c>
      <c r="B90" s="82"/>
      <c r="C90" s="82"/>
      <c r="D90" s="83" t="s">
        <v>2650</v>
      </c>
      <c r="E90" s="84"/>
    </row>
    <row r="91" spans="1:5">
      <c r="A91" s="82" t="s">
        <v>2651</v>
      </c>
      <c r="B91" s="82"/>
      <c r="C91" s="82"/>
      <c r="D91" s="83" t="s">
        <v>622</v>
      </c>
      <c r="E91" s="84"/>
    </row>
    <row r="92" spans="1:5">
      <c r="A92" s="82" t="s">
        <v>2652</v>
      </c>
      <c r="B92" s="82"/>
      <c r="C92" s="82"/>
      <c r="D92" s="83" t="s">
        <v>2653</v>
      </c>
      <c r="E92" s="84"/>
    </row>
    <row r="93" spans="1:5">
      <c r="A93" s="82" t="s">
        <v>2654</v>
      </c>
      <c r="B93" s="82"/>
      <c r="C93" s="82"/>
      <c r="D93" s="83" t="s">
        <v>2655</v>
      </c>
      <c r="E93" s="84"/>
    </row>
    <row r="94" spans="1:5">
      <c r="A94" s="82" t="s">
        <v>623</v>
      </c>
      <c r="B94" s="82"/>
      <c r="C94" s="82" t="s">
        <v>624</v>
      </c>
      <c r="D94" s="83"/>
      <c r="E94" s="84"/>
    </row>
    <row r="95" spans="1:5">
      <c r="A95" s="82" t="s">
        <v>625</v>
      </c>
      <c r="B95" s="82"/>
      <c r="C95" s="82"/>
      <c r="D95" s="83" t="s">
        <v>626</v>
      </c>
      <c r="E95" s="84" t="s">
        <v>2656</v>
      </c>
    </row>
    <row r="96" spans="1:5">
      <c r="A96" s="82" t="s">
        <v>627</v>
      </c>
      <c r="B96" s="82"/>
      <c r="C96" s="82"/>
      <c r="D96" s="83" t="s">
        <v>628</v>
      </c>
      <c r="E96" s="84" t="s">
        <v>629</v>
      </c>
    </row>
    <row r="97" spans="1:5">
      <c r="A97" s="82" t="s">
        <v>630</v>
      </c>
      <c r="B97" s="82"/>
      <c r="C97" s="82" t="s">
        <v>2657</v>
      </c>
      <c r="D97" s="83"/>
      <c r="E97" s="84"/>
    </row>
    <row r="98" spans="1:5" ht="26.25" customHeight="1">
      <c r="A98" s="82" t="s">
        <v>2658</v>
      </c>
      <c r="B98" s="82"/>
      <c r="C98" s="82"/>
      <c r="D98" s="83" t="s">
        <v>2659</v>
      </c>
      <c r="E98" s="84"/>
    </row>
    <row r="99" spans="1:5">
      <c r="A99" s="82" t="s">
        <v>2660</v>
      </c>
      <c r="B99" s="82"/>
      <c r="C99" s="82"/>
      <c r="D99" s="83" t="s">
        <v>2661</v>
      </c>
      <c r="E99" s="84"/>
    </row>
    <row r="100" spans="1:5" ht="26.25" customHeight="1">
      <c r="A100" s="82" t="s">
        <v>2662</v>
      </c>
      <c r="B100" s="82"/>
      <c r="C100" s="82"/>
      <c r="D100" s="83" t="s">
        <v>2663</v>
      </c>
      <c r="E100" s="84"/>
    </row>
    <row r="101" spans="1:5">
      <c r="A101" s="82" t="s">
        <v>2664</v>
      </c>
      <c r="B101" s="82"/>
      <c r="C101" s="82"/>
      <c r="D101" s="83" t="s">
        <v>2665</v>
      </c>
      <c r="E101" s="84"/>
    </row>
    <row r="102" spans="1:5">
      <c r="A102" s="82" t="s">
        <v>2666</v>
      </c>
      <c r="B102" s="82"/>
      <c r="C102" s="82"/>
      <c r="D102" s="83" t="s">
        <v>2667</v>
      </c>
      <c r="E102" s="84"/>
    </row>
    <row r="103" spans="1:5">
      <c r="A103" s="82" t="s">
        <v>2668</v>
      </c>
      <c r="B103" s="82"/>
      <c r="C103" s="82"/>
      <c r="D103" s="83" t="s">
        <v>2669</v>
      </c>
      <c r="E103" s="84"/>
    </row>
    <row r="104" spans="1:5">
      <c r="A104" s="82" t="s">
        <v>2670</v>
      </c>
      <c r="B104" s="82"/>
      <c r="C104" s="82"/>
      <c r="D104" s="83" t="s">
        <v>2671</v>
      </c>
      <c r="E104" s="84"/>
    </row>
    <row r="105" spans="1:5" ht="27.6">
      <c r="A105" s="82" t="s">
        <v>631</v>
      </c>
      <c r="B105" s="82"/>
      <c r="C105" s="82" t="s">
        <v>2672</v>
      </c>
      <c r="D105" s="83"/>
      <c r="E105" s="84" t="s">
        <v>2673</v>
      </c>
    </row>
    <row r="106" spans="1:5">
      <c r="A106" s="82" t="s">
        <v>632</v>
      </c>
      <c r="B106" s="82"/>
      <c r="C106" s="82"/>
      <c r="D106" s="83" t="s">
        <v>2674</v>
      </c>
      <c r="E106" s="84"/>
    </row>
    <row r="107" spans="1:5">
      <c r="A107" s="82" t="s">
        <v>633</v>
      </c>
      <c r="B107" s="82"/>
      <c r="C107" s="82"/>
      <c r="D107" s="83" t="s">
        <v>2675</v>
      </c>
      <c r="E107" s="84"/>
    </row>
    <row r="108" spans="1:5">
      <c r="A108" s="82" t="s">
        <v>634</v>
      </c>
      <c r="B108" s="82"/>
      <c r="C108" s="82"/>
      <c r="D108" s="83" t="s">
        <v>2676</v>
      </c>
      <c r="E108" s="84"/>
    </row>
    <row r="109" spans="1:5">
      <c r="A109" s="82" t="s">
        <v>635</v>
      </c>
      <c r="B109" s="82"/>
      <c r="C109" s="82"/>
      <c r="D109" s="83" t="s">
        <v>2677</v>
      </c>
      <c r="E109" s="84"/>
    </row>
    <row r="110" spans="1:5" ht="26.25" customHeight="1">
      <c r="A110" s="82" t="s">
        <v>636</v>
      </c>
      <c r="B110" s="82"/>
      <c r="C110" s="82"/>
      <c r="D110" s="83" t="s">
        <v>2678</v>
      </c>
      <c r="E110" s="84" t="s">
        <v>2679</v>
      </c>
    </row>
    <row r="111" spans="1:5" ht="26.25" customHeight="1">
      <c r="A111" s="82" t="s">
        <v>637</v>
      </c>
      <c r="B111" s="82"/>
      <c r="C111" s="82"/>
      <c r="D111" s="83" t="s">
        <v>2680</v>
      </c>
      <c r="E111" s="84" t="s">
        <v>2681</v>
      </c>
    </row>
    <row r="112" spans="1:5">
      <c r="A112" s="82" t="s">
        <v>638</v>
      </c>
      <c r="B112" s="82"/>
      <c r="C112" s="82"/>
      <c r="D112" s="83" t="s">
        <v>2682</v>
      </c>
      <c r="E112" s="84"/>
    </row>
    <row r="113" spans="1:5">
      <c r="A113" s="82" t="s">
        <v>639</v>
      </c>
      <c r="B113" s="82"/>
      <c r="C113" s="82"/>
      <c r="D113" s="83" t="s">
        <v>640</v>
      </c>
      <c r="E113" s="84"/>
    </row>
    <row r="114" spans="1:5">
      <c r="A114" s="82" t="s">
        <v>2683</v>
      </c>
      <c r="B114" s="82"/>
      <c r="C114" s="82"/>
      <c r="D114" s="83" t="s">
        <v>2684</v>
      </c>
      <c r="E114" s="84"/>
    </row>
    <row r="115" spans="1:5">
      <c r="A115" s="82" t="s">
        <v>641</v>
      </c>
      <c r="B115" s="82"/>
      <c r="C115" s="82" t="s">
        <v>642</v>
      </c>
      <c r="D115" s="83"/>
      <c r="E115" s="84"/>
    </row>
    <row r="116" spans="1:5">
      <c r="A116" s="82" t="s">
        <v>643</v>
      </c>
      <c r="B116" s="82"/>
      <c r="C116" s="82"/>
      <c r="D116" s="83" t="s">
        <v>644</v>
      </c>
      <c r="E116" s="84"/>
    </row>
    <row r="117" spans="1:5" ht="41.4">
      <c r="A117" s="82" t="s">
        <v>645</v>
      </c>
      <c r="B117" s="82"/>
      <c r="C117" s="82"/>
      <c r="D117" s="83" t="s">
        <v>646</v>
      </c>
      <c r="E117" s="84" t="s">
        <v>647</v>
      </c>
    </row>
    <row r="118" spans="1:5">
      <c r="A118" s="82" t="s">
        <v>648</v>
      </c>
      <c r="B118" s="82"/>
      <c r="C118" s="82"/>
      <c r="D118" s="83" t="s">
        <v>649</v>
      </c>
      <c r="E118" s="84"/>
    </row>
    <row r="119" spans="1:5" ht="138">
      <c r="A119" s="82" t="s">
        <v>650</v>
      </c>
      <c r="B119" s="82"/>
      <c r="C119" s="82"/>
      <c r="D119" s="83" t="s">
        <v>651</v>
      </c>
      <c r="E119" s="84" t="s">
        <v>652</v>
      </c>
    </row>
    <row r="120" spans="1:5">
      <c r="A120" s="82" t="s">
        <v>653</v>
      </c>
      <c r="B120" s="82"/>
      <c r="C120" s="82" t="s">
        <v>654</v>
      </c>
      <c r="D120" s="83"/>
      <c r="E120" s="84"/>
    </row>
    <row r="121" spans="1:5" ht="26.25" customHeight="1">
      <c r="A121" s="82" t="s">
        <v>655</v>
      </c>
      <c r="B121" s="82"/>
      <c r="C121" s="82"/>
      <c r="D121" s="83" t="s">
        <v>656</v>
      </c>
      <c r="E121" s="84" t="s">
        <v>2685</v>
      </c>
    </row>
    <row r="122" spans="1:5" ht="26.25" customHeight="1">
      <c r="A122" s="82" t="s">
        <v>657</v>
      </c>
      <c r="B122" s="82"/>
      <c r="C122" s="82"/>
      <c r="D122" s="83" t="s">
        <v>658</v>
      </c>
      <c r="E122" s="84" t="s">
        <v>659</v>
      </c>
    </row>
    <row r="123" spans="1:5" ht="39" customHeight="1">
      <c r="A123" s="82" t="s">
        <v>660</v>
      </c>
      <c r="B123" s="82"/>
      <c r="C123" s="82"/>
      <c r="D123" s="83" t="s">
        <v>661</v>
      </c>
      <c r="E123" s="84" t="s">
        <v>662</v>
      </c>
    </row>
    <row r="124" spans="1:5">
      <c r="A124" s="82" t="s">
        <v>663</v>
      </c>
      <c r="B124" s="82"/>
      <c r="C124" s="82"/>
      <c r="D124" s="83" t="s">
        <v>664</v>
      </c>
      <c r="E124" s="84"/>
    </row>
    <row r="125" spans="1:5" ht="27.6">
      <c r="A125" s="82" t="s">
        <v>665</v>
      </c>
      <c r="B125" s="82"/>
      <c r="C125" s="82"/>
      <c r="D125" s="83" t="s">
        <v>2686</v>
      </c>
      <c r="E125" s="84" t="s">
        <v>666</v>
      </c>
    </row>
    <row r="126" spans="1:5" ht="39" customHeight="1">
      <c r="A126" s="82" t="s">
        <v>667</v>
      </c>
      <c r="B126" s="82"/>
      <c r="C126" s="82"/>
      <c r="D126" s="83" t="s">
        <v>668</v>
      </c>
      <c r="E126" s="84" t="s">
        <v>669</v>
      </c>
    </row>
    <row r="127" spans="1:5">
      <c r="A127" s="82" t="s">
        <v>2687</v>
      </c>
      <c r="B127" s="82"/>
      <c r="C127" s="82"/>
      <c r="D127" s="83" t="s">
        <v>2688</v>
      </c>
      <c r="E127" s="84"/>
    </row>
    <row r="128" spans="1:5">
      <c r="A128" s="82" t="s">
        <v>2689</v>
      </c>
      <c r="B128" s="82"/>
      <c r="C128" s="82"/>
      <c r="D128" s="83" t="s">
        <v>2690</v>
      </c>
      <c r="E128" s="84"/>
    </row>
    <row r="129" spans="1:5">
      <c r="A129" s="82" t="s">
        <v>670</v>
      </c>
      <c r="B129" s="82"/>
      <c r="C129" s="82" t="s">
        <v>671</v>
      </c>
      <c r="D129" s="83"/>
      <c r="E129" s="84"/>
    </row>
    <row r="130" spans="1:5">
      <c r="A130" s="82" t="s">
        <v>672</v>
      </c>
      <c r="B130" s="82"/>
      <c r="C130" s="82"/>
      <c r="D130" s="83" t="s">
        <v>673</v>
      </c>
      <c r="E130" s="84"/>
    </row>
    <row r="131" spans="1:5" ht="39" customHeight="1">
      <c r="A131" s="82" t="s">
        <v>674</v>
      </c>
      <c r="B131" s="82"/>
      <c r="C131" s="82"/>
      <c r="D131" s="83" t="s">
        <v>2691</v>
      </c>
      <c r="E131" s="84"/>
    </row>
    <row r="132" spans="1:5">
      <c r="A132" s="82" t="s">
        <v>2692</v>
      </c>
      <c r="B132" s="82"/>
      <c r="C132" s="82" t="s">
        <v>864</v>
      </c>
      <c r="D132" s="83"/>
      <c r="E132" s="84"/>
    </row>
    <row r="133" spans="1:5">
      <c r="A133" s="82" t="s">
        <v>2693</v>
      </c>
      <c r="B133" s="82"/>
      <c r="C133" s="82"/>
      <c r="D133" s="83" t="s">
        <v>865</v>
      </c>
      <c r="E133" s="84"/>
    </row>
    <row r="134" spans="1:5" ht="27.6">
      <c r="A134" s="82" t="s">
        <v>2694</v>
      </c>
      <c r="B134" s="82"/>
      <c r="C134" s="82"/>
      <c r="D134" s="83" t="s">
        <v>2695</v>
      </c>
      <c r="E134" s="84" t="s">
        <v>866</v>
      </c>
    </row>
    <row r="135" spans="1:5">
      <c r="A135" s="82" t="s">
        <v>2696</v>
      </c>
      <c r="B135" s="82"/>
      <c r="C135" s="82"/>
      <c r="D135" s="83" t="s">
        <v>867</v>
      </c>
      <c r="E135" s="84"/>
    </row>
    <row r="136" spans="1:5" ht="27.6">
      <c r="A136" s="82" t="s">
        <v>2697</v>
      </c>
      <c r="B136" s="82"/>
      <c r="C136" s="82"/>
      <c r="D136" s="83" t="s">
        <v>2698</v>
      </c>
      <c r="E136" s="84" t="s">
        <v>868</v>
      </c>
    </row>
    <row r="137" spans="1:5">
      <c r="A137" s="82" t="s">
        <v>2699</v>
      </c>
      <c r="B137" s="82"/>
      <c r="C137" s="82"/>
      <c r="D137" s="83" t="s">
        <v>2700</v>
      </c>
      <c r="E137" s="84" t="s">
        <v>869</v>
      </c>
    </row>
    <row r="138" spans="1:5">
      <c r="A138" s="82" t="s">
        <v>675</v>
      </c>
      <c r="B138" s="82" t="s">
        <v>676</v>
      </c>
      <c r="C138" s="82"/>
      <c r="D138" s="83"/>
      <c r="E138" s="84"/>
    </row>
    <row r="139" spans="1:5">
      <c r="A139" s="82" t="s">
        <v>677</v>
      </c>
      <c r="B139" s="82"/>
      <c r="C139" s="82" t="s">
        <v>678</v>
      </c>
      <c r="D139" s="83"/>
      <c r="E139" s="84"/>
    </row>
    <row r="140" spans="1:5">
      <c r="A140" s="82" t="s">
        <v>679</v>
      </c>
      <c r="B140" s="82"/>
      <c r="C140" s="82"/>
      <c r="D140" s="83" t="s">
        <v>680</v>
      </c>
      <c r="E140" s="84" t="s">
        <v>681</v>
      </c>
    </row>
    <row r="141" spans="1:5">
      <c r="A141" s="82" t="s">
        <v>682</v>
      </c>
      <c r="B141" s="82"/>
      <c r="C141" s="82"/>
      <c r="D141" s="83" t="s">
        <v>683</v>
      </c>
      <c r="E141" s="84"/>
    </row>
    <row r="142" spans="1:5" ht="26.25" customHeight="1">
      <c r="A142" s="82" t="s">
        <v>684</v>
      </c>
      <c r="B142" s="82"/>
      <c r="C142" s="82"/>
      <c r="D142" s="83" t="s">
        <v>2701</v>
      </c>
      <c r="E142" s="84"/>
    </row>
    <row r="143" spans="1:5">
      <c r="A143" s="82" t="s">
        <v>685</v>
      </c>
      <c r="B143" s="82"/>
      <c r="C143" s="82"/>
      <c r="D143" s="83" t="s">
        <v>2702</v>
      </c>
      <c r="E143" s="84"/>
    </row>
    <row r="144" spans="1:5" ht="26.25" customHeight="1">
      <c r="A144" s="82" t="s">
        <v>686</v>
      </c>
      <c r="B144" s="82"/>
      <c r="C144" s="82"/>
      <c r="D144" s="83" t="s">
        <v>687</v>
      </c>
      <c r="E144" s="84"/>
    </row>
    <row r="145" spans="1:5" ht="26.25" customHeight="1">
      <c r="A145" s="82" t="s">
        <v>688</v>
      </c>
      <c r="B145" s="82"/>
      <c r="C145" s="82" t="s">
        <v>689</v>
      </c>
      <c r="D145" s="83"/>
      <c r="E145" s="84"/>
    </row>
    <row r="146" spans="1:5" ht="26.25" customHeight="1">
      <c r="A146" s="82" t="s">
        <v>690</v>
      </c>
      <c r="B146" s="82"/>
      <c r="C146" s="82"/>
      <c r="D146" s="83" t="s">
        <v>691</v>
      </c>
      <c r="E146" s="84" t="s">
        <v>692</v>
      </c>
    </row>
    <row r="147" spans="1:5" ht="26.25" customHeight="1">
      <c r="A147" s="82" t="s">
        <v>693</v>
      </c>
      <c r="B147" s="82"/>
      <c r="C147" s="82"/>
      <c r="D147" s="83" t="s">
        <v>694</v>
      </c>
      <c r="E147" s="84" t="s">
        <v>695</v>
      </c>
    </row>
    <row r="148" spans="1:5">
      <c r="A148" s="82" t="s">
        <v>696</v>
      </c>
      <c r="B148" s="82"/>
      <c r="C148" s="82"/>
      <c r="D148" s="83" t="s">
        <v>697</v>
      </c>
      <c r="E148" s="84"/>
    </row>
    <row r="149" spans="1:5" ht="26.25" customHeight="1">
      <c r="A149" s="82" t="s">
        <v>698</v>
      </c>
      <c r="B149" s="82"/>
      <c r="C149" s="82"/>
      <c r="D149" s="83" t="s">
        <v>699</v>
      </c>
      <c r="E149" s="84" t="s">
        <v>700</v>
      </c>
    </row>
    <row r="150" spans="1:5" ht="39" customHeight="1">
      <c r="A150" s="82" t="s">
        <v>701</v>
      </c>
      <c r="B150" s="82"/>
      <c r="C150" s="82"/>
      <c r="D150" s="83" t="s">
        <v>702</v>
      </c>
      <c r="E150" s="84"/>
    </row>
    <row r="151" spans="1:5" ht="39" customHeight="1">
      <c r="A151" s="82" t="s">
        <v>703</v>
      </c>
      <c r="B151" s="82"/>
      <c r="C151" s="82"/>
      <c r="D151" s="83" t="s">
        <v>704</v>
      </c>
      <c r="E151" s="84"/>
    </row>
    <row r="152" spans="1:5" ht="26.25" customHeight="1">
      <c r="A152" s="82" t="s">
        <v>705</v>
      </c>
      <c r="B152" s="82"/>
      <c r="C152" s="82"/>
      <c r="D152" s="83" t="s">
        <v>706</v>
      </c>
      <c r="E152" s="84" t="s">
        <v>707</v>
      </c>
    </row>
    <row r="153" spans="1:5" ht="26.25" customHeight="1">
      <c r="A153" s="82" t="s">
        <v>708</v>
      </c>
      <c r="B153" s="82"/>
      <c r="C153" s="82"/>
      <c r="D153" s="83" t="s">
        <v>709</v>
      </c>
      <c r="E153" s="84"/>
    </row>
    <row r="154" spans="1:5" ht="26.25" customHeight="1">
      <c r="A154" s="82" t="s">
        <v>710</v>
      </c>
      <c r="B154" s="82"/>
      <c r="C154" s="82"/>
      <c r="D154" s="83" t="s">
        <v>711</v>
      </c>
      <c r="E154" s="84"/>
    </row>
    <row r="155" spans="1:5">
      <c r="A155" s="82" t="s">
        <v>712</v>
      </c>
      <c r="B155" s="82"/>
      <c r="C155" s="82"/>
      <c r="D155" s="83" t="s">
        <v>713</v>
      </c>
      <c r="E155" s="84"/>
    </row>
    <row r="156" spans="1:5">
      <c r="A156" s="82" t="s">
        <v>714</v>
      </c>
      <c r="B156" s="82"/>
      <c r="C156" s="82"/>
      <c r="D156" s="83" t="s">
        <v>715</v>
      </c>
      <c r="E156" s="84"/>
    </row>
    <row r="157" spans="1:5">
      <c r="A157" s="82" t="s">
        <v>716</v>
      </c>
      <c r="B157" s="82"/>
      <c r="C157" s="82"/>
      <c r="D157" s="83" t="s">
        <v>717</v>
      </c>
      <c r="E157" s="84"/>
    </row>
    <row r="158" spans="1:5">
      <c r="A158" s="82" t="s">
        <v>718</v>
      </c>
      <c r="B158" s="82"/>
      <c r="C158" s="82"/>
      <c r="D158" s="83" t="s">
        <v>719</v>
      </c>
      <c r="E158" s="84"/>
    </row>
    <row r="159" spans="1:5" ht="41.4">
      <c r="A159" s="82" t="s">
        <v>720</v>
      </c>
      <c r="B159" s="82"/>
      <c r="C159" s="82"/>
      <c r="D159" s="83" t="s">
        <v>721</v>
      </c>
      <c r="E159" s="84" t="s">
        <v>722</v>
      </c>
    </row>
    <row r="160" spans="1:5">
      <c r="A160" s="82" t="s">
        <v>723</v>
      </c>
      <c r="B160" s="82"/>
      <c r="C160" s="82"/>
      <c r="D160" s="83" t="s">
        <v>724</v>
      </c>
      <c r="E160" s="84"/>
    </row>
    <row r="161" spans="1:5">
      <c r="A161" s="82" t="s">
        <v>725</v>
      </c>
      <c r="B161" s="82"/>
      <c r="C161" s="82" t="s">
        <v>726</v>
      </c>
      <c r="D161" s="83"/>
      <c r="E161" s="84"/>
    </row>
    <row r="162" spans="1:5" ht="41.4">
      <c r="A162" s="82" t="s">
        <v>727</v>
      </c>
      <c r="B162" s="82"/>
      <c r="C162" s="82"/>
      <c r="D162" s="83" t="s">
        <v>728</v>
      </c>
      <c r="E162" s="84" t="s">
        <v>729</v>
      </c>
    </row>
    <row r="163" spans="1:5">
      <c r="A163" s="82" t="s">
        <v>730</v>
      </c>
      <c r="B163" s="82"/>
      <c r="C163" s="82"/>
      <c r="D163" s="83" t="s">
        <v>731</v>
      </c>
      <c r="E163" s="84"/>
    </row>
    <row r="164" spans="1:5">
      <c r="A164" s="82" t="s">
        <v>732</v>
      </c>
      <c r="B164" s="82"/>
      <c r="C164" s="82" t="s">
        <v>733</v>
      </c>
      <c r="D164" s="83"/>
      <c r="E164" s="84"/>
    </row>
    <row r="165" spans="1:5" ht="39" customHeight="1">
      <c r="A165" s="82" t="s">
        <v>734</v>
      </c>
      <c r="B165" s="82"/>
      <c r="C165" s="82"/>
      <c r="D165" s="83" t="s">
        <v>735</v>
      </c>
      <c r="E165" s="84"/>
    </row>
    <row r="166" spans="1:5" ht="39" customHeight="1">
      <c r="A166" s="82" t="s">
        <v>736</v>
      </c>
      <c r="B166" s="82"/>
      <c r="C166" s="82"/>
      <c r="D166" s="83" t="s">
        <v>737</v>
      </c>
      <c r="E166" s="84"/>
    </row>
    <row r="167" spans="1:5" ht="39" customHeight="1">
      <c r="A167" s="82" t="s">
        <v>738</v>
      </c>
      <c r="B167" s="82"/>
      <c r="C167" s="82" t="s">
        <v>2703</v>
      </c>
      <c r="D167" s="83"/>
      <c r="E167" s="84" t="s">
        <v>2704</v>
      </c>
    </row>
    <row r="168" spans="1:5">
      <c r="A168" s="82" t="s">
        <v>739</v>
      </c>
      <c r="B168" s="82"/>
      <c r="C168" s="82" t="s">
        <v>740</v>
      </c>
      <c r="D168" s="83"/>
      <c r="E168" s="84"/>
    </row>
    <row r="169" spans="1:5">
      <c r="A169" s="82" t="s">
        <v>741</v>
      </c>
      <c r="B169" s="82"/>
      <c r="C169" s="82" t="s">
        <v>742</v>
      </c>
      <c r="D169" s="83"/>
      <c r="E169" s="84"/>
    </row>
    <row r="170" spans="1:5">
      <c r="A170" s="82" t="s">
        <v>743</v>
      </c>
      <c r="B170" s="82"/>
      <c r="C170" s="82" t="s">
        <v>744</v>
      </c>
      <c r="D170" s="83"/>
      <c r="E170" s="84"/>
    </row>
    <row r="171" spans="1:5" ht="26.25" customHeight="1">
      <c r="A171" s="82" t="s">
        <v>745</v>
      </c>
      <c r="B171" s="82"/>
      <c r="C171" s="82" t="s">
        <v>746</v>
      </c>
      <c r="D171" s="83"/>
      <c r="E171" s="84"/>
    </row>
    <row r="172" spans="1:5">
      <c r="A172" s="82" t="s">
        <v>747</v>
      </c>
      <c r="B172" s="82"/>
      <c r="C172" s="82" t="s">
        <v>748</v>
      </c>
      <c r="D172" s="83"/>
      <c r="E172" s="84" t="s">
        <v>749</v>
      </c>
    </row>
    <row r="173" spans="1:5">
      <c r="A173" s="82" t="s">
        <v>750</v>
      </c>
      <c r="B173" s="82"/>
      <c r="C173" s="82" t="s">
        <v>751</v>
      </c>
      <c r="D173" s="83"/>
      <c r="E173" s="84"/>
    </row>
    <row r="174" spans="1:5">
      <c r="A174" s="82" t="s">
        <v>752</v>
      </c>
      <c r="B174" s="82"/>
      <c r="C174" s="82" t="s">
        <v>753</v>
      </c>
      <c r="D174" s="83"/>
      <c r="E174" s="84"/>
    </row>
    <row r="175" spans="1:5">
      <c r="A175" s="82" t="s">
        <v>754</v>
      </c>
      <c r="B175" s="82"/>
      <c r="C175" s="82" t="s">
        <v>755</v>
      </c>
      <c r="D175" s="83"/>
      <c r="E175" s="84" t="s">
        <v>756</v>
      </c>
    </row>
    <row r="176" spans="1:5">
      <c r="A176" s="82" t="s">
        <v>757</v>
      </c>
      <c r="B176" s="82"/>
      <c r="C176" s="82" t="s">
        <v>758</v>
      </c>
      <c r="D176" s="83"/>
      <c r="E176" s="84"/>
    </row>
    <row r="177" spans="1:5">
      <c r="A177" s="82" t="s">
        <v>759</v>
      </c>
      <c r="B177" s="82"/>
      <c r="C177" s="82" t="s">
        <v>760</v>
      </c>
      <c r="D177" s="83"/>
      <c r="E177" s="84"/>
    </row>
    <row r="178" spans="1:5" ht="27.6">
      <c r="A178" s="82" t="s">
        <v>761</v>
      </c>
      <c r="B178" s="82" t="s">
        <v>762</v>
      </c>
      <c r="C178" s="82"/>
      <c r="D178" s="83"/>
      <c r="E178" s="84" t="s">
        <v>763</v>
      </c>
    </row>
    <row r="179" spans="1:5">
      <c r="A179" s="82" t="s">
        <v>764</v>
      </c>
      <c r="B179" s="82"/>
      <c r="C179" s="82" t="s">
        <v>765</v>
      </c>
      <c r="D179" s="83"/>
      <c r="E179" s="84"/>
    </row>
    <row r="180" spans="1:5" ht="27.6">
      <c r="A180" s="82" t="s">
        <v>766</v>
      </c>
      <c r="B180" s="82"/>
      <c r="C180" s="82"/>
      <c r="D180" s="83" t="s">
        <v>2705</v>
      </c>
      <c r="E180" s="84" t="s">
        <v>74</v>
      </c>
    </row>
    <row r="181" spans="1:5" ht="27.6">
      <c r="A181" s="82" t="s">
        <v>767</v>
      </c>
      <c r="B181" s="82"/>
      <c r="C181" s="82"/>
      <c r="D181" s="83" t="s">
        <v>2706</v>
      </c>
      <c r="E181" s="84" t="s">
        <v>76</v>
      </c>
    </row>
    <row r="182" spans="1:5" ht="27.6">
      <c r="A182" s="82" t="s">
        <v>768</v>
      </c>
      <c r="B182" s="82"/>
      <c r="C182" s="82"/>
      <c r="D182" s="83" t="s">
        <v>2707</v>
      </c>
      <c r="E182" s="84" t="s">
        <v>522</v>
      </c>
    </row>
    <row r="183" spans="1:5">
      <c r="A183" s="82" t="s">
        <v>2708</v>
      </c>
      <c r="B183" s="82"/>
      <c r="C183" s="82"/>
      <c r="D183" s="83" t="s">
        <v>2709</v>
      </c>
      <c r="E183" s="84"/>
    </row>
    <row r="184" spans="1:5" ht="41.4">
      <c r="A184" s="82" t="s">
        <v>769</v>
      </c>
      <c r="B184" s="82"/>
      <c r="C184" s="82"/>
      <c r="D184" s="83" t="s">
        <v>2710</v>
      </c>
      <c r="E184" s="84" t="s">
        <v>2711</v>
      </c>
    </row>
    <row r="185" spans="1:5" ht="27.6">
      <c r="A185" s="82" t="s">
        <v>776</v>
      </c>
      <c r="B185" s="82"/>
      <c r="C185" s="82"/>
      <c r="D185" s="83" t="s">
        <v>2712</v>
      </c>
      <c r="E185" s="84" t="s">
        <v>88</v>
      </c>
    </row>
    <row r="186" spans="1:5">
      <c r="A186" s="82" t="s">
        <v>770</v>
      </c>
      <c r="B186" s="82"/>
      <c r="C186" s="82"/>
      <c r="D186" s="83" t="s">
        <v>2713</v>
      </c>
      <c r="E186" s="84" t="s">
        <v>92</v>
      </c>
    </row>
    <row r="187" spans="1:5" ht="27.6">
      <c r="A187" s="82" t="s">
        <v>771</v>
      </c>
      <c r="B187" s="82"/>
      <c r="C187" s="82"/>
      <c r="D187" s="83" t="s">
        <v>2714</v>
      </c>
      <c r="E187" s="84" t="s">
        <v>90</v>
      </c>
    </row>
    <row r="188" spans="1:5" ht="41.4">
      <c r="A188" s="82" t="s">
        <v>772</v>
      </c>
      <c r="B188" s="82"/>
      <c r="C188" s="82"/>
      <c r="D188" s="83" t="s">
        <v>2715</v>
      </c>
      <c r="E188" s="84" t="s">
        <v>534</v>
      </c>
    </row>
    <row r="189" spans="1:5" ht="26.25" customHeight="1">
      <c r="A189" s="82" t="s">
        <v>773</v>
      </c>
      <c r="B189" s="82"/>
      <c r="C189" s="82"/>
      <c r="D189" s="83" t="s">
        <v>2716</v>
      </c>
      <c r="E189" s="84" t="s">
        <v>536</v>
      </c>
    </row>
    <row r="190" spans="1:5">
      <c r="A190" s="82" t="s">
        <v>2717</v>
      </c>
      <c r="B190" s="82"/>
      <c r="C190" s="82"/>
      <c r="D190" s="83" t="s">
        <v>2718</v>
      </c>
      <c r="E190" s="84"/>
    </row>
    <row r="191" spans="1:5">
      <c r="A191" s="82" t="s">
        <v>2719</v>
      </c>
      <c r="B191" s="82"/>
      <c r="C191" s="82"/>
      <c r="D191" s="83" t="s">
        <v>2720</v>
      </c>
      <c r="E191" s="84"/>
    </row>
    <row r="192" spans="1:5">
      <c r="A192" s="82" t="s">
        <v>2721</v>
      </c>
      <c r="B192" s="82"/>
      <c r="C192" s="82"/>
      <c r="D192" s="83" t="s">
        <v>2722</v>
      </c>
      <c r="E192" s="84"/>
    </row>
    <row r="193" spans="1:5" ht="27.6">
      <c r="A193" s="82" t="s">
        <v>774</v>
      </c>
      <c r="B193" s="82"/>
      <c r="C193" s="82"/>
      <c r="D193" s="83" t="s">
        <v>2723</v>
      </c>
      <c r="E193" s="84" t="s">
        <v>84</v>
      </c>
    </row>
    <row r="194" spans="1:5" ht="27.6">
      <c r="A194" s="82" t="s">
        <v>775</v>
      </c>
      <c r="B194" s="82"/>
      <c r="C194" s="82"/>
      <c r="D194" s="83" t="s">
        <v>2724</v>
      </c>
      <c r="E194" s="84" t="s">
        <v>86</v>
      </c>
    </row>
    <row r="195" spans="1:5">
      <c r="A195" s="82" t="s">
        <v>2725</v>
      </c>
      <c r="B195" s="82"/>
      <c r="C195" s="82"/>
      <c r="D195" s="83" t="s">
        <v>2726</v>
      </c>
      <c r="E195" s="84"/>
    </row>
    <row r="196" spans="1:5">
      <c r="A196" s="82" t="s">
        <v>2727</v>
      </c>
      <c r="B196" s="82"/>
      <c r="C196" s="82"/>
      <c r="D196" s="83" t="s">
        <v>2728</v>
      </c>
      <c r="E196" s="84"/>
    </row>
    <row r="197" spans="1:5">
      <c r="A197" s="82" t="s">
        <v>2729</v>
      </c>
      <c r="B197" s="82"/>
      <c r="C197" s="82"/>
      <c r="D197" s="83" t="s">
        <v>2730</v>
      </c>
      <c r="E197" s="84"/>
    </row>
    <row r="198" spans="1:5">
      <c r="A198" s="82" t="s">
        <v>2731</v>
      </c>
      <c r="B198" s="82"/>
      <c r="C198" s="82"/>
      <c r="D198" s="83" t="s">
        <v>2732</v>
      </c>
      <c r="E198" s="84"/>
    </row>
    <row r="199" spans="1:5">
      <c r="A199" s="82" t="s">
        <v>777</v>
      </c>
      <c r="B199" s="82"/>
      <c r="C199" s="82" t="s">
        <v>2733</v>
      </c>
      <c r="D199" s="83"/>
      <c r="E199" s="84"/>
    </row>
    <row r="200" spans="1:5" ht="26.25" customHeight="1">
      <c r="A200" s="82" t="s">
        <v>778</v>
      </c>
      <c r="B200" s="82"/>
      <c r="C200" s="82"/>
      <c r="D200" s="83" t="s">
        <v>2734</v>
      </c>
      <c r="E200" s="84"/>
    </row>
    <row r="201" spans="1:5">
      <c r="A201" s="82" t="s">
        <v>779</v>
      </c>
      <c r="B201" s="82"/>
      <c r="C201" s="82"/>
      <c r="D201" s="83" t="s">
        <v>2735</v>
      </c>
      <c r="E201" s="84"/>
    </row>
    <row r="202" spans="1:5">
      <c r="A202" s="82" t="s">
        <v>780</v>
      </c>
      <c r="B202" s="82"/>
      <c r="C202" s="82"/>
      <c r="D202" s="83" t="s">
        <v>2736</v>
      </c>
      <c r="E202" s="84"/>
    </row>
    <row r="203" spans="1:5">
      <c r="A203" s="82" t="s">
        <v>781</v>
      </c>
      <c r="B203" s="82"/>
      <c r="C203" s="82"/>
      <c r="D203" s="83" t="s">
        <v>2737</v>
      </c>
      <c r="E203" s="84"/>
    </row>
    <row r="204" spans="1:5">
      <c r="A204" s="82" t="s">
        <v>2738</v>
      </c>
      <c r="B204" s="82"/>
      <c r="C204" s="82"/>
      <c r="D204" s="83" t="s">
        <v>2739</v>
      </c>
      <c r="E204" s="84"/>
    </row>
    <row r="205" spans="1:5">
      <c r="A205" s="82" t="s">
        <v>2740</v>
      </c>
      <c r="B205" s="82"/>
      <c r="C205" s="82"/>
      <c r="D205" s="83" t="s">
        <v>2741</v>
      </c>
      <c r="E205" s="84"/>
    </row>
    <row r="206" spans="1:5">
      <c r="A206" s="82" t="s">
        <v>782</v>
      </c>
      <c r="B206" s="82"/>
      <c r="C206" s="82" t="s">
        <v>783</v>
      </c>
      <c r="D206" s="83"/>
      <c r="E206" s="84"/>
    </row>
    <row r="207" spans="1:5">
      <c r="A207" s="82" t="s">
        <v>784</v>
      </c>
      <c r="B207" s="82"/>
      <c r="C207" s="82" t="s">
        <v>785</v>
      </c>
      <c r="D207" s="83"/>
      <c r="E207" s="84"/>
    </row>
    <row r="208" spans="1:5" ht="26.25" customHeight="1">
      <c r="A208" s="82" t="s">
        <v>786</v>
      </c>
      <c r="B208" s="82"/>
      <c r="C208" s="82" t="s">
        <v>787</v>
      </c>
      <c r="D208" s="83"/>
      <c r="E208" s="84"/>
    </row>
    <row r="209" spans="1:5">
      <c r="A209" s="82" t="s">
        <v>2742</v>
      </c>
      <c r="B209" s="82"/>
      <c r="C209" s="82"/>
      <c r="D209" s="83" t="s">
        <v>2743</v>
      </c>
      <c r="E209" s="84"/>
    </row>
    <row r="210" spans="1:5" ht="26.25" customHeight="1">
      <c r="A210" s="82" t="s">
        <v>2744</v>
      </c>
      <c r="B210" s="82"/>
      <c r="C210" s="82"/>
      <c r="D210" s="83" t="s">
        <v>2745</v>
      </c>
      <c r="E210" s="84"/>
    </row>
    <row r="211" spans="1:5">
      <c r="A211" s="82" t="s">
        <v>2746</v>
      </c>
      <c r="B211" s="82"/>
      <c r="C211" s="82"/>
      <c r="D211" s="83" t="s">
        <v>2747</v>
      </c>
      <c r="E211" s="84"/>
    </row>
    <row r="212" spans="1:5">
      <c r="A212" s="82" t="s">
        <v>2748</v>
      </c>
      <c r="B212" s="82"/>
      <c r="C212" s="82"/>
      <c r="D212" s="83" t="s">
        <v>2749</v>
      </c>
      <c r="E212" s="84"/>
    </row>
    <row r="213" spans="1:5">
      <c r="A213" s="82" t="s">
        <v>788</v>
      </c>
      <c r="B213" s="82"/>
      <c r="C213" s="82" t="s">
        <v>2750</v>
      </c>
      <c r="D213" s="83"/>
      <c r="E213" s="84"/>
    </row>
    <row r="214" spans="1:5">
      <c r="A214" s="82" t="s">
        <v>789</v>
      </c>
      <c r="B214" s="82"/>
      <c r="C214" s="82" t="s">
        <v>790</v>
      </c>
      <c r="D214" s="83"/>
      <c r="E214" s="84" t="s">
        <v>2751</v>
      </c>
    </row>
    <row r="215" spans="1:5">
      <c r="A215" s="82" t="s">
        <v>2752</v>
      </c>
      <c r="B215" s="82"/>
      <c r="C215" s="82" t="s">
        <v>2753</v>
      </c>
      <c r="D215" s="83"/>
      <c r="E215" s="84"/>
    </row>
    <row r="216" spans="1:5">
      <c r="A216" s="82" t="s">
        <v>2754</v>
      </c>
      <c r="B216" s="82"/>
      <c r="C216" s="82"/>
      <c r="D216" s="83" t="s">
        <v>2755</v>
      </c>
      <c r="E216" s="84"/>
    </row>
    <row r="217" spans="1:5">
      <c r="A217" s="82" t="s">
        <v>2756</v>
      </c>
      <c r="B217" s="82"/>
      <c r="C217" s="82"/>
      <c r="D217" s="83" t="s">
        <v>2757</v>
      </c>
      <c r="E217" s="84"/>
    </row>
    <row r="218" spans="1:5" ht="26.25" customHeight="1">
      <c r="A218" s="82" t="s">
        <v>2758</v>
      </c>
      <c r="B218" s="82"/>
      <c r="C218" s="82"/>
      <c r="D218" s="83" t="s">
        <v>2759</v>
      </c>
      <c r="E218" s="84"/>
    </row>
    <row r="219" spans="1:5">
      <c r="A219" s="82" t="s">
        <v>2760</v>
      </c>
      <c r="B219" s="82"/>
      <c r="C219" s="82" t="s">
        <v>2761</v>
      </c>
      <c r="D219" s="83"/>
      <c r="E219" s="84"/>
    </row>
    <row r="220" spans="1:5" ht="27.6">
      <c r="A220" s="82" t="s">
        <v>792</v>
      </c>
      <c r="B220" s="82" t="s">
        <v>793</v>
      </c>
      <c r="C220" s="82"/>
      <c r="D220" s="83"/>
      <c r="E220" s="84" t="s">
        <v>763</v>
      </c>
    </row>
    <row r="221" spans="1:5">
      <c r="A221" s="82" t="s">
        <v>794</v>
      </c>
      <c r="B221" s="82"/>
      <c r="C221" s="82" t="s">
        <v>795</v>
      </c>
      <c r="D221" s="83"/>
      <c r="E221" s="84"/>
    </row>
    <row r="222" spans="1:5">
      <c r="A222" s="82" t="s">
        <v>796</v>
      </c>
      <c r="B222" s="82"/>
      <c r="C222" s="82" t="s">
        <v>797</v>
      </c>
      <c r="D222" s="83"/>
      <c r="E222" s="84"/>
    </row>
    <row r="223" spans="1:5">
      <c r="A223" s="82" t="s">
        <v>798</v>
      </c>
      <c r="B223" s="82"/>
      <c r="C223" s="82" t="s">
        <v>799</v>
      </c>
      <c r="D223" s="83"/>
      <c r="E223" s="84"/>
    </row>
    <row r="224" spans="1:5">
      <c r="A224" s="82" t="s">
        <v>800</v>
      </c>
      <c r="B224" s="82"/>
      <c r="C224" s="82" t="s">
        <v>801</v>
      </c>
      <c r="D224" s="83"/>
      <c r="E224" s="84"/>
    </row>
    <row r="225" spans="1:5">
      <c r="A225" s="82" t="s">
        <v>802</v>
      </c>
      <c r="B225" s="82"/>
      <c r="C225" s="82" t="s">
        <v>803</v>
      </c>
      <c r="D225" s="83"/>
      <c r="E225" s="84"/>
    </row>
    <row r="226" spans="1:5">
      <c r="A226" s="82" t="s">
        <v>804</v>
      </c>
      <c r="B226" s="82" t="s">
        <v>805</v>
      </c>
      <c r="C226" s="82"/>
      <c r="D226" s="83"/>
      <c r="E226" s="84"/>
    </row>
    <row r="227" spans="1:5">
      <c r="A227" s="82" t="s">
        <v>806</v>
      </c>
      <c r="B227" s="82"/>
      <c r="C227" s="82" t="s">
        <v>807</v>
      </c>
      <c r="D227" s="83"/>
      <c r="E227" s="84" t="s">
        <v>2762</v>
      </c>
    </row>
    <row r="228" spans="1:5">
      <c r="A228" s="82" t="s">
        <v>808</v>
      </c>
      <c r="B228" s="82"/>
      <c r="C228" s="82" t="s">
        <v>809</v>
      </c>
      <c r="D228" s="83"/>
      <c r="E228" s="84"/>
    </row>
    <row r="229" spans="1:5">
      <c r="A229" s="82" t="s">
        <v>810</v>
      </c>
      <c r="B229" s="82"/>
      <c r="C229" s="82" t="s">
        <v>811</v>
      </c>
      <c r="D229" s="83"/>
      <c r="E229" s="84"/>
    </row>
    <row r="230" spans="1:5">
      <c r="A230" s="82" t="s">
        <v>812</v>
      </c>
      <c r="B230" s="82"/>
      <c r="C230" s="82"/>
      <c r="D230" s="83" t="s">
        <v>813</v>
      </c>
      <c r="E230" s="84"/>
    </row>
    <row r="231" spans="1:5">
      <c r="A231" s="82" t="s">
        <v>814</v>
      </c>
      <c r="B231" s="82"/>
      <c r="C231" s="82"/>
      <c r="D231" s="83" t="s">
        <v>815</v>
      </c>
      <c r="E231" s="84"/>
    </row>
    <row r="232" spans="1:5">
      <c r="A232" s="82" t="s">
        <v>816</v>
      </c>
      <c r="B232" s="82"/>
      <c r="C232" s="82"/>
      <c r="D232" s="83" t="s">
        <v>817</v>
      </c>
      <c r="E232" s="84"/>
    </row>
    <row r="233" spans="1:5">
      <c r="A233" s="82" t="s">
        <v>818</v>
      </c>
      <c r="B233" s="82"/>
      <c r="C233" s="82"/>
      <c r="D233" s="83" t="s">
        <v>819</v>
      </c>
      <c r="E233" s="84"/>
    </row>
    <row r="234" spans="1:5">
      <c r="A234" s="82" t="s">
        <v>820</v>
      </c>
      <c r="B234" s="82"/>
      <c r="C234" s="82"/>
      <c r="D234" s="83" t="s">
        <v>821</v>
      </c>
      <c r="E234" s="84"/>
    </row>
    <row r="235" spans="1:5">
      <c r="A235" s="82" t="s">
        <v>822</v>
      </c>
      <c r="B235" s="82"/>
      <c r="C235" s="82"/>
      <c r="D235" s="83" t="s">
        <v>823</v>
      </c>
      <c r="E235" s="84"/>
    </row>
    <row r="236" spans="1:5">
      <c r="A236" s="82" t="s">
        <v>2763</v>
      </c>
      <c r="B236" s="82"/>
      <c r="C236" s="82"/>
      <c r="D236" s="83" t="s">
        <v>2764</v>
      </c>
      <c r="E236" s="84"/>
    </row>
    <row r="237" spans="1:5">
      <c r="A237" s="82" t="s">
        <v>824</v>
      </c>
      <c r="B237" s="82"/>
      <c r="C237" s="82" t="s">
        <v>825</v>
      </c>
      <c r="D237" s="83"/>
      <c r="E237" s="84"/>
    </row>
    <row r="238" spans="1:5">
      <c r="A238" s="82" t="s">
        <v>826</v>
      </c>
      <c r="B238" s="82"/>
      <c r="C238" s="82"/>
      <c r="D238" s="83" t="s">
        <v>827</v>
      </c>
      <c r="E238" s="84"/>
    </row>
    <row r="239" spans="1:5" ht="27.6">
      <c r="A239" s="82" t="s">
        <v>828</v>
      </c>
      <c r="B239" s="82"/>
      <c r="C239" s="82"/>
      <c r="D239" s="83" t="s">
        <v>829</v>
      </c>
      <c r="E239" s="84" t="s">
        <v>830</v>
      </c>
    </row>
    <row r="240" spans="1:5">
      <c r="A240" s="82" t="s">
        <v>831</v>
      </c>
      <c r="B240" s="82"/>
      <c r="C240" s="82" t="s">
        <v>832</v>
      </c>
      <c r="D240" s="83"/>
      <c r="E240" s="84"/>
    </row>
    <row r="241" spans="1:5">
      <c r="A241" s="82" t="s">
        <v>833</v>
      </c>
      <c r="B241" s="82"/>
      <c r="C241" s="82" t="s">
        <v>834</v>
      </c>
      <c r="D241" s="83"/>
      <c r="E241" s="84"/>
    </row>
    <row r="242" spans="1:5">
      <c r="A242" s="82" t="s">
        <v>835</v>
      </c>
      <c r="B242" s="82"/>
      <c r="C242" s="82"/>
      <c r="D242" s="83" t="s">
        <v>2765</v>
      </c>
      <c r="E242" s="84" t="s">
        <v>836</v>
      </c>
    </row>
    <row r="243" spans="1:5">
      <c r="A243" s="82" t="s">
        <v>837</v>
      </c>
      <c r="B243" s="82"/>
      <c r="C243" s="82" t="s">
        <v>838</v>
      </c>
      <c r="D243" s="83"/>
      <c r="E243" s="84"/>
    </row>
    <row r="244" spans="1:5">
      <c r="A244" s="82" t="s">
        <v>839</v>
      </c>
      <c r="B244" s="82"/>
      <c r="C244" s="82"/>
      <c r="D244" s="83" t="s">
        <v>2766</v>
      </c>
      <c r="E244" s="84"/>
    </row>
    <row r="245" spans="1:5">
      <c r="A245" s="82" t="s">
        <v>840</v>
      </c>
      <c r="B245" s="82"/>
      <c r="C245" s="82"/>
      <c r="D245" s="83" t="s">
        <v>841</v>
      </c>
      <c r="E245" s="84"/>
    </row>
    <row r="246" spans="1:5">
      <c r="A246" s="82" t="s">
        <v>842</v>
      </c>
      <c r="B246" s="82"/>
      <c r="C246" s="82" t="s">
        <v>2767</v>
      </c>
      <c r="D246" s="83"/>
      <c r="E246" s="84"/>
    </row>
    <row r="247" spans="1:5">
      <c r="A247" s="82" t="s">
        <v>843</v>
      </c>
      <c r="B247" s="82"/>
      <c r="C247" s="82"/>
      <c r="D247" s="83" t="s">
        <v>844</v>
      </c>
      <c r="E247" s="84"/>
    </row>
    <row r="248" spans="1:5">
      <c r="A248" s="82" t="s">
        <v>845</v>
      </c>
      <c r="B248" s="82"/>
      <c r="C248" s="82"/>
      <c r="D248" s="83" t="s">
        <v>2768</v>
      </c>
      <c r="E248" s="84"/>
    </row>
    <row r="249" spans="1:5">
      <c r="A249" s="82" t="s">
        <v>846</v>
      </c>
      <c r="B249" s="82"/>
      <c r="C249" s="82"/>
      <c r="D249" s="83" t="s">
        <v>847</v>
      </c>
      <c r="E249" s="84" t="s">
        <v>848</v>
      </c>
    </row>
    <row r="250" spans="1:5" ht="27.6">
      <c r="A250" s="82" t="s">
        <v>849</v>
      </c>
      <c r="B250" s="82"/>
      <c r="C250" s="82"/>
      <c r="D250" s="83" t="s">
        <v>850</v>
      </c>
      <c r="E250" s="84" t="s">
        <v>851</v>
      </c>
    </row>
    <row r="251" spans="1:5">
      <c r="A251" s="82" t="s">
        <v>852</v>
      </c>
      <c r="B251" s="82"/>
      <c r="C251" s="82"/>
      <c r="D251" s="83" t="s">
        <v>853</v>
      </c>
      <c r="E251" s="84" t="s">
        <v>854</v>
      </c>
    </row>
    <row r="252" spans="1:5">
      <c r="A252" s="82" t="s">
        <v>855</v>
      </c>
      <c r="B252" s="82"/>
      <c r="C252" s="82"/>
      <c r="D252" s="83" t="s">
        <v>856</v>
      </c>
      <c r="E252" s="84"/>
    </row>
    <row r="253" spans="1:5">
      <c r="A253" s="82" t="s">
        <v>857</v>
      </c>
      <c r="B253" s="82" t="s">
        <v>858</v>
      </c>
      <c r="C253" s="82"/>
      <c r="D253" s="83"/>
      <c r="E253" s="84"/>
    </row>
    <row r="254" spans="1:5">
      <c r="A254" s="82" t="s">
        <v>859</v>
      </c>
      <c r="B254" s="82"/>
      <c r="C254" s="82" t="s">
        <v>860</v>
      </c>
      <c r="D254" s="83"/>
      <c r="E254" s="84" t="s">
        <v>861</v>
      </c>
    </row>
    <row r="255" spans="1:5">
      <c r="A255" s="82" t="s">
        <v>862</v>
      </c>
      <c r="B255" s="82"/>
      <c r="C255" s="82" t="s">
        <v>863</v>
      </c>
      <c r="D255" s="83"/>
      <c r="E255" s="84"/>
    </row>
    <row r="256" spans="1:5">
      <c r="A256" s="82" t="s">
        <v>2769</v>
      </c>
      <c r="B256" s="82"/>
      <c r="C256" s="82"/>
      <c r="D256" s="83" t="s">
        <v>2770</v>
      </c>
      <c r="E256" s="84"/>
    </row>
    <row r="257" spans="1:5">
      <c r="A257" s="82" t="s">
        <v>2771</v>
      </c>
      <c r="B257" s="82"/>
      <c r="C257" s="82"/>
      <c r="D257" s="83" t="s">
        <v>2772</v>
      </c>
      <c r="E257" s="84"/>
    </row>
    <row r="258" spans="1:5">
      <c r="A258" s="82" t="s">
        <v>2773</v>
      </c>
      <c r="B258" s="82"/>
      <c r="C258" s="82"/>
      <c r="D258" s="83" t="s">
        <v>762</v>
      </c>
      <c r="E258" s="84"/>
    </row>
    <row r="259" spans="1:5">
      <c r="A259" s="82" t="s">
        <v>2774</v>
      </c>
      <c r="B259" s="82"/>
      <c r="C259" s="82"/>
      <c r="D259" s="83" t="s">
        <v>2775</v>
      </c>
      <c r="E259" s="84"/>
    </row>
    <row r="260" spans="1:5">
      <c r="A260" s="82" t="s">
        <v>870</v>
      </c>
      <c r="B260" s="82"/>
      <c r="C260" s="82" t="s">
        <v>871</v>
      </c>
      <c r="D260" s="83"/>
      <c r="E260" s="84"/>
    </row>
    <row r="261" spans="1:5">
      <c r="A261" s="82" t="s">
        <v>872</v>
      </c>
      <c r="B261" s="82"/>
      <c r="C261" s="82"/>
      <c r="D261" s="83" t="s">
        <v>873</v>
      </c>
      <c r="E261" s="84"/>
    </row>
    <row r="262" spans="1:5">
      <c r="A262" s="82" t="s">
        <v>874</v>
      </c>
      <c r="B262" s="82"/>
      <c r="C262" s="82"/>
      <c r="D262" s="83" t="s">
        <v>875</v>
      </c>
      <c r="E262" s="84"/>
    </row>
    <row r="263" spans="1:5">
      <c r="A263" s="82" t="s">
        <v>876</v>
      </c>
      <c r="B263" s="82"/>
      <c r="C263" s="82"/>
      <c r="D263" s="83" t="s">
        <v>877</v>
      </c>
      <c r="E263" s="84"/>
    </row>
    <row r="264" spans="1:5">
      <c r="A264" s="82" t="s">
        <v>878</v>
      </c>
      <c r="B264" s="82"/>
      <c r="C264" s="82"/>
      <c r="D264" s="83" t="s">
        <v>879</v>
      </c>
      <c r="E264" s="84"/>
    </row>
    <row r="265" spans="1:5">
      <c r="A265" s="82" t="s">
        <v>880</v>
      </c>
      <c r="B265" s="82"/>
      <c r="C265" s="82" t="s">
        <v>881</v>
      </c>
      <c r="D265" s="83"/>
      <c r="E265" s="84"/>
    </row>
    <row r="266" spans="1:5" ht="27.6">
      <c r="A266" s="82" t="s">
        <v>882</v>
      </c>
      <c r="B266" s="82"/>
      <c r="C266" s="82" t="s">
        <v>2776</v>
      </c>
      <c r="D266" s="83"/>
      <c r="E266" s="84" t="s">
        <v>2777</v>
      </c>
    </row>
    <row r="267" spans="1:5">
      <c r="A267" s="82" t="s">
        <v>883</v>
      </c>
      <c r="B267" s="82"/>
      <c r="C267" s="82" t="s">
        <v>884</v>
      </c>
      <c r="D267" s="83"/>
      <c r="E267" s="84"/>
    </row>
    <row r="268" spans="1:5">
      <c r="A268" s="82" t="s">
        <v>885</v>
      </c>
      <c r="B268" s="82"/>
      <c r="C268" s="82"/>
      <c r="D268" s="83" t="s">
        <v>2778</v>
      </c>
      <c r="E268" s="84"/>
    </row>
    <row r="269" spans="1:5">
      <c r="A269" s="82" t="s">
        <v>886</v>
      </c>
      <c r="B269" s="82"/>
      <c r="C269" s="82"/>
      <c r="D269" s="83" t="s">
        <v>887</v>
      </c>
      <c r="E269" s="84"/>
    </row>
    <row r="270" spans="1:5">
      <c r="A270" s="82" t="s">
        <v>888</v>
      </c>
      <c r="B270" s="82"/>
      <c r="C270" s="82"/>
      <c r="D270" s="83" t="s">
        <v>889</v>
      </c>
      <c r="E270" s="84"/>
    </row>
    <row r="271" spans="1:5">
      <c r="A271" s="82" t="s">
        <v>890</v>
      </c>
      <c r="B271" s="82"/>
      <c r="C271" s="82"/>
      <c r="D271" s="83" t="s">
        <v>891</v>
      </c>
      <c r="E271" s="84"/>
    </row>
    <row r="272" spans="1:5">
      <c r="A272" s="82" t="s">
        <v>892</v>
      </c>
      <c r="B272" s="82"/>
      <c r="C272" s="82"/>
      <c r="D272" s="83" t="s">
        <v>893</v>
      </c>
      <c r="E272" s="84"/>
    </row>
    <row r="273" spans="1:5">
      <c r="A273" s="82" t="s">
        <v>894</v>
      </c>
      <c r="B273" s="82"/>
      <c r="C273" s="82" t="s">
        <v>895</v>
      </c>
      <c r="D273" s="83"/>
      <c r="E273" s="84"/>
    </row>
    <row r="274" spans="1:5">
      <c r="A274" s="82" t="s">
        <v>896</v>
      </c>
      <c r="B274" s="82"/>
      <c r="C274" s="82"/>
      <c r="D274" s="83" t="s">
        <v>897</v>
      </c>
      <c r="E274" s="84"/>
    </row>
    <row r="275" spans="1:5">
      <c r="A275" s="82" t="s">
        <v>898</v>
      </c>
      <c r="B275" s="82"/>
      <c r="C275" s="82"/>
      <c r="D275" s="83" t="s">
        <v>899</v>
      </c>
      <c r="E275" s="84"/>
    </row>
    <row r="276" spans="1:5">
      <c r="A276" s="82" t="s">
        <v>900</v>
      </c>
      <c r="B276" s="82"/>
      <c r="C276" s="82"/>
      <c r="D276" s="83" t="s">
        <v>901</v>
      </c>
      <c r="E276" s="84"/>
    </row>
    <row r="277" spans="1:5">
      <c r="A277" s="82" t="s">
        <v>902</v>
      </c>
      <c r="B277" s="82"/>
      <c r="C277" s="82" t="s">
        <v>903</v>
      </c>
      <c r="D277" s="83"/>
      <c r="E277" s="84"/>
    </row>
    <row r="278" spans="1:5">
      <c r="A278" s="82" t="s">
        <v>904</v>
      </c>
      <c r="B278" s="82"/>
      <c r="C278" s="82"/>
      <c r="D278" s="83" t="s">
        <v>905</v>
      </c>
      <c r="E278" s="84" t="s">
        <v>906</v>
      </c>
    </row>
    <row r="279" spans="1:5">
      <c r="A279" s="82" t="s">
        <v>907</v>
      </c>
      <c r="B279" s="82"/>
      <c r="C279" s="82"/>
      <c r="D279" s="83" t="s">
        <v>908</v>
      </c>
      <c r="E279" s="84"/>
    </row>
    <row r="280" spans="1:5">
      <c r="A280" s="82" t="s">
        <v>909</v>
      </c>
      <c r="B280" s="82"/>
      <c r="C280" s="82"/>
      <c r="D280" s="83" t="s">
        <v>910</v>
      </c>
      <c r="E280" s="84"/>
    </row>
    <row r="281" spans="1:5">
      <c r="A281" s="82" t="s">
        <v>911</v>
      </c>
      <c r="B281" s="82"/>
      <c r="C281" s="82"/>
      <c r="D281" s="83" t="s">
        <v>2779</v>
      </c>
      <c r="E281" s="84"/>
    </row>
    <row r="282" spans="1:5">
      <c r="A282" s="82" t="s">
        <v>912</v>
      </c>
      <c r="B282" s="82"/>
      <c r="C282" s="82" t="s">
        <v>913</v>
      </c>
      <c r="D282" s="83"/>
      <c r="E282" s="84"/>
    </row>
    <row r="283" spans="1:5">
      <c r="A283" s="82" t="s">
        <v>914</v>
      </c>
      <c r="B283" s="82"/>
      <c r="C283" s="82" t="s">
        <v>915</v>
      </c>
      <c r="D283" s="83"/>
      <c r="E283" s="84"/>
    </row>
    <row r="284" spans="1:5">
      <c r="A284" s="82" t="s">
        <v>916</v>
      </c>
      <c r="B284" s="82"/>
      <c r="C284" s="82" t="s">
        <v>917</v>
      </c>
      <c r="D284" s="83"/>
      <c r="E284" s="84"/>
    </row>
    <row r="285" spans="1:5">
      <c r="A285" s="82" t="s">
        <v>918</v>
      </c>
      <c r="B285" s="82"/>
      <c r="C285" s="82" t="s">
        <v>919</v>
      </c>
      <c r="D285" s="83"/>
      <c r="E285" s="84"/>
    </row>
    <row r="286" spans="1:5" ht="26.25" customHeight="1">
      <c r="A286" s="82" t="s">
        <v>920</v>
      </c>
      <c r="B286" s="82"/>
      <c r="C286" s="82"/>
      <c r="D286" s="83" t="s">
        <v>921</v>
      </c>
      <c r="E286" s="84"/>
    </row>
    <row r="287" spans="1:5" ht="26.25" customHeight="1">
      <c r="A287" s="82" t="s">
        <v>922</v>
      </c>
      <c r="B287" s="82"/>
      <c r="C287" s="82"/>
      <c r="D287" s="83" t="s">
        <v>923</v>
      </c>
      <c r="E287" s="84" t="s">
        <v>924</v>
      </c>
    </row>
    <row r="288" spans="1:5">
      <c r="A288" s="82" t="s">
        <v>925</v>
      </c>
      <c r="B288" s="82"/>
      <c r="C288" s="82"/>
      <c r="D288" s="83" t="s">
        <v>926</v>
      </c>
      <c r="E288" s="84"/>
    </row>
    <row r="289" spans="1:5">
      <c r="A289" s="82" t="s">
        <v>927</v>
      </c>
      <c r="B289" s="82"/>
      <c r="C289" s="82"/>
      <c r="D289" s="83" t="s">
        <v>928</v>
      </c>
      <c r="E289" s="84"/>
    </row>
    <row r="290" spans="1:5">
      <c r="A290" s="82" t="s">
        <v>929</v>
      </c>
      <c r="B290" s="82"/>
      <c r="C290" s="82"/>
      <c r="D290" s="83" t="s">
        <v>930</v>
      </c>
      <c r="E290" s="84"/>
    </row>
    <row r="291" spans="1:5">
      <c r="A291" s="82" t="s">
        <v>931</v>
      </c>
      <c r="B291" s="82"/>
      <c r="C291" s="82"/>
      <c r="D291" s="83" t="s">
        <v>932</v>
      </c>
      <c r="E291" s="84"/>
    </row>
    <row r="292" spans="1:5">
      <c r="A292" s="82" t="s">
        <v>933</v>
      </c>
      <c r="B292" s="82"/>
      <c r="C292" s="82"/>
      <c r="D292" s="83" t="s">
        <v>934</v>
      </c>
      <c r="E292" s="84" t="s">
        <v>935</v>
      </c>
    </row>
    <row r="293" spans="1:5">
      <c r="A293" s="82" t="s">
        <v>936</v>
      </c>
      <c r="B293" s="82" t="s">
        <v>2780</v>
      </c>
      <c r="C293" s="82"/>
      <c r="D293" s="83"/>
      <c r="E293" s="84"/>
    </row>
    <row r="294" spans="1:5">
      <c r="A294" s="82" t="s">
        <v>937</v>
      </c>
      <c r="B294" s="82"/>
      <c r="C294" s="82" t="s">
        <v>938</v>
      </c>
      <c r="D294" s="83"/>
      <c r="E294" s="84"/>
    </row>
    <row r="295" spans="1:5">
      <c r="A295" s="82" t="s">
        <v>2781</v>
      </c>
      <c r="B295" s="82"/>
      <c r="C295" s="82"/>
      <c r="D295" s="83" t="s">
        <v>2782</v>
      </c>
      <c r="E295" s="84"/>
    </row>
    <row r="296" spans="1:5">
      <c r="A296" s="82" t="s">
        <v>2783</v>
      </c>
      <c r="B296" s="82"/>
      <c r="C296" s="82"/>
      <c r="D296" s="83" t="s">
        <v>2784</v>
      </c>
      <c r="E296" s="84"/>
    </row>
    <row r="297" spans="1:5">
      <c r="A297" s="82" t="s">
        <v>939</v>
      </c>
      <c r="B297" s="82"/>
      <c r="C297" s="82" t="s">
        <v>940</v>
      </c>
      <c r="D297" s="83"/>
      <c r="E297" s="84"/>
    </row>
    <row r="298" spans="1:5">
      <c r="A298" s="82" t="s">
        <v>941</v>
      </c>
      <c r="B298" s="82"/>
      <c r="C298" s="82" t="s">
        <v>942</v>
      </c>
      <c r="D298" s="83"/>
      <c r="E298" s="84"/>
    </row>
    <row r="299" spans="1:5">
      <c r="A299" s="82" t="s">
        <v>943</v>
      </c>
      <c r="B299" s="82"/>
      <c r="C299" s="82" t="s">
        <v>944</v>
      </c>
      <c r="D299" s="83"/>
      <c r="E299" s="84"/>
    </row>
    <row r="300" spans="1:5">
      <c r="A300" s="82" t="s">
        <v>945</v>
      </c>
      <c r="B300" s="82"/>
      <c r="C300" s="82" t="s">
        <v>2785</v>
      </c>
      <c r="D300" s="83"/>
      <c r="E300" s="84"/>
    </row>
    <row r="301" spans="1:5">
      <c r="A301" s="82" t="s">
        <v>2786</v>
      </c>
      <c r="B301" s="82"/>
      <c r="C301" s="82"/>
      <c r="D301" s="83" t="s">
        <v>2787</v>
      </c>
      <c r="E301" s="84"/>
    </row>
    <row r="302" spans="1:5">
      <c r="A302" s="82" t="s">
        <v>2788</v>
      </c>
      <c r="B302" s="82"/>
      <c r="C302" s="82"/>
      <c r="D302" s="83" t="s">
        <v>2789</v>
      </c>
      <c r="E302" s="84"/>
    </row>
    <row r="303" spans="1:5">
      <c r="A303" s="82" t="s">
        <v>946</v>
      </c>
      <c r="B303" s="82"/>
      <c r="C303" s="82" t="s">
        <v>947</v>
      </c>
      <c r="D303" s="83"/>
      <c r="E303" s="84"/>
    </row>
    <row r="304" spans="1:5">
      <c r="A304" s="82" t="s">
        <v>2790</v>
      </c>
      <c r="B304" s="82"/>
      <c r="C304" s="82"/>
      <c r="D304" s="83" t="s">
        <v>2791</v>
      </c>
      <c r="E304" s="84"/>
    </row>
    <row r="305" spans="1:5">
      <c r="A305" s="82" t="s">
        <v>2792</v>
      </c>
      <c r="B305" s="82"/>
      <c r="C305" s="82"/>
      <c r="D305" s="83" t="s">
        <v>2793</v>
      </c>
      <c r="E305" s="84"/>
    </row>
    <row r="306" spans="1:5">
      <c r="A306" s="82" t="s">
        <v>2794</v>
      </c>
      <c r="B306" s="82"/>
      <c r="C306" s="82"/>
      <c r="D306" s="83" t="s">
        <v>2795</v>
      </c>
      <c r="E306" s="84"/>
    </row>
    <row r="307" spans="1:5">
      <c r="A307" s="82" t="s">
        <v>948</v>
      </c>
      <c r="B307" s="82"/>
      <c r="C307" s="82" t="s">
        <v>949</v>
      </c>
      <c r="D307" s="83"/>
      <c r="E307" s="84"/>
    </row>
    <row r="308" spans="1:5">
      <c r="A308" s="82" t="s">
        <v>956</v>
      </c>
      <c r="B308" s="82"/>
      <c r="C308" s="82" t="s">
        <v>957</v>
      </c>
      <c r="D308" s="83"/>
      <c r="E308" s="84"/>
    </row>
    <row r="309" spans="1:5">
      <c r="A309" s="82" t="s">
        <v>958</v>
      </c>
      <c r="B309" s="82"/>
      <c r="C309" s="82" t="s">
        <v>2796</v>
      </c>
      <c r="D309" s="83"/>
      <c r="E309" s="84"/>
    </row>
    <row r="310" spans="1:5">
      <c r="A310" s="82" t="s">
        <v>959</v>
      </c>
      <c r="B310" s="82"/>
      <c r="C310" s="82"/>
      <c r="D310" s="83" t="s">
        <v>960</v>
      </c>
      <c r="E310" s="84"/>
    </row>
    <row r="311" spans="1:5">
      <c r="A311" s="82" t="s">
        <v>961</v>
      </c>
      <c r="B311" s="82" t="s">
        <v>2797</v>
      </c>
      <c r="C311" s="82"/>
      <c r="D311" s="83"/>
      <c r="E311" s="84"/>
    </row>
    <row r="312" spans="1:5">
      <c r="A312" s="82" t="s">
        <v>962</v>
      </c>
      <c r="B312" s="82"/>
      <c r="C312" s="82" t="s">
        <v>963</v>
      </c>
      <c r="D312" s="83"/>
      <c r="E312" s="84"/>
    </row>
    <row r="313" spans="1:5">
      <c r="A313" s="82" t="s">
        <v>964</v>
      </c>
      <c r="B313" s="82"/>
      <c r="C313" s="82"/>
      <c r="D313" s="83" t="s">
        <v>965</v>
      </c>
      <c r="E313" s="84"/>
    </row>
    <row r="314" spans="1:5">
      <c r="A314" s="82" t="s">
        <v>966</v>
      </c>
      <c r="B314" s="82"/>
      <c r="C314" s="82"/>
      <c r="D314" s="83" t="s">
        <v>967</v>
      </c>
      <c r="E314" s="84"/>
    </row>
    <row r="315" spans="1:5">
      <c r="A315" s="82" t="s">
        <v>968</v>
      </c>
      <c r="B315" s="82"/>
      <c r="C315" s="82"/>
      <c r="D315" s="83" t="s">
        <v>969</v>
      </c>
      <c r="E315" s="84"/>
    </row>
    <row r="316" spans="1:5">
      <c r="A316" s="82" t="s">
        <v>970</v>
      </c>
      <c r="B316" s="82"/>
      <c r="C316" s="82"/>
      <c r="D316" s="83" t="s">
        <v>971</v>
      </c>
      <c r="E316" s="84"/>
    </row>
    <row r="317" spans="1:5">
      <c r="A317" s="82" t="s">
        <v>972</v>
      </c>
      <c r="B317" s="82"/>
      <c r="C317" s="82" t="s">
        <v>973</v>
      </c>
      <c r="D317" s="83"/>
      <c r="E317" s="84"/>
    </row>
    <row r="318" spans="1:5">
      <c r="A318" s="82" t="s">
        <v>974</v>
      </c>
      <c r="B318" s="82"/>
      <c r="C318" s="82" t="s">
        <v>975</v>
      </c>
      <c r="D318" s="83"/>
      <c r="E318" s="84"/>
    </row>
    <row r="319" spans="1:5">
      <c r="A319" s="82" t="s">
        <v>976</v>
      </c>
      <c r="B319" s="82"/>
      <c r="C319" s="82"/>
      <c r="D319" s="83" t="s">
        <v>2798</v>
      </c>
      <c r="E319" s="84"/>
    </row>
    <row r="320" spans="1:5">
      <c r="A320" s="82" t="s">
        <v>2799</v>
      </c>
      <c r="B320" s="82"/>
      <c r="C320" s="82"/>
      <c r="D320" s="83" t="s">
        <v>2800</v>
      </c>
      <c r="E320" s="84"/>
    </row>
    <row r="321" spans="1:5">
      <c r="A321" s="82" t="s">
        <v>2801</v>
      </c>
      <c r="B321" s="82"/>
      <c r="C321" s="82"/>
      <c r="D321" s="83" t="s">
        <v>2802</v>
      </c>
      <c r="E321" s="84"/>
    </row>
    <row r="322" spans="1:5">
      <c r="A322" s="82" t="s">
        <v>2803</v>
      </c>
      <c r="B322" s="82"/>
      <c r="C322" s="82"/>
      <c r="D322" s="83" t="s">
        <v>2804</v>
      </c>
      <c r="E322" s="84"/>
    </row>
    <row r="323" spans="1:5">
      <c r="A323" s="82" t="s">
        <v>977</v>
      </c>
      <c r="B323" s="82"/>
      <c r="C323" s="82" t="s">
        <v>978</v>
      </c>
      <c r="D323" s="83"/>
      <c r="E323" s="84"/>
    </row>
    <row r="324" spans="1:5">
      <c r="A324" s="82" t="s">
        <v>979</v>
      </c>
      <c r="B324" s="82"/>
      <c r="C324" s="82"/>
      <c r="D324" s="83" t="s">
        <v>980</v>
      </c>
      <c r="E324" s="84"/>
    </row>
    <row r="325" spans="1:5">
      <c r="A325" s="82" t="s">
        <v>981</v>
      </c>
      <c r="B325" s="82"/>
      <c r="C325" s="82"/>
      <c r="D325" s="83" t="s">
        <v>982</v>
      </c>
      <c r="E325" s="84"/>
    </row>
    <row r="326" spans="1:5">
      <c r="A326" s="82" t="s">
        <v>2805</v>
      </c>
      <c r="B326" s="82"/>
      <c r="C326" s="82"/>
      <c r="D326" s="83" t="s">
        <v>2806</v>
      </c>
      <c r="E326" s="84"/>
    </row>
    <row r="327" spans="1:5">
      <c r="A327" s="82" t="s">
        <v>983</v>
      </c>
      <c r="B327" s="82"/>
      <c r="C327" s="82" t="s">
        <v>2807</v>
      </c>
      <c r="D327" s="83"/>
      <c r="E327" s="84"/>
    </row>
    <row r="328" spans="1:5">
      <c r="A328" s="82" t="s">
        <v>2808</v>
      </c>
      <c r="B328" s="82"/>
      <c r="C328" s="82"/>
      <c r="D328" s="83" t="s">
        <v>984</v>
      </c>
      <c r="E328" s="84"/>
    </row>
    <row r="329" spans="1:5">
      <c r="A329" s="82" t="s">
        <v>2809</v>
      </c>
      <c r="B329" s="82"/>
      <c r="C329" s="82"/>
      <c r="D329" s="83" t="s">
        <v>2810</v>
      </c>
      <c r="E329" s="84"/>
    </row>
    <row r="330" spans="1:5">
      <c r="A330" s="82" t="s">
        <v>985</v>
      </c>
      <c r="B330" s="82"/>
      <c r="C330" s="82" t="s">
        <v>986</v>
      </c>
      <c r="D330" s="83"/>
      <c r="E330" s="84"/>
    </row>
    <row r="331" spans="1:5">
      <c r="A331" s="82" t="s">
        <v>2811</v>
      </c>
      <c r="B331" s="82"/>
      <c r="C331" s="82"/>
      <c r="D331" s="83" t="s">
        <v>2812</v>
      </c>
      <c r="E331" s="84"/>
    </row>
    <row r="332" spans="1:5">
      <c r="A332" s="82" t="s">
        <v>2813</v>
      </c>
      <c r="B332" s="82"/>
      <c r="C332" s="82"/>
      <c r="D332" s="83" t="s">
        <v>2814</v>
      </c>
      <c r="E332" s="84"/>
    </row>
    <row r="333" spans="1:5">
      <c r="A333" s="82" t="s">
        <v>987</v>
      </c>
      <c r="B333" s="82"/>
      <c r="C333" s="82" t="s">
        <v>988</v>
      </c>
      <c r="D333" s="83"/>
      <c r="E333" s="84"/>
    </row>
    <row r="334" spans="1:5">
      <c r="A334" s="82" t="s">
        <v>950</v>
      </c>
      <c r="B334" s="82"/>
      <c r="C334" s="82" t="s">
        <v>951</v>
      </c>
      <c r="D334" s="83"/>
      <c r="E334" s="84"/>
    </row>
    <row r="335" spans="1:5">
      <c r="A335" s="82" t="s">
        <v>952</v>
      </c>
      <c r="B335" s="82"/>
      <c r="C335" s="82"/>
      <c r="D335" s="83" t="s">
        <v>953</v>
      </c>
      <c r="E335" s="84"/>
    </row>
    <row r="336" spans="1:5">
      <c r="A336" s="82" t="s">
        <v>954</v>
      </c>
      <c r="B336" s="82"/>
      <c r="C336" s="82"/>
      <c r="D336" s="83" t="s">
        <v>955</v>
      </c>
      <c r="E336" s="84"/>
    </row>
    <row r="337" spans="1:5">
      <c r="A337" s="82" t="s">
        <v>2815</v>
      </c>
      <c r="B337" s="82"/>
      <c r="C337" s="82"/>
      <c r="D337" s="83" t="s">
        <v>2816</v>
      </c>
      <c r="E337" s="84"/>
    </row>
    <row r="338" spans="1:5">
      <c r="A338" s="82" t="s">
        <v>2817</v>
      </c>
      <c r="B338" s="82"/>
      <c r="C338" s="82"/>
      <c r="D338" s="83" t="s">
        <v>2818</v>
      </c>
      <c r="E338" s="84"/>
    </row>
    <row r="339" spans="1:5">
      <c r="A339" s="82" t="s">
        <v>989</v>
      </c>
      <c r="B339" s="82"/>
      <c r="C339" s="82" t="s">
        <v>2819</v>
      </c>
      <c r="D339" s="83"/>
      <c r="E339" s="84"/>
    </row>
    <row r="340" spans="1:5">
      <c r="A340" s="82" t="s">
        <v>990</v>
      </c>
      <c r="B340" s="82" t="s">
        <v>991</v>
      </c>
      <c r="C340" s="82"/>
      <c r="D340" s="83"/>
      <c r="E340" s="84"/>
    </row>
    <row r="341" spans="1:5">
      <c r="A341" s="82" t="s">
        <v>992</v>
      </c>
      <c r="B341" s="82"/>
      <c r="C341" s="82" t="s">
        <v>993</v>
      </c>
      <c r="D341" s="83"/>
      <c r="E341" s="84"/>
    </row>
    <row r="342" spans="1:5">
      <c r="A342" s="82" t="s">
        <v>994</v>
      </c>
      <c r="B342" s="82"/>
      <c r="C342" s="82"/>
      <c r="D342" s="83" t="s">
        <v>995</v>
      </c>
      <c r="E342" s="84" t="s">
        <v>996</v>
      </c>
    </row>
    <row r="343" spans="1:5">
      <c r="A343" s="82" t="s">
        <v>997</v>
      </c>
      <c r="B343" s="82"/>
      <c r="C343" s="82"/>
      <c r="D343" s="83" t="s">
        <v>998</v>
      </c>
      <c r="E343" s="84"/>
    </row>
    <row r="344" spans="1:5">
      <c r="A344" s="82" t="s">
        <v>999</v>
      </c>
      <c r="B344" s="82"/>
      <c r="C344" s="82"/>
      <c r="D344" s="83" t="s">
        <v>1000</v>
      </c>
      <c r="E344" s="84" t="s">
        <v>1001</v>
      </c>
    </row>
    <row r="345" spans="1:5">
      <c r="A345" s="82" t="s">
        <v>1002</v>
      </c>
      <c r="B345" s="82"/>
      <c r="C345" s="82"/>
      <c r="D345" s="83" t="s">
        <v>1003</v>
      </c>
      <c r="E345" s="84"/>
    </row>
    <row r="346" spans="1:5">
      <c r="A346" s="82" t="s">
        <v>1004</v>
      </c>
      <c r="B346" s="82"/>
      <c r="C346" s="82"/>
      <c r="D346" s="83" t="s">
        <v>1005</v>
      </c>
      <c r="E346" s="84" t="s">
        <v>1006</v>
      </c>
    </row>
    <row r="347" spans="1:5">
      <c r="A347" s="82" t="s">
        <v>1007</v>
      </c>
      <c r="B347" s="82"/>
      <c r="C347" s="82"/>
      <c r="D347" s="83" t="s">
        <v>1008</v>
      </c>
      <c r="E347" s="84"/>
    </row>
    <row r="348" spans="1:5">
      <c r="A348" s="82" t="s">
        <v>1009</v>
      </c>
      <c r="B348" s="82"/>
      <c r="C348" s="82"/>
      <c r="D348" s="83" t="s">
        <v>1010</v>
      </c>
      <c r="E348" s="84" t="s">
        <v>1011</v>
      </c>
    </row>
    <row r="349" spans="1:5">
      <c r="A349" s="82" t="s">
        <v>1013</v>
      </c>
      <c r="B349" s="82"/>
      <c r="C349" s="82" t="s">
        <v>1014</v>
      </c>
      <c r="D349" s="83"/>
      <c r="E349" s="84"/>
    </row>
    <row r="350" spans="1:5">
      <c r="A350" s="82" t="s">
        <v>1015</v>
      </c>
      <c r="B350" s="82"/>
      <c r="C350" s="82"/>
      <c r="D350" s="83" t="s">
        <v>1016</v>
      </c>
      <c r="E350" s="84" t="s">
        <v>1017</v>
      </c>
    </row>
    <row r="351" spans="1:5">
      <c r="A351" s="82" t="s">
        <v>1018</v>
      </c>
      <c r="B351" s="82"/>
      <c r="C351" s="82"/>
      <c r="D351" s="83" t="s">
        <v>1019</v>
      </c>
      <c r="E351" s="84" t="s">
        <v>1020</v>
      </c>
    </row>
    <row r="352" spans="1:5">
      <c r="A352" s="82" t="s">
        <v>1021</v>
      </c>
      <c r="B352" s="82"/>
      <c r="C352" s="82" t="s">
        <v>1022</v>
      </c>
      <c r="D352" s="83"/>
      <c r="E352" s="84"/>
    </row>
    <row r="353" spans="1:5">
      <c r="A353" s="82" t="s">
        <v>1023</v>
      </c>
      <c r="B353" s="82"/>
      <c r="C353" s="82"/>
      <c r="D353" s="83" t="s">
        <v>1024</v>
      </c>
      <c r="E353" s="84"/>
    </row>
    <row r="354" spans="1:5">
      <c r="A354" s="82" t="s">
        <v>1025</v>
      </c>
      <c r="B354" s="82"/>
      <c r="C354" s="82"/>
      <c r="D354" s="83" t="s">
        <v>1026</v>
      </c>
      <c r="E354" s="84"/>
    </row>
    <row r="355" spans="1:5">
      <c r="A355" s="82" t="s">
        <v>1027</v>
      </c>
      <c r="B355" s="82"/>
      <c r="C355" s="82" t="s">
        <v>1028</v>
      </c>
      <c r="D355" s="83"/>
      <c r="E355" s="84"/>
    </row>
    <row r="356" spans="1:5">
      <c r="A356" s="82" t="s">
        <v>1029</v>
      </c>
      <c r="B356" s="82"/>
      <c r="C356" s="82" t="s">
        <v>1030</v>
      </c>
      <c r="D356" s="83"/>
      <c r="E356" s="84"/>
    </row>
    <row r="357" spans="1:5">
      <c r="A357" s="82" t="s">
        <v>1031</v>
      </c>
      <c r="B357" s="82"/>
      <c r="C357" s="82" t="s">
        <v>1032</v>
      </c>
      <c r="D357" s="83"/>
      <c r="E357" s="84"/>
    </row>
    <row r="358" spans="1:5">
      <c r="A358" s="82" t="s">
        <v>1033</v>
      </c>
      <c r="B358" s="82"/>
      <c r="C358" s="82" t="s">
        <v>1034</v>
      </c>
      <c r="D358" s="83"/>
      <c r="E358" s="84"/>
    </row>
    <row r="359" spans="1:5">
      <c r="A359" s="82" t="s">
        <v>1035</v>
      </c>
      <c r="B359" s="82" t="s">
        <v>1036</v>
      </c>
      <c r="C359" s="82"/>
      <c r="D359" s="83"/>
      <c r="E359" s="84"/>
    </row>
    <row r="360" spans="1:5">
      <c r="A360" s="82" t="s">
        <v>1037</v>
      </c>
      <c r="B360" s="82"/>
      <c r="C360" s="82" t="s">
        <v>1038</v>
      </c>
      <c r="D360" s="83"/>
      <c r="E360" s="84" t="s">
        <v>1039</v>
      </c>
    </row>
    <row r="361" spans="1:5">
      <c r="A361" s="82" t="s">
        <v>2820</v>
      </c>
      <c r="B361" s="82"/>
      <c r="C361" s="82"/>
      <c r="D361" s="83" t="s">
        <v>791</v>
      </c>
      <c r="E361" s="84"/>
    </row>
    <row r="362" spans="1:5">
      <c r="A362" s="82" t="s">
        <v>2821</v>
      </c>
      <c r="B362" s="82"/>
      <c r="C362" s="82"/>
      <c r="D362" s="83" t="s">
        <v>2822</v>
      </c>
      <c r="E362" s="84"/>
    </row>
    <row r="363" spans="1:5">
      <c r="A363" s="82" t="s">
        <v>2823</v>
      </c>
      <c r="B363" s="82"/>
      <c r="C363" s="82"/>
      <c r="D363" s="83" t="s">
        <v>2824</v>
      </c>
      <c r="E363" s="84"/>
    </row>
    <row r="364" spans="1:5">
      <c r="A364" s="82" t="s">
        <v>2825</v>
      </c>
      <c r="B364" s="82"/>
      <c r="C364" s="82"/>
      <c r="D364" s="83" t="s">
        <v>2826</v>
      </c>
      <c r="E364" s="84"/>
    </row>
    <row r="365" spans="1:5">
      <c r="A365" s="82" t="s">
        <v>2827</v>
      </c>
      <c r="B365" s="82"/>
      <c r="C365" s="82"/>
      <c r="D365" s="83" t="s">
        <v>2828</v>
      </c>
      <c r="E365" s="84"/>
    </row>
    <row r="366" spans="1:5">
      <c r="A366" s="82" t="s">
        <v>1040</v>
      </c>
      <c r="B366" s="82"/>
      <c r="C366" s="82" t="s">
        <v>1041</v>
      </c>
      <c r="D366" s="83"/>
      <c r="E366" s="84"/>
    </row>
    <row r="367" spans="1:5">
      <c r="A367" s="82" t="s">
        <v>1042</v>
      </c>
      <c r="B367" s="82"/>
      <c r="C367" s="82"/>
      <c r="D367" s="83" t="s">
        <v>1043</v>
      </c>
      <c r="E367" s="84"/>
    </row>
    <row r="368" spans="1:5">
      <c r="A368" s="82" t="s">
        <v>1044</v>
      </c>
      <c r="B368" s="82"/>
      <c r="C368" s="82"/>
      <c r="D368" s="83" t="s">
        <v>1045</v>
      </c>
      <c r="E368" s="84"/>
    </row>
    <row r="369" spans="1:5">
      <c r="A369" s="82" t="s">
        <v>1046</v>
      </c>
      <c r="B369" s="82"/>
      <c r="C369" s="82" t="s">
        <v>1047</v>
      </c>
      <c r="D369" s="83"/>
      <c r="E369" s="84"/>
    </row>
    <row r="370" spans="1:5">
      <c r="A370" s="82" t="s">
        <v>1048</v>
      </c>
      <c r="B370" s="82"/>
      <c r="C370" s="82"/>
      <c r="D370" s="83" t="s">
        <v>1049</v>
      </c>
      <c r="E370" s="84"/>
    </row>
    <row r="371" spans="1:5">
      <c r="A371" s="82" t="s">
        <v>1050</v>
      </c>
      <c r="B371" s="82"/>
      <c r="C371" s="82"/>
      <c r="D371" s="83" t="s">
        <v>1051</v>
      </c>
      <c r="E371" s="84"/>
    </row>
    <row r="372" spans="1:5">
      <c r="A372" s="82" t="s">
        <v>1052</v>
      </c>
      <c r="B372" s="82"/>
      <c r="C372" s="82" t="s">
        <v>1053</v>
      </c>
      <c r="D372" s="83"/>
      <c r="E372" s="84"/>
    </row>
    <row r="373" spans="1:5">
      <c r="A373" s="82" t="s">
        <v>1054</v>
      </c>
      <c r="B373" s="82"/>
      <c r="C373" s="82" t="s">
        <v>2829</v>
      </c>
      <c r="D373" s="83"/>
      <c r="E373" s="84"/>
    </row>
    <row r="374" spans="1:5">
      <c r="A374" s="82" t="s">
        <v>1055</v>
      </c>
      <c r="B374" s="82"/>
      <c r="C374" s="82"/>
      <c r="D374" s="83" t="s">
        <v>1056</v>
      </c>
      <c r="E374" s="84"/>
    </row>
    <row r="375" spans="1:5">
      <c r="A375" s="82" t="s">
        <v>1057</v>
      </c>
      <c r="B375" s="82"/>
      <c r="C375" s="82"/>
      <c r="D375" s="83" t="s">
        <v>1058</v>
      </c>
      <c r="E375" s="84"/>
    </row>
    <row r="376" spans="1:5">
      <c r="A376" s="82" t="s">
        <v>1059</v>
      </c>
      <c r="B376" s="82"/>
      <c r="C376" s="82"/>
      <c r="D376" s="83" t="s">
        <v>1060</v>
      </c>
      <c r="E376" s="84"/>
    </row>
    <row r="377" spans="1:5">
      <c r="A377" s="82" t="s">
        <v>2830</v>
      </c>
      <c r="B377" s="82"/>
      <c r="C377" s="82"/>
      <c r="D377" s="83" t="s">
        <v>2831</v>
      </c>
      <c r="E377" s="84"/>
    </row>
    <row r="378" spans="1:5">
      <c r="A378" s="82" t="s">
        <v>2832</v>
      </c>
      <c r="B378" s="82"/>
      <c r="C378" s="82"/>
      <c r="D378" s="83" t="s">
        <v>2833</v>
      </c>
      <c r="E378" s="84"/>
    </row>
    <row r="379" spans="1:5">
      <c r="A379" s="82" t="s">
        <v>2834</v>
      </c>
      <c r="B379" s="82"/>
      <c r="C379" s="82"/>
      <c r="D379" s="83" t="s">
        <v>2835</v>
      </c>
      <c r="E379" s="84"/>
    </row>
    <row r="380" spans="1:5">
      <c r="A380" s="82" t="s">
        <v>2836</v>
      </c>
      <c r="B380" s="82"/>
      <c r="C380" s="82"/>
      <c r="D380" s="83" t="s">
        <v>2837</v>
      </c>
      <c r="E380" s="84"/>
    </row>
    <row r="381" spans="1:5">
      <c r="A381" s="82" t="s">
        <v>1061</v>
      </c>
      <c r="B381" s="82"/>
      <c r="C381" s="82" t="s">
        <v>1036</v>
      </c>
      <c r="D381" s="83"/>
      <c r="E381" s="84"/>
    </row>
    <row r="382" spans="1:5">
      <c r="A382" s="82" t="s">
        <v>2838</v>
      </c>
      <c r="B382" s="82"/>
      <c r="C382" s="82" t="s">
        <v>2839</v>
      </c>
      <c r="D382" s="83"/>
      <c r="E382" s="84"/>
    </row>
    <row r="383" spans="1:5">
      <c r="A383" s="82" t="s">
        <v>2840</v>
      </c>
      <c r="B383" s="82"/>
      <c r="C383" s="82" t="s">
        <v>2841</v>
      </c>
      <c r="D383" s="83"/>
      <c r="E383" s="84"/>
    </row>
  </sheetData>
  <conditionalFormatting sqref="C7:C383">
    <cfRule type="expression" dxfId="26" priority="4">
      <formula>#REF!=""</formula>
    </cfRule>
    <cfRule type="expression" dxfId="25" priority="5">
      <formula>COUNTA(#REF!)=0</formula>
    </cfRule>
  </conditionalFormatting>
  <conditionalFormatting sqref="D7:D383">
    <cfRule type="expression" dxfId="24" priority="2">
      <formula>#REF!=""</formula>
    </cfRule>
    <cfRule type="expression" dxfId="23" priority="3">
      <formula>COUNTA(#REF!)=0</formula>
    </cfRule>
  </conditionalFormatting>
  <conditionalFormatting sqref="E61:E383 E7:E21 A7:B383 E23:E59">
    <cfRule type="expression" dxfId="22" priority="6">
      <formula>#REF!=""</formula>
    </cfRule>
  </conditionalFormatting>
  <conditionalFormatting sqref="E22">
    <cfRule type="expression" dxfId="21" priority="7">
      <formula>#REF!=""</formula>
    </cfRule>
  </conditionalFormatting>
  <conditionalFormatting sqref="E60">
    <cfRule type="expression" dxfId="20" priority="1">
      <formula>#REF!=""</formula>
    </cfRule>
  </conditionalFormatting>
  <pageMargins left="0.7" right="0.7" top="0.75" bottom="0.75" header="0.511811023622047" footer="0.511811023622047"/>
  <pageSetup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2"/>
  <sheetViews>
    <sheetView zoomScale="85" zoomScaleNormal="85" workbookViewId="0">
      <selection activeCell="C20" sqref="C20"/>
    </sheetView>
  </sheetViews>
  <sheetFormatPr baseColWidth="10" defaultColWidth="9.109375" defaultRowHeight="13.8"/>
  <cols>
    <col min="1" max="1" width="10.44140625" style="24" customWidth="1"/>
    <col min="2" max="2" width="22.44140625" style="24" customWidth="1"/>
    <col min="3" max="3" width="26.109375" style="24" customWidth="1"/>
    <col min="4" max="4" width="31.88671875" style="24" customWidth="1"/>
    <col min="5" max="5" width="134.109375" style="24" customWidth="1"/>
    <col min="6" max="6" width="31.44140625" style="24" customWidth="1"/>
    <col min="7" max="16384" width="9.109375" style="24"/>
  </cols>
  <sheetData>
    <row r="1" spans="1:7">
      <c r="A1" s="17" t="s">
        <v>0</v>
      </c>
      <c r="B1" s="75" t="s">
        <v>1</v>
      </c>
    </row>
    <row r="2" spans="1:7">
      <c r="A2" s="17" t="s">
        <v>2</v>
      </c>
      <c r="B2" s="75" t="s">
        <v>3</v>
      </c>
    </row>
    <row r="3" spans="1:7">
      <c r="A3" s="17" t="s">
        <v>4</v>
      </c>
      <c r="B3" s="75" t="s">
        <v>5</v>
      </c>
    </row>
    <row r="4" spans="1:7">
      <c r="A4" s="17" t="s">
        <v>6</v>
      </c>
      <c r="B4" s="75" t="s">
        <v>7</v>
      </c>
    </row>
    <row r="5" spans="1:7">
      <c r="A5" s="17" t="s">
        <v>8</v>
      </c>
      <c r="B5" s="75" t="s">
        <v>9</v>
      </c>
    </row>
    <row r="6" spans="1:7">
      <c r="A6" s="21" t="s">
        <v>10</v>
      </c>
      <c r="B6" s="21" t="s">
        <v>11</v>
      </c>
      <c r="C6" s="21" t="s">
        <v>12</v>
      </c>
      <c r="D6" s="21" t="s">
        <v>13</v>
      </c>
      <c r="E6" s="21" t="s">
        <v>8</v>
      </c>
      <c r="F6" s="21" t="s">
        <v>14</v>
      </c>
    </row>
    <row r="7" spans="1:7">
      <c r="A7" s="85" t="s">
        <v>15</v>
      </c>
      <c r="B7" s="85" t="s">
        <v>16</v>
      </c>
      <c r="C7" s="85"/>
      <c r="D7" s="87"/>
      <c r="E7" s="87"/>
      <c r="G7" s="76"/>
    </row>
    <row r="8" spans="1:7">
      <c r="A8" s="85" t="s">
        <v>17</v>
      </c>
      <c r="B8" s="85"/>
      <c r="C8" s="85" t="s">
        <v>18</v>
      </c>
      <c r="D8" s="87"/>
      <c r="E8" s="87"/>
      <c r="G8" s="76"/>
    </row>
    <row r="9" spans="1:7">
      <c r="A9" s="85" t="s">
        <v>19</v>
      </c>
      <c r="B9" s="85"/>
      <c r="C9" s="85"/>
      <c r="D9" s="87" t="s">
        <v>2842</v>
      </c>
      <c r="E9" s="87" t="s">
        <v>2843</v>
      </c>
      <c r="G9" s="76"/>
    </row>
    <row r="10" spans="1:7">
      <c r="A10" s="85" t="s">
        <v>20</v>
      </c>
      <c r="B10" s="85"/>
      <c r="C10" s="85"/>
      <c r="D10" s="87" t="s">
        <v>2844</v>
      </c>
      <c r="E10" s="87" t="s">
        <v>21</v>
      </c>
      <c r="G10" s="76"/>
    </row>
    <row r="11" spans="1:7">
      <c r="A11" s="85" t="s">
        <v>22</v>
      </c>
      <c r="B11" s="85"/>
      <c r="C11" s="85"/>
      <c r="D11" s="87" t="s">
        <v>2845</v>
      </c>
      <c r="E11" s="87" t="s">
        <v>23</v>
      </c>
      <c r="G11" s="76"/>
    </row>
    <row r="12" spans="1:7">
      <c r="A12" s="85" t="s">
        <v>24</v>
      </c>
      <c r="B12" s="85"/>
      <c r="C12" s="85"/>
      <c r="D12" s="87" t="s">
        <v>2846</v>
      </c>
      <c r="E12" s="87" t="s">
        <v>25</v>
      </c>
      <c r="G12" s="76"/>
    </row>
    <row r="13" spans="1:7">
      <c r="A13" s="85" t="s">
        <v>2847</v>
      </c>
      <c r="B13" s="85"/>
      <c r="C13" s="85"/>
      <c r="D13" s="87" t="s">
        <v>2848</v>
      </c>
      <c r="E13" s="87"/>
      <c r="G13" s="76"/>
    </row>
    <row r="14" spans="1:7" ht="27.6">
      <c r="A14" s="85" t="s">
        <v>26</v>
      </c>
      <c r="B14" s="85"/>
      <c r="C14" s="85" t="s">
        <v>27</v>
      </c>
      <c r="D14" s="87"/>
      <c r="E14" s="87"/>
      <c r="G14" s="76"/>
    </row>
    <row r="15" spans="1:7" ht="27.6">
      <c r="A15" s="85" t="s">
        <v>28</v>
      </c>
      <c r="B15" s="85"/>
      <c r="C15" s="85"/>
      <c r="D15" s="87" t="s">
        <v>29</v>
      </c>
      <c r="E15" s="87" t="s">
        <v>2843</v>
      </c>
      <c r="G15" s="76"/>
    </row>
    <row r="16" spans="1:7">
      <c r="A16" s="85" t="s">
        <v>30</v>
      </c>
      <c r="B16" s="85"/>
      <c r="C16" s="85"/>
      <c r="D16" s="87" t="s">
        <v>2849</v>
      </c>
      <c r="E16" s="87" t="s">
        <v>21</v>
      </c>
      <c r="G16" s="76"/>
    </row>
    <row r="17" spans="1:7">
      <c r="A17" s="85" t="s">
        <v>31</v>
      </c>
      <c r="B17" s="85"/>
      <c r="C17" s="85"/>
      <c r="D17" s="87" t="s">
        <v>2850</v>
      </c>
      <c r="E17" s="87"/>
      <c r="G17" s="76"/>
    </row>
    <row r="18" spans="1:7" ht="27.6">
      <c r="A18" s="85" t="s">
        <v>32</v>
      </c>
      <c r="B18" s="85"/>
      <c r="C18" s="85"/>
      <c r="D18" s="87" t="s">
        <v>2851</v>
      </c>
      <c r="E18" s="87" t="s">
        <v>2852</v>
      </c>
      <c r="G18" s="76"/>
    </row>
    <row r="19" spans="1:7">
      <c r="A19" s="85" t="s">
        <v>33</v>
      </c>
      <c r="B19" s="85"/>
      <c r="C19" s="85"/>
      <c r="D19" s="87" t="s">
        <v>34</v>
      </c>
      <c r="E19" s="87"/>
      <c r="G19" s="76"/>
    </row>
    <row r="20" spans="1:7" ht="27.6">
      <c r="A20" s="85" t="s">
        <v>35</v>
      </c>
      <c r="B20" s="85"/>
      <c r="C20" s="85"/>
      <c r="D20" s="87" t="s">
        <v>2853</v>
      </c>
      <c r="E20" s="87"/>
      <c r="G20" s="76"/>
    </row>
    <row r="21" spans="1:7">
      <c r="A21" s="85" t="s">
        <v>36</v>
      </c>
      <c r="B21" s="85"/>
      <c r="C21" s="85"/>
      <c r="D21" s="87" t="s">
        <v>2854</v>
      </c>
      <c r="E21" s="87"/>
      <c r="G21" s="76"/>
    </row>
    <row r="22" spans="1:7">
      <c r="A22" s="85" t="s">
        <v>37</v>
      </c>
      <c r="B22" s="85"/>
      <c r="C22" s="85"/>
      <c r="D22" s="87" t="s">
        <v>2855</v>
      </c>
      <c r="E22" s="87"/>
      <c r="G22" s="76"/>
    </row>
    <row r="23" spans="1:7">
      <c r="A23" s="85" t="s">
        <v>38</v>
      </c>
      <c r="B23" s="85"/>
      <c r="C23" s="85"/>
      <c r="D23" s="87" t="s">
        <v>2856</v>
      </c>
      <c r="E23" s="87" t="s">
        <v>23</v>
      </c>
      <c r="G23" s="76"/>
    </row>
    <row r="24" spans="1:7">
      <c r="A24" s="85" t="s">
        <v>39</v>
      </c>
      <c r="B24" s="85"/>
      <c r="C24" s="85"/>
      <c r="D24" s="87" t="s">
        <v>2857</v>
      </c>
      <c r="E24" s="87"/>
      <c r="G24" s="76"/>
    </row>
    <row r="25" spans="1:7">
      <c r="A25" s="85" t="s">
        <v>40</v>
      </c>
      <c r="B25" s="85"/>
      <c r="C25" s="85"/>
      <c r="D25" s="87" t="s">
        <v>2858</v>
      </c>
      <c r="E25" s="87" t="s">
        <v>2859</v>
      </c>
      <c r="G25" s="76"/>
    </row>
    <row r="26" spans="1:7">
      <c r="A26" s="85" t="s">
        <v>41</v>
      </c>
      <c r="B26" s="85"/>
      <c r="C26" s="85"/>
      <c r="D26" s="87" t="s">
        <v>2860</v>
      </c>
      <c r="E26" s="87" t="s">
        <v>25</v>
      </c>
      <c r="G26" s="76"/>
    </row>
    <row r="27" spans="1:7" ht="27.6">
      <c r="A27" s="85" t="s">
        <v>2861</v>
      </c>
      <c r="B27" s="85"/>
      <c r="C27" s="85"/>
      <c r="D27" s="87" t="s">
        <v>2862</v>
      </c>
      <c r="E27" s="87"/>
      <c r="G27" s="76"/>
    </row>
    <row r="28" spans="1:7">
      <c r="A28" s="85" t="s">
        <v>2863</v>
      </c>
      <c r="B28" s="85"/>
      <c r="C28" s="85"/>
      <c r="D28" s="87" t="s">
        <v>2864</v>
      </c>
      <c r="E28" s="87"/>
      <c r="G28" s="76"/>
    </row>
    <row r="29" spans="1:7">
      <c r="A29" s="85" t="s">
        <v>42</v>
      </c>
      <c r="B29" s="85"/>
      <c r="C29" s="85" t="s">
        <v>43</v>
      </c>
      <c r="D29" s="87"/>
      <c r="E29" s="87"/>
      <c r="G29" s="76"/>
    </row>
    <row r="30" spans="1:7">
      <c r="A30" s="85" t="s">
        <v>44</v>
      </c>
      <c r="B30" s="85"/>
      <c r="C30" s="85"/>
      <c r="D30" s="87" t="s">
        <v>45</v>
      </c>
      <c r="E30" s="87"/>
      <c r="G30" s="76"/>
    </row>
    <row r="31" spans="1:7">
      <c r="A31" s="85" t="s">
        <v>46</v>
      </c>
      <c r="B31" s="85"/>
      <c r="C31" s="85"/>
      <c r="D31" s="87" t="s">
        <v>47</v>
      </c>
      <c r="E31" s="87"/>
      <c r="G31" s="76"/>
    </row>
    <row r="32" spans="1:7">
      <c r="A32" s="85" t="s">
        <v>48</v>
      </c>
      <c r="B32" s="85"/>
      <c r="C32" s="85"/>
      <c r="D32" s="87" t="s">
        <v>49</v>
      </c>
      <c r="E32" s="87"/>
      <c r="G32" s="76"/>
    </row>
    <row r="33" spans="1:7">
      <c r="A33" s="85" t="s">
        <v>2865</v>
      </c>
      <c r="B33" s="85"/>
      <c r="C33" s="85"/>
      <c r="D33" s="87" t="s">
        <v>2866</v>
      </c>
      <c r="E33" s="87"/>
      <c r="G33" s="76"/>
    </row>
    <row r="34" spans="1:7">
      <c r="A34" s="85" t="s">
        <v>2867</v>
      </c>
      <c r="B34" s="85"/>
      <c r="C34" s="85"/>
      <c r="D34" s="87" t="s">
        <v>2868</v>
      </c>
      <c r="E34" s="87"/>
      <c r="G34" s="76"/>
    </row>
    <row r="35" spans="1:7">
      <c r="A35" s="85" t="s">
        <v>2869</v>
      </c>
      <c r="B35" s="85"/>
      <c r="C35" s="85"/>
      <c r="D35" s="87" t="s">
        <v>2870</v>
      </c>
      <c r="E35" s="87"/>
      <c r="G35" s="76"/>
    </row>
    <row r="36" spans="1:7">
      <c r="A36" s="85" t="s">
        <v>50</v>
      </c>
      <c r="B36" s="85"/>
      <c r="C36" s="85" t="s">
        <v>51</v>
      </c>
      <c r="D36" s="87"/>
      <c r="E36" s="87"/>
      <c r="G36" s="76"/>
    </row>
    <row r="37" spans="1:7">
      <c r="A37" s="85" t="s">
        <v>52</v>
      </c>
      <c r="B37" s="85" t="s">
        <v>53</v>
      </c>
      <c r="C37" s="85"/>
      <c r="D37" s="87"/>
      <c r="E37" s="87"/>
      <c r="G37" s="76"/>
    </row>
    <row r="38" spans="1:7">
      <c r="A38" s="85" t="s">
        <v>54</v>
      </c>
      <c r="B38" s="85"/>
      <c r="C38" s="85" t="s">
        <v>55</v>
      </c>
      <c r="D38" s="87"/>
      <c r="E38" s="87" t="s">
        <v>56</v>
      </c>
      <c r="G38" s="76"/>
    </row>
    <row r="39" spans="1:7">
      <c r="A39" s="85" t="s">
        <v>2871</v>
      </c>
      <c r="B39" s="85"/>
      <c r="C39" s="85"/>
      <c r="D39" s="87" t="s">
        <v>2872</v>
      </c>
      <c r="E39" s="87"/>
      <c r="G39" s="76"/>
    </row>
    <row r="40" spans="1:7">
      <c r="A40" s="85" t="s">
        <v>2873</v>
      </c>
      <c r="B40" s="85"/>
      <c r="C40" s="85"/>
      <c r="D40" s="87" t="s">
        <v>2874</v>
      </c>
      <c r="E40" s="87"/>
      <c r="G40" s="76"/>
    </row>
    <row r="41" spans="1:7">
      <c r="A41" s="85" t="s">
        <v>2875</v>
      </c>
      <c r="B41" s="85"/>
      <c r="C41" s="85"/>
      <c r="D41" s="87" t="s">
        <v>2876</v>
      </c>
      <c r="E41" s="87"/>
      <c r="G41" s="76"/>
    </row>
    <row r="42" spans="1:7">
      <c r="A42" s="85" t="s">
        <v>57</v>
      </c>
      <c r="B42" s="85"/>
      <c r="C42" s="85" t="s">
        <v>58</v>
      </c>
      <c r="D42" s="87"/>
      <c r="E42" s="87"/>
      <c r="G42" s="76"/>
    </row>
    <row r="43" spans="1:7">
      <c r="A43" s="85" t="s">
        <v>59</v>
      </c>
      <c r="B43" s="85"/>
      <c r="C43" s="85"/>
      <c r="D43" s="87" t="s">
        <v>2877</v>
      </c>
      <c r="E43" s="87" t="s">
        <v>60</v>
      </c>
      <c r="G43" s="76"/>
    </row>
    <row r="44" spans="1:7">
      <c r="A44" s="85" t="s">
        <v>61</v>
      </c>
      <c r="B44" s="85"/>
      <c r="C44" s="85"/>
      <c r="D44" s="87" t="s">
        <v>2878</v>
      </c>
      <c r="E44" s="87"/>
      <c r="G44" s="76"/>
    </row>
    <row r="45" spans="1:7" ht="27.6">
      <c r="A45" s="85" t="s">
        <v>62</v>
      </c>
      <c r="B45" s="85"/>
      <c r="C45" s="85"/>
      <c r="D45" s="87" t="s">
        <v>2879</v>
      </c>
      <c r="E45" s="87"/>
      <c r="G45" s="76"/>
    </row>
    <row r="46" spans="1:7">
      <c r="A46" s="85" t="s">
        <v>63</v>
      </c>
      <c r="B46" s="85"/>
      <c r="C46" s="85"/>
      <c r="D46" s="87" t="s">
        <v>2880</v>
      </c>
      <c r="E46" s="87"/>
      <c r="G46" s="76"/>
    </row>
    <row r="47" spans="1:7">
      <c r="A47" s="85" t="s">
        <v>2881</v>
      </c>
      <c r="B47" s="86"/>
      <c r="C47" s="85"/>
      <c r="D47" s="87" t="s">
        <v>2882</v>
      </c>
      <c r="E47" s="87"/>
      <c r="G47" s="76"/>
    </row>
    <row r="48" spans="1:7">
      <c r="A48" s="85" t="s">
        <v>64</v>
      </c>
      <c r="B48" s="85"/>
      <c r="C48" s="85" t="s">
        <v>2883</v>
      </c>
      <c r="D48" s="87"/>
      <c r="E48" s="87"/>
      <c r="G48" s="76"/>
    </row>
    <row r="49" spans="1:7">
      <c r="A49" s="85" t="s">
        <v>65</v>
      </c>
      <c r="B49" s="85"/>
      <c r="C49" s="85"/>
      <c r="D49" s="87" t="s">
        <v>66</v>
      </c>
      <c r="E49" s="87"/>
      <c r="G49" s="76"/>
    </row>
    <row r="50" spans="1:7">
      <c r="A50" s="85" t="s">
        <v>67</v>
      </c>
      <c r="B50" s="85"/>
      <c r="C50" s="85"/>
      <c r="D50" s="87" t="s">
        <v>68</v>
      </c>
      <c r="E50" s="87"/>
      <c r="G50" s="76"/>
    </row>
    <row r="51" spans="1:7">
      <c r="A51" s="85" t="s">
        <v>2884</v>
      </c>
      <c r="B51" s="86"/>
      <c r="C51" s="85"/>
      <c r="D51" s="87" t="s">
        <v>2885</v>
      </c>
      <c r="E51" s="87"/>
      <c r="G51" s="76"/>
    </row>
    <row r="52" spans="1:7">
      <c r="A52" s="85" t="s">
        <v>2886</v>
      </c>
      <c r="B52" s="85"/>
      <c r="C52" s="85"/>
      <c r="D52" s="87" t="s">
        <v>2887</v>
      </c>
      <c r="E52" s="87"/>
      <c r="G52" s="76"/>
    </row>
    <row r="53" spans="1:7">
      <c r="A53" s="85" t="s">
        <v>69</v>
      </c>
      <c r="B53" s="85"/>
      <c r="C53" s="85" t="s">
        <v>70</v>
      </c>
      <c r="D53" s="87"/>
      <c r="E53" s="87"/>
      <c r="G53" s="76"/>
    </row>
    <row r="54" spans="1:7">
      <c r="A54" s="85" t="s">
        <v>2888</v>
      </c>
      <c r="B54" s="85"/>
      <c r="C54" s="85"/>
      <c r="D54" s="87" t="s">
        <v>2889</v>
      </c>
      <c r="E54" s="87"/>
      <c r="G54" s="76"/>
    </row>
    <row r="55" spans="1:7">
      <c r="A55" s="85" t="s">
        <v>2890</v>
      </c>
      <c r="B55" s="85"/>
      <c r="C55" s="85"/>
      <c r="D55" s="87" t="s">
        <v>2891</v>
      </c>
      <c r="E55" s="87"/>
      <c r="G55" s="76"/>
    </row>
    <row r="56" spans="1:7" ht="27.6">
      <c r="A56" s="85" t="s">
        <v>71</v>
      </c>
      <c r="B56" s="85"/>
      <c r="C56" s="85" t="s">
        <v>72</v>
      </c>
      <c r="D56" s="87"/>
      <c r="E56" s="87" t="s">
        <v>2892</v>
      </c>
      <c r="G56" s="76"/>
    </row>
    <row r="57" spans="1:7">
      <c r="A57" s="85" t="s">
        <v>73</v>
      </c>
      <c r="B57" s="85"/>
      <c r="C57" s="85"/>
      <c r="D57" s="87" t="s">
        <v>2893</v>
      </c>
      <c r="E57" s="87" t="s">
        <v>74</v>
      </c>
      <c r="G57" s="76"/>
    </row>
    <row r="58" spans="1:7">
      <c r="A58" s="85" t="s">
        <v>75</v>
      </c>
      <c r="B58" s="85"/>
      <c r="C58" s="85"/>
      <c r="D58" s="87" t="s">
        <v>2894</v>
      </c>
      <c r="E58" s="87"/>
      <c r="G58" s="76"/>
    </row>
    <row r="59" spans="1:7">
      <c r="A59" s="85" t="s">
        <v>77</v>
      </c>
      <c r="B59" s="85"/>
      <c r="C59" s="85"/>
      <c r="D59" s="87" t="s">
        <v>2895</v>
      </c>
      <c r="E59" s="87" t="s">
        <v>78</v>
      </c>
      <c r="G59" s="76"/>
    </row>
    <row r="60" spans="1:7">
      <c r="A60" s="85" t="s">
        <v>79</v>
      </c>
      <c r="B60" s="85"/>
      <c r="C60" s="85"/>
      <c r="D60" s="87" t="s">
        <v>2896</v>
      </c>
      <c r="E60" s="87" t="s">
        <v>2897</v>
      </c>
      <c r="G60" s="76"/>
    </row>
    <row r="61" spans="1:7">
      <c r="A61" s="85" t="s">
        <v>80</v>
      </c>
      <c r="B61" s="85"/>
      <c r="C61" s="85"/>
      <c r="D61" s="87" t="s">
        <v>2898</v>
      </c>
      <c r="E61" s="87"/>
      <c r="G61" s="76"/>
    </row>
    <row r="62" spans="1:7">
      <c r="A62" s="85" t="s">
        <v>81</v>
      </c>
      <c r="B62" s="85"/>
      <c r="C62" s="85"/>
      <c r="D62" s="87" t="s">
        <v>2899</v>
      </c>
      <c r="E62" s="87"/>
      <c r="G62" s="76"/>
    </row>
    <row r="63" spans="1:7">
      <c r="A63" s="85" t="s">
        <v>82</v>
      </c>
      <c r="B63" s="85"/>
      <c r="C63" s="85"/>
      <c r="D63" s="87" t="s">
        <v>2900</v>
      </c>
      <c r="E63" s="87"/>
      <c r="G63" s="76"/>
    </row>
    <row r="64" spans="1:7">
      <c r="A64" s="85" t="s">
        <v>83</v>
      </c>
      <c r="B64" s="85"/>
      <c r="C64" s="85"/>
      <c r="D64" s="87" t="s">
        <v>2901</v>
      </c>
      <c r="E64" s="87" t="s">
        <v>84</v>
      </c>
      <c r="G64" s="76"/>
    </row>
    <row r="65" spans="1:7">
      <c r="A65" s="85" t="s">
        <v>85</v>
      </c>
      <c r="B65" s="85"/>
      <c r="C65" s="85"/>
      <c r="D65" s="87" t="s">
        <v>2902</v>
      </c>
      <c r="E65" s="87" t="s">
        <v>86</v>
      </c>
      <c r="G65" s="76"/>
    </row>
    <row r="66" spans="1:7">
      <c r="A66" s="85" t="s">
        <v>87</v>
      </c>
      <c r="B66" s="85"/>
      <c r="C66" s="85"/>
      <c r="D66" s="87" t="s">
        <v>2903</v>
      </c>
      <c r="E66" s="87" t="s">
        <v>88</v>
      </c>
      <c r="G66" s="76"/>
    </row>
    <row r="67" spans="1:7">
      <c r="A67" s="85" t="s">
        <v>89</v>
      </c>
      <c r="B67" s="85"/>
      <c r="C67" s="85"/>
      <c r="D67" s="87" t="s">
        <v>2904</v>
      </c>
      <c r="E67" s="87" t="s">
        <v>90</v>
      </c>
      <c r="G67" s="76"/>
    </row>
    <row r="68" spans="1:7">
      <c r="A68" s="85" t="s">
        <v>91</v>
      </c>
      <c r="B68" s="85"/>
      <c r="C68" s="85"/>
      <c r="D68" s="87" t="s">
        <v>2905</v>
      </c>
      <c r="E68" s="87" t="s">
        <v>92</v>
      </c>
      <c r="G68" s="76"/>
    </row>
    <row r="69" spans="1:7">
      <c r="A69" s="85" t="s">
        <v>93</v>
      </c>
      <c r="B69" s="85"/>
      <c r="C69" s="85"/>
      <c r="D69" s="87" t="s">
        <v>2906</v>
      </c>
      <c r="E69" s="87"/>
      <c r="G69" s="76"/>
    </row>
    <row r="70" spans="1:7">
      <c r="A70" s="85" t="s">
        <v>94</v>
      </c>
      <c r="B70" s="85"/>
      <c r="C70" s="85"/>
      <c r="D70" s="87" t="s">
        <v>2907</v>
      </c>
      <c r="E70" s="87" t="s">
        <v>92</v>
      </c>
      <c r="G70" s="76"/>
    </row>
    <row r="71" spans="1:7">
      <c r="A71" s="85" t="s">
        <v>95</v>
      </c>
      <c r="B71" s="85"/>
      <c r="C71" s="85"/>
      <c r="D71" s="87" t="s">
        <v>2908</v>
      </c>
      <c r="E71" s="87" t="s">
        <v>90</v>
      </c>
      <c r="G71" s="76"/>
    </row>
    <row r="72" spans="1:7">
      <c r="A72" s="85" t="s">
        <v>96</v>
      </c>
      <c r="B72" s="85"/>
      <c r="C72" s="85"/>
      <c r="D72" s="87" t="s">
        <v>2909</v>
      </c>
      <c r="E72" s="87"/>
      <c r="G72" s="76"/>
    </row>
    <row r="73" spans="1:7">
      <c r="A73" s="85" t="s">
        <v>97</v>
      </c>
      <c r="B73" s="85"/>
      <c r="C73" s="85" t="s">
        <v>98</v>
      </c>
      <c r="D73" s="87"/>
      <c r="E73" s="87"/>
      <c r="G73" s="76"/>
    </row>
    <row r="74" spans="1:7" ht="27.6">
      <c r="A74" s="85" t="s">
        <v>99</v>
      </c>
      <c r="B74" s="85"/>
      <c r="C74" s="85"/>
      <c r="D74" s="87" t="s">
        <v>2910</v>
      </c>
      <c r="E74" s="87"/>
      <c r="G74" s="76"/>
    </row>
    <row r="75" spans="1:7">
      <c r="A75" s="85" t="s">
        <v>100</v>
      </c>
      <c r="B75" s="85"/>
      <c r="C75" s="85"/>
      <c r="D75" s="87"/>
      <c r="E75" s="87"/>
      <c r="G75" s="76"/>
    </row>
    <row r="76" spans="1:7">
      <c r="A76" s="85" t="s">
        <v>101</v>
      </c>
      <c r="B76" s="85"/>
      <c r="C76" s="85"/>
      <c r="D76" s="87"/>
      <c r="E76" s="87"/>
      <c r="G76" s="76"/>
    </row>
    <row r="77" spans="1:7">
      <c r="A77" s="85" t="s">
        <v>102</v>
      </c>
      <c r="B77" s="85"/>
      <c r="C77" s="85"/>
      <c r="D77" s="87"/>
      <c r="E77" s="87"/>
      <c r="G77" s="76"/>
    </row>
    <row r="78" spans="1:7">
      <c r="A78" s="85" t="s">
        <v>103</v>
      </c>
      <c r="B78" s="85"/>
      <c r="C78" s="85"/>
      <c r="D78" s="87"/>
      <c r="E78" s="87"/>
      <c r="G78" s="76"/>
    </row>
    <row r="79" spans="1:7">
      <c r="A79" s="85" t="s">
        <v>104</v>
      </c>
      <c r="B79" s="85"/>
      <c r="C79" s="85"/>
      <c r="D79" s="87" t="s">
        <v>105</v>
      </c>
      <c r="E79" s="87"/>
      <c r="G79" s="76"/>
    </row>
    <row r="80" spans="1:7" ht="27.6">
      <c r="A80" s="85" t="s">
        <v>2911</v>
      </c>
      <c r="B80" s="85"/>
      <c r="C80" s="85"/>
      <c r="D80" s="87" t="s">
        <v>2912</v>
      </c>
      <c r="E80" s="87" t="s">
        <v>106</v>
      </c>
      <c r="G80" s="76"/>
    </row>
    <row r="81" spans="1:7">
      <c r="A81" s="85" t="s">
        <v>2913</v>
      </c>
      <c r="B81" s="85"/>
      <c r="C81" s="85"/>
      <c r="D81" s="87" t="s">
        <v>2914</v>
      </c>
      <c r="E81" s="87" t="s">
        <v>2915</v>
      </c>
      <c r="G81" s="76"/>
    </row>
    <row r="82" spans="1:7">
      <c r="A82" s="85" t="s">
        <v>107</v>
      </c>
      <c r="B82" s="85"/>
      <c r="C82" s="85" t="s">
        <v>108</v>
      </c>
      <c r="D82" s="87"/>
      <c r="E82" s="87" t="s">
        <v>109</v>
      </c>
      <c r="G82" s="76"/>
    </row>
    <row r="83" spans="1:7">
      <c r="A83" s="85" t="s">
        <v>110</v>
      </c>
      <c r="B83" s="85"/>
      <c r="C83" s="85"/>
      <c r="D83" s="87" t="s">
        <v>111</v>
      </c>
      <c r="E83" s="87"/>
      <c r="G83" s="76"/>
    </row>
    <row r="84" spans="1:7">
      <c r="A84" s="85" t="s">
        <v>112</v>
      </c>
      <c r="B84" s="85"/>
      <c r="C84" s="85"/>
      <c r="D84" s="87" t="s">
        <v>113</v>
      </c>
      <c r="E84" s="87"/>
      <c r="G84" s="76"/>
    </row>
    <row r="85" spans="1:7">
      <c r="A85" s="85" t="s">
        <v>2916</v>
      </c>
      <c r="B85" s="85"/>
      <c r="C85" s="85"/>
      <c r="D85" s="87" t="s">
        <v>2917</v>
      </c>
      <c r="E85" s="87"/>
      <c r="G85" s="76"/>
    </row>
    <row r="86" spans="1:7">
      <c r="A86" s="85" t="s">
        <v>2918</v>
      </c>
      <c r="B86" s="85"/>
      <c r="C86" s="85"/>
      <c r="D86" s="87" t="s">
        <v>2919</v>
      </c>
      <c r="E86" s="87"/>
      <c r="G86" s="76"/>
    </row>
    <row r="87" spans="1:7">
      <c r="A87" s="85" t="s">
        <v>2920</v>
      </c>
      <c r="B87" s="85"/>
      <c r="C87" s="85"/>
      <c r="D87" s="87" t="s">
        <v>2921</v>
      </c>
      <c r="E87" s="87"/>
      <c r="G87" s="76"/>
    </row>
    <row r="88" spans="1:7">
      <c r="A88" s="85" t="s">
        <v>2922</v>
      </c>
      <c r="B88" s="85"/>
      <c r="C88" s="85"/>
      <c r="D88" s="87" t="s">
        <v>2923</v>
      </c>
      <c r="E88" s="87"/>
      <c r="G88" s="76"/>
    </row>
    <row r="89" spans="1:7" ht="27.6">
      <c r="A89" s="85" t="s">
        <v>114</v>
      </c>
      <c r="B89" s="85"/>
      <c r="C89" s="85" t="s">
        <v>115</v>
      </c>
      <c r="D89" s="87"/>
      <c r="E89" s="87"/>
      <c r="G89" s="76"/>
    </row>
    <row r="90" spans="1:7">
      <c r="A90" s="85" t="s">
        <v>2924</v>
      </c>
      <c r="B90" s="85"/>
      <c r="C90" s="85"/>
      <c r="D90" s="87" t="s">
        <v>2925</v>
      </c>
      <c r="E90" s="87" t="s">
        <v>2926</v>
      </c>
      <c r="G90" s="76"/>
    </row>
    <row r="91" spans="1:7">
      <c r="A91" s="85" t="s">
        <v>2927</v>
      </c>
      <c r="B91" s="85"/>
      <c r="C91" s="85"/>
      <c r="D91" s="87" t="s">
        <v>2928</v>
      </c>
      <c r="E91" s="87" t="s">
        <v>2929</v>
      </c>
      <c r="G91" s="76"/>
    </row>
    <row r="92" spans="1:7">
      <c r="A92" s="85" t="s">
        <v>2930</v>
      </c>
      <c r="B92" s="85"/>
      <c r="C92" s="85"/>
      <c r="D92" s="87" t="s">
        <v>2931</v>
      </c>
      <c r="E92" s="87" t="s">
        <v>2932</v>
      </c>
      <c r="G92" s="76"/>
    </row>
    <row r="93" spans="1:7">
      <c r="A93" s="85" t="s">
        <v>2933</v>
      </c>
      <c r="B93" s="85"/>
      <c r="C93" s="85" t="s">
        <v>2934</v>
      </c>
      <c r="D93" s="87"/>
      <c r="E93" s="87" t="s">
        <v>2915</v>
      </c>
      <c r="G93" s="76"/>
    </row>
    <row r="94" spans="1:7">
      <c r="A94" s="85" t="s">
        <v>2935</v>
      </c>
      <c r="B94" s="85"/>
      <c r="C94" s="85"/>
      <c r="D94" s="87" t="s">
        <v>2936</v>
      </c>
      <c r="E94" s="87" t="s">
        <v>2915</v>
      </c>
      <c r="G94" s="76"/>
    </row>
    <row r="95" spans="1:7">
      <c r="A95" s="85" t="s">
        <v>2937</v>
      </c>
      <c r="B95" s="85"/>
      <c r="C95" s="85"/>
      <c r="D95" s="87" t="s">
        <v>2938</v>
      </c>
      <c r="E95" s="87" t="s">
        <v>2915</v>
      </c>
      <c r="G95" s="76"/>
    </row>
    <row r="96" spans="1:7" ht="27.6">
      <c r="A96" s="85" t="s">
        <v>116</v>
      </c>
      <c r="B96" s="85" t="s">
        <v>117</v>
      </c>
      <c r="C96" s="85"/>
      <c r="D96" s="87"/>
      <c r="E96" s="87"/>
      <c r="G96" s="76"/>
    </row>
    <row r="97" spans="1:7">
      <c r="A97" s="85" t="s">
        <v>118</v>
      </c>
      <c r="B97" s="85"/>
      <c r="C97" s="85" t="s">
        <v>119</v>
      </c>
      <c r="D97" s="87"/>
      <c r="E97" s="87" t="s">
        <v>120</v>
      </c>
      <c r="G97" s="76"/>
    </row>
    <row r="98" spans="1:7">
      <c r="A98" s="85" t="s">
        <v>121</v>
      </c>
      <c r="B98" s="85"/>
      <c r="C98" s="85" t="s">
        <v>122</v>
      </c>
      <c r="D98" s="87"/>
      <c r="E98" s="87"/>
      <c r="G98" s="76"/>
    </row>
    <row r="99" spans="1:7">
      <c r="A99" s="85" t="s">
        <v>2939</v>
      </c>
      <c r="B99" s="85"/>
      <c r="C99" s="85"/>
      <c r="D99" s="87" t="s">
        <v>2940</v>
      </c>
      <c r="E99" s="87" t="s">
        <v>2941</v>
      </c>
      <c r="G99" s="76"/>
    </row>
    <row r="100" spans="1:7">
      <c r="A100" s="85" t="s">
        <v>2942</v>
      </c>
      <c r="B100" s="85"/>
      <c r="C100" s="85"/>
      <c r="D100" s="87" t="s">
        <v>2943</v>
      </c>
      <c r="E100" s="87" t="s">
        <v>2944</v>
      </c>
      <c r="G100" s="76"/>
    </row>
    <row r="101" spans="1:7">
      <c r="A101" s="85" t="s">
        <v>123</v>
      </c>
      <c r="B101" s="85"/>
      <c r="C101" s="85" t="s">
        <v>124</v>
      </c>
      <c r="D101" s="87"/>
      <c r="E101" s="87" t="s">
        <v>125</v>
      </c>
      <c r="G101" s="76"/>
    </row>
    <row r="102" spans="1:7" ht="27.6">
      <c r="A102" s="85" t="s">
        <v>126</v>
      </c>
      <c r="B102" s="85"/>
      <c r="C102" s="85" t="s">
        <v>127</v>
      </c>
      <c r="D102" s="87"/>
      <c r="E102" s="87"/>
      <c r="G102" s="76"/>
    </row>
    <row r="103" spans="1:7">
      <c r="A103" s="85" t="s">
        <v>128</v>
      </c>
      <c r="B103" s="85" t="s">
        <v>129</v>
      </c>
      <c r="C103" s="85"/>
      <c r="D103" s="87"/>
      <c r="E103" s="87"/>
      <c r="G103" s="76"/>
    </row>
    <row r="104" spans="1:7">
      <c r="A104" s="85" t="s">
        <v>130</v>
      </c>
      <c r="B104" s="85"/>
      <c r="C104" s="85" t="s">
        <v>131</v>
      </c>
      <c r="D104" s="87"/>
      <c r="E104" s="87" t="s">
        <v>132</v>
      </c>
      <c r="G104" s="76"/>
    </row>
    <row r="105" spans="1:7">
      <c r="A105" s="85" t="s">
        <v>133</v>
      </c>
      <c r="B105" s="85"/>
      <c r="C105" s="85" t="s">
        <v>134</v>
      </c>
      <c r="D105" s="87"/>
      <c r="E105" s="87"/>
      <c r="G105" s="76"/>
    </row>
    <row r="106" spans="1:7">
      <c r="A106" s="85" t="s">
        <v>135</v>
      </c>
      <c r="B106" s="85"/>
      <c r="C106" s="85"/>
      <c r="D106" s="87" t="s">
        <v>136</v>
      </c>
      <c r="E106" s="87"/>
      <c r="G106" s="76"/>
    </row>
    <row r="107" spans="1:7">
      <c r="A107" s="85" t="s">
        <v>137</v>
      </c>
      <c r="B107" s="85"/>
      <c r="C107" s="85"/>
      <c r="D107" s="87" t="s">
        <v>138</v>
      </c>
      <c r="E107" s="87"/>
      <c r="G107" s="76"/>
    </row>
    <row r="108" spans="1:7">
      <c r="A108" s="85" t="s">
        <v>139</v>
      </c>
      <c r="B108" s="85"/>
      <c r="C108" s="85"/>
      <c r="D108" s="87" t="s">
        <v>140</v>
      </c>
      <c r="E108" s="87"/>
      <c r="G108" s="76"/>
    </row>
    <row r="109" spans="1:7" ht="27.6">
      <c r="A109" s="85" t="s">
        <v>141</v>
      </c>
      <c r="B109" s="85"/>
      <c r="C109" s="85" t="s">
        <v>142</v>
      </c>
      <c r="D109" s="87"/>
      <c r="E109" s="87"/>
      <c r="G109" s="76"/>
    </row>
    <row r="110" spans="1:7" ht="27.6">
      <c r="A110" s="85" t="s">
        <v>143</v>
      </c>
      <c r="B110" s="85"/>
      <c r="C110" s="85"/>
      <c r="D110" s="87" t="s">
        <v>2945</v>
      </c>
      <c r="E110" s="87"/>
      <c r="G110" s="76"/>
    </row>
    <row r="111" spans="1:7" ht="27.6">
      <c r="A111" s="85" t="s">
        <v>144</v>
      </c>
      <c r="B111" s="85"/>
      <c r="C111" s="85"/>
      <c r="D111" s="87" t="s">
        <v>2946</v>
      </c>
      <c r="E111" s="87"/>
      <c r="G111" s="76"/>
    </row>
    <row r="112" spans="1:7" ht="27.6">
      <c r="A112" s="85" t="s">
        <v>145</v>
      </c>
      <c r="B112" s="85"/>
      <c r="C112" s="85"/>
      <c r="D112" s="87" t="s">
        <v>2947</v>
      </c>
      <c r="E112" s="87"/>
      <c r="G112" s="76"/>
    </row>
    <row r="113" spans="1:7">
      <c r="A113" s="85" t="s">
        <v>146</v>
      </c>
      <c r="B113" s="85"/>
      <c r="C113" s="85" t="s">
        <v>147</v>
      </c>
      <c r="D113" s="87"/>
      <c r="E113" s="87"/>
      <c r="G113" s="76"/>
    </row>
    <row r="114" spans="1:7">
      <c r="A114" s="85" t="s">
        <v>148</v>
      </c>
      <c r="B114" s="85"/>
      <c r="C114" s="85" t="s">
        <v>149</v>
      </c>
      <c r="D114" s="87"/>
      <c r="E114" s="87"/>
      <c r="G114" s="76"/>
    </row>
    <row r="115" spans="1:7" ht="27.6">
      <c r="A115" s="85" t="s">
        <v>150</v>
      </c>
      <c r="B115" s="85"/>
      <c r="C115" s="85" t="s">
        <v>151</v>
      </c>
      <c r="D115" s="87"/>
      <c r="E115" s="87"/>
      <c r="G115" s="76"/>
    </row>
    <row r="116" spans="1:7">
      <c r="A116" s="85" t="s">
        <v>152</v>
      </c>
      <c r="B116" s="85"/>
      <c r="C116" s="85"/>
      <c r="D116" s="87" t="s">
        <v>153</v>
      </c>
      <c r="E116" s="87"/>
      <c r="G116" s="76"/>
    </row>
    <row r="117" spans="1:7">
      <c r="A117" s="85" t="s">
        <v>154</v>
      </c>
      <c r="B117" s="85"/>
      <c r="C117" s="85"/>
      <c r="D117" s="87" t="s">
        <v>155</v>
      </c>
      <c r="E117" s="87"/>
      <c r="G117" s="76"/>
    </row>
    <row r="118" spans="1:7">
      <c r="A118" s="85" t="s">
        <v>156</v>
      </c>
      <c r="B118" s="85"/>
      <c r="C118" s="85"/>
      <c r="D118" s="87" t="s">
        <v>157</v>
      </c>
      <c r="E118" s="87"/>
      <c r="G118" s="76"/>
    </row>
    <row r="119" spans="1:7">
      <c r="A119" s="85" t="s">
        <v>158</v>
      </c>
      <c r="B119" s="85"/>
      <c r="C119" s="85"/>
      <c r="D119" s="87" t="s">
        <v>159</v>
      </c>
      <c r="E119" s="87"/>
      <c r="G119" s="76"/>
    </row>
    <row r="120" spans="1:7">
      <c r="A120" s="85" t="s">
        <v>160</v>
      </c>
      <c r="B120" s="85"/>
      <c r="C120" s="85"/>
      <c r="D120" s="87" t="s">
        <v>161</v>
      </c>
      <c r="E120" s="87"/>
      <c r="G120" s="76"/>
    </row>
    <row r="121" spans="1:7">
      <c r="A121" s="85" t="s">
        <v>2948</v>
      </c>
      <c r="B121" s="85"/>
      <c r="C121" s="85"/>
      <c r="D121" s="87" t="s">
        <v>2949</v>
      </c>
      <c r="E121" s="87"/>
      <c r="G121" s="76"/>
    </row>
    <row r="122" spans="1:7">
      <c r="A122" s="85" t="s">
        <v>162</v>
      </c>
      <c r="B122" s="85"/>
      <c r="C122" s="85" t="s">
        <v>163</v>
      </c>
      <c r="D122" s="87"/>
      <c r="E122" s="87"/>
      <c r="G122" s="76"/>
    </row>
    <row r="123" spans="1:7" ht="27.6">
      <c r="A123" s="85" t="s">
        <v>164</v>
      </c>
      <c r="B123" s="85"/>
      <c r="C123" s="85"/>
      <c r="D123" s="87" t="s">
        <v>165</v>
      </c>
      <c r="E123" s="87" t="s">
        <v>166</v>
      </c>
      <c r="G123" s="76"/>
    </row>
    <row r="124" spans="1:7">
      <c r="A124" s="85" t="s">
        <v>2950</v>
      </c>
      <c r="B124" s="85"/>
      <c r="C124" s="85"/>
      <c r="D124" s="87" t="s">
        <v>2951</v>
      </c>
      <c r="E124" s="87"/>
      <c r="G124" s="76"/>
    </row>
    <row r="125" spans="1:7" ht="27.6">
      <c r="A125" s="85" t="s">
        <v>2952</v>
      </c>
      <c r="B125" s="85"/>
      <c r="C125" s="85"/>
      <c r="D125" s="87" t="s">
        <v>2953</v>
      </c>
      <c r="E125" s="87"/>
      <c r="G125" s="76"/>
    </row>
    <row r="126" spans="1:7" ht="27.6">
      <c r="A126" s="85" t="s">
        <v>2954</v>
      </c>
      <c r="B126" s="85"/>
      <c r="C126" s="85"/>
      <c r="D126" s="87" t="s">
        <v>2955</v>
      </c>
      <c r="E126" s="87"/>
      <c r="G126" s="76"/>
    </row>
    <row r="127" spans="1:7">
      <c r="A127" s="85" t="s">
        <v>167</v>
      </c>
      <c r="B127" s="85"/>
      <c r="C127" s="85" t="s">
        <v>168</v>
      </c>
      <c r="D127" s="87"/>
      <c r="E127" s="87" t="s">
        <v>169</v>
      </c>
      <c r="G127" s="76"/>
    </row>
    <row r="128" spans="1:7">
      <c r="A128" s="85" t="s">
        <v>170</v>
      </c>
      <c r="B128" s="85"/>
      <c r="C128" s="85"/>
      <c r="D128" s="87" t="s">
        <v>171</v>
      </c>
      <c r="E128" s="87"/>
      <c r="G128" s="76"/>
    </row>
    <row r="129" spans="1:7" ht="27.6">
      <c r="A129" s="85" t="s">
        <v>172</v>
      </c>
      <c r="B129" s="85"/>
      <c r="C129" s="85"/>
      <c r="D129" s="87" t="s">
        <v>2956</v>
      </c>
      <c r="E129" s="87"/>
      <c r="G129" s="76"/>
    </row>
    <row r="130" spans="1:7">
      <c r="A130" s="85" t="s">
        <v>173</v>
      </c>
      <c r="B130" s="85"/>
      <c r="C130" s="85" t="s">
        <v>174</v>
      </c>
      <c r="D130" s="87"/>
      <c r="E130" s="87"/>
      <c r="G130" s="76"/>
    </row>
    <row r="131" spans="1:7">
      <c r="A131" s="85" t="s">
        <v>175</v>
      </c>
      <c r="B131" s="85"/>
      <c r="C131" s="85"/>
      <c r="D131" s="87" t="s">
        <v>2957</v>
      </c>
      <c r="E131" s="87"/>
      <c r="G131" s="76"/>
    </row>
    <row r="132" spans="1:7" ht="27.6">
      <c r="A132" s="85" t="s">
        <v>176</v>
      </c>
      <c r="B132" s="85"/>
      <c r="C132" s="85"/>
      <c r="D132" s="87" t="s">
        <v>177</v>
      </c>
      <c r="E132" s="87"/>
      <c r="G132" s="76"/>
    </row>
    <row r="133" spans="1:7">
      <c r="A133" s="85" t="s">
        <v>2958</v>
      </c>
      <c r="B133" s="85"/>
      <c r="C133" s="85"/>
      <c r="D133" s="87" t="s">
        <v>2959</v>
      </c>
      <c r="E133" s="87"/>
      <c r="G133" s="76"/>
    </row>
    <row r="134" spans="1:7" ht="27.6">
      <c r="A134" s="85" t="s">
        <v>178</v>
      </c>
      <c r="B134" s="85"/>
      <c r="C134" s="85" t="s">
        <v>2960</v>
      </c>
      <c r="D134" s="87"/>
      <c r="E134" s="87"/>
      <c r="G134" s="76"/>
    </row>
    <row r="135" spans="1:7">
      <c r="A135" s="85" t="s">
        <v>179</v>
      </c>
      <c r="B135" s="85"/>
      <c r="C135" s="85" t="s">
        <v>180</v>
      </c>
      <c r="D135" s="87"/>
      <c r="E135" s="87"/>
      <c r="G135" s="76"/>
    </row>
    <row r="136" spans="1:7">
      <c r="A136" s="85" t="s">
        <v>181</v>
      </c>
      <c r="B136" s="85"/>
      <c r="C136" s="85"/>
      <c r="D136" s="87" t="s">
        <v>182</v>
      </c>
      <c r="E136" s="87"/>
      <c r="G136" s="76"/>
    </row>
    <row r="137" spans="1:7">
      <c r="A137" s="85" t="s">
        <v>183</v>
      </c>
      <c r="B137" s="85"/>
      <c r="C137" s="85"/>
      <c r="D137" s="87" t="s">
        <v>2961</v>
      </c>
      <c r="E137" s="87" t="s">
        <v>23</v>
      </c>
      <c r="G137" s="76"/>
    </row>
    <row r="138" spans="1:7">
      <c r="A138" s="85" t="s">
        <v>184</v>
      </c>
      <c r="B138" s="85"/>
      <c r="C138" s="85"/>
      <c r="D138" s="87" t="s">
        <v>2962</v>
      </c>
      <c r="E138" s="87"/>
      <c r="G138" s="76"/>
    </row>
    <row r="139" spans="1:7" ht="27.6">
      <c r="A139" s="85" t="s">
        <v>185</v>
      </c>
      <c r="B139" s="85"/>
      <c r="C139" s="85"/>
      <c r="D139" s="87" t="s">
        <v>186</v>
      </c>
      <c r="E139" s="87"/>
      <c r="G139" s="76"/>
    </row>
    <row r="140" spans="1:7">
      <c r="A140" s="85" t="s">
        <v>2963</v>
      </c>
      <c r="B140" s="85"/>
      <c r="C140" s="85"/>
      <c r="D140" s="87" t="s">
        <v>2964</v>
      </c>
      <c r="E140" s="87"/>
      <c r="G140" s="76"/>
    </row>
    <row r="141" spans="1:7">
      <c r="A141" s="85" t="s">
        <v>187</v>
      </c>
      <c r="B141" s="85"/>
      <c r="C141" s="85" t="s">
        <v>188</v>
      </c>
      <c r="D141" s="87"/>
      <c r="E141" s="87"/>
      <c r="G141" s="76"/>
    </row>
    <row r="142" spans="1:7">
      <c r="A142" s="85" t="s">
        <v>189</v>
      </c>
      <c r="B142" s="85"/>
      <c r="C142" s="85"/>
      <c r="D142" s="87" t="s">
        <v>190</v>
      </c>
      <c r="E142" s="87"/>
      <c r="G142" s="76"/>
    </row>
    <row r="143" spans="1:7">
      <c r="A143" s="85" t="s">
        <v>191</v>
      </c>
      <c r="B143" s="85"/>
      <c r="C143" s="85"/>
      <c r="D143" s="87" t="s">
        <v>192</v>
      </c>
      <c r="E143" s="87"/>
      <c r="G143" s="76"/>
    </row>
    <row r="144" spans="1:7">
      <c r="A144" s="85" t="s">
        <v>193</v>
      </c>
      <c r="B144" s="85"/>
      <c r="C144" s="85"/>
      <c r="D144" s="87" t="s">
        <v>194</v>
      </c>
      <c r="E144" s="87"/>
      <c r="G144" s="76"/>
    </row>
    <row r="145" spans="1:7">
      <c r="A145" s="85" t="s">
        <v>195</v>
      </c>
      <c r="B145" s="85"/>
      <c r="C145" s="85"/>
      <c r="D145" s="87" t="s">
        <v>196</v>
      </c>
      <c r="E145" s="87"/>
      <c r="G145" s="76"/>
    </row>
    <row r="146" spans="1:7">
      <c r="A146" s="85" t="s">
        <v>197</v>
      </c>
      <c r="B146" s="85"/>
      <c r="C146" s="85" t="s">
        <v>198</v>
      </c>
      <c r="D146" s="87"/>
      <c r="E146" s="87"/>
      <c r="G146" s="76"/>
    </row>
    <row r="147" spans="1:7">
      <c r="A147" s="85" t="s">
        <v>199</v>
      </c>
      <c r="B147" s="85"/>
      <c r="C147" s="85"/>
      <c r="D147" s="87" t="s">
        <v>200</v>
      </c>
      <c r="E147" s="87"/>
      <c r="G147" s="76"/>
    </row>
    <row r="148" spans="1:7">
      <c r="A148" s="85" t="s">
        <v>201</v>
      </c>
      <c r="B148" s="85"/>
      <c r="C148" s="85"/>
      <c r="D148" s="87" t="s">
        <v>202</v>
      </c>
      <c r="E148" s="87"/>
      <c r="G148" s="76"/>
    </row>
    <row r="149" spans="1:7">
      <c r="A149" s="85" t="s">
        <v>203</v>
      </c>
      <c r="B149" s="85"/>
      <c r="C149" s="85"/>
      <c r="D149" s="87" t="s">
        <v>204</v>
      </c>
      <c r="E149" s="87"/>
      <c r="G149" s="76"/>
    </row>
    <row r="150" spans="1:7" ht="27.6">
      <c r="A150" s="85" t="s">
        <v>205</v>
      </c>
      <c r="B150" s="85"/>
      <c r="C150" s="85"/>
      <c r="D150" s="87" t="s">
        <v>2965</v>
      </c>
      <c r="E150" s="87"/>
      <c r="G150" s="76"/>
    </row>
    <row r="151" spans="1:7">
      <c r="A151" s="85" t="s">
        <v>2966</v>
      </c>
      <c r="B151" s="85"/>
      <c r="C151" s="85"/>
      <c r="D151" s="87" t="s">
        <v>2967</v>
      </c>
      <c r="E151" s="87"/>
      <c r="G151" s="76"/>
    </row>
    <row r="152" spans="1:7">
      <c r="A152" s="85" t="s">
        <v>206</v>
      </c>
      <c r="B152" s="85"/>
      <c r="C152" s="85" t="s">
        <v>207</v>
      </c>
      <c r="D152" s="87"/>
      <c r="E152" s="87"/>
      <c r="G152" s="76"/>
    </row>
    <row r="153" spans="1:7">
      <c r="A153" s="85" t="s">
        <v>208</v>
      </c>
      <c r="B153" s="85"/>
      <c r="C153" s="85"/>
      <c r="D153" s="87" t="s">
        <v>209</v>
      </c>
      <c r="E153" s="87" t="s">
        <v>210</v>
      </c>
      <c r="G153" s="76"/>
    </row>
    <row r="154" spans="1:7">
      <c r="A154" s="85" t="s">
        <v>211</v>
      </c>
      <c r="B154" s="85"/>
      <c r="C154" s="85"/>
      <c r="D154" s="87" t="s">
        <v>212</v>
      </c>
      <c r="E154" s="87" t="s">
        <v>213</v>
      </c>
      <c r="G154" s="76"/>
    </row>
    <row r="155" spans="1:7" ht="27.6">
      <c r="A155" s="85" t="s">
        <v>214</v>
      </c>
      <c r="B155" s="85"/>
      <c r="C155" s="85" t="s">
        <v>2968</v>
      </c>
      <c r="D155" s="87"/>
      <c r="E155" s="87"/>
      <c r="G155" s="76"/>
    </row>
    <row r="156" spans="1:7">
      <c r="A156" s="85" t="s">
        <v>215</v>
      </c>
      <c r="B156" s="85"/>
      <c r="C156" s="85" t="s">
        <v>216</v>
      </c>
      <c r="D156" s="87"/>
      <c r="E156" s="87"/>
      <c r="G156" s="76"/>
    </row>
    <row r="157" spans="1:7">
      <c r="A157" s="85" t="s">
        <v>217</v>
      </c>
      <c r="B157" s="85" t="s">
        <v>218</v>
      </c>
      <c r="C157" s="85"/>
      <c r="D157" s="87"/>
      <c r="E157" s="87"/>
      <c r="G157" s="76"/>
    </row>
    <row r="158" spans="1:7">
      <c r="A158" s="85" t="s">
        <v>219</v>
      </c>
      <c r="B158" s="85"/>
      <c r="C158" s="85" t="s">
        <v>220</v>
      </c>
      <c r="D158" s="87"/>
      <c r="E158" s="87"/>
      <c r="G158" s="76"/>
    </row>
    <row r="159" spans="1:7">
      <c r="A159" s="85" t="s">
        <v>221</v>
      </c>
      <c r="B159" s="85"/>
      <c r="C159" s="85"/>
      <c r="D159" s="87" t="s">
        <v>2969</v>
      </c>
      <c r="E159" s="87" t="s">
        <v>222</v>
      </c>
      <c r="G159" s="76"/>
    </row>
    <row r="160" spans="1:7">
      <c r="A160" s="85" t="s">
        <v>224</v>
      </c>
      <c r="B160" s="86"/>
      <c r="C160" s="85"/>
      <c r="D160" s="87" t="s">
        <v>2970</v>
      </c>
      <c r="E160" s="87"/>
      <c r="G160" s="76"/>
    </row>
    <row r="161" spans="1:7">
      <c r="A161" s="85" t="s">
        <v>2971</v>
      </c>
      <c r="B161" s="85"/>
      <c r="C161" s="85"/>
      <c r="D161" s="87" t="s">
        <v>2972</v>
      </c>
      <c r="E161" s="87" t="s">
        <v>2973</v>
      </c>
      <c r="G161" s="76"/>
    </row>
    <row r="162" spans="1:7">
      <c r="A162" s="85" t="s">
        <v>2974</v>
      </c>
      <c r="B162" s="85"/>
      <c r="C162" s="85" t="s">
        <v>2975</v>
      </c>
      <c r="D162" s="87"/>
      <c r="E162" s="87" t="s">
        <v>223</v>
      </c>
      <c r="G162" s="76"/>
    </row>
    <row r="163" spans="1:7">
      <c r="A163" s="85" t="s">
        <v>227</v>
      </c>
      <c r="B163" s="85"/>
      <c r="C163" s="85" t="s">
        <v>228</v>
      </c>
      <c r="D163" s="87"/>
      <c r="E163" s="87"/>
      <c r="G163" s="76"/>
    </row>
    <row r="164" spans="1:7">
      <c r="A164" s="85" t="s">
        <v>229</v>
      </c>
      <c r="B164" s="85"/>
      <c r="C164" s="85"/>
      <c r="D164" s="87" t="s">
        <v>230</v>
      </c>
      <c r="E164" s="87" t="s">
        <v>231</v>
      </c>
      <c r="G164" s="76"/>
    </row>
    <row r="165" spans="1:7" ht="27.6">
      <c r="A165" s="85" t="s">
        <v>232</v>
      </c>
      <c r="B165" s="85"/>
      <c r="C165" s="85"/>
      <c r="D165" s="87" t="s">
        <v>233</v>
      </c>
      <c r="E165" s="87" t="s">
        <v>231</v>
      </c>
      <c r="G165" s="76"/>
    </row>
    <row r="166" spans="1:7">
      <c r="A166" s="85" t="s">
        <v>234</v>
      </c>
      <c r="B166" s="85"/>
      <c r="C166" s="85"/>
      <c r="D166" s="87" t="s">
        <v>235</v>
      </c>
      <c r="E166" s="87" t="s">
        <v>231</v>
      </c>
      <c r="G166" s="76"/>
    </row>
    <row r="167" spans="1:7">
      <c r="A167" s="85" t="s">
        <v>236</v>
      </c>
      <c r="B167" s="85"/>
      <c r="C167" s="85"/>
      <c r="D167" s="87" t="s">
        <v>237</v>
      </c>
      <c r="E167" s="87" t="s">
        <v>231</v>
      </c>
      <c r="G167" s="76"/>
    </row>
    <row r="168" spans="1:7">
      <c r="A168" s="85" t="s">
        <v>2976</v>
      </c>
      <c r="B168" s="85"/>
      <c r="C168" s="85"/>
      <c r="D168" s="87" t="s">
        <v>225</v>
      </c>
      <c r="E168" s="87" t="s">
        <v>226</v>
      </c>
      <c r="G168" s="76"/>
    </row>
    <row r="169" spans="1:7">
      <c r="A169" s="85" t="s">
        <v>238</v>
      </c>
      <c r="B169" s="85"/>
      <c r="C169" s="85" t="s">
        <v>239</v>
      </c>
      <c r="D169" s="87"/>
      <c r="E169" s="87"/>
      <c r="G169" s="76"/>
    </row>
    <row r="170" spans="1:7">
      <c r="A170" s="85" t="s">
        <v>240</v>
      </c>
      <c r="B170" s="85"/>
      <c r="C170" s="85"/>
      <c r="D170" s="87" t="s">
        <v>2977</v>
      </c>
      <c r="E170" s="87"/>
      <c r="G170" s="76"/>
    </row>
    <row r="171" spans="1:7">
      <c r="A171" s="85" t="s">
        <v>241</v>
      </c>
      <c r="B171" s="85"/>
      <c r="C171" s="85"/>
      <c r="D171" s="87" t="s">
        <v>2978</v>
      </c>
      <c r="E171" s="87"/>
      <c r="G171" s="76"/>
    </row>
    <row r="172" spans="1:7">
      <c r="A172" s="85" t="s">
        <v>2979</v>
      </c>
      <c r="B172" s="85"/>
      <c r="C172" s="85"/>
      <c r="D172" s="87" t="s">
        <v>2980</v>
      </c>
      <c r="E172" s="87"/>
      <c r="G172" s="76"/>
    </row>
    <row r="173" spans="1:7" ht="27.6">
      <c r="A173" s="85" t="s">
        <v>2981</v>
      </c>
      <c r="B173" s="85"/>
      <c r="C173" s="85"/>
      <c r="D173" s="87" t="s">
        <v>2982</v>
      </c>
      <c r="E173" s="87"/>
      <c r="G173" s="76"/>
    </row>
    <row r="174" spans="1:7">
      <c r="A174" s="85" t="s">
        <v>2983</v>
      </c>
      <c r="B174" s="85"/>
      <c r="C174" s="85"/>
      <c r="D174" s="87" t="s">
        <v>2984</v>
      </c>
      <c r="E174" s="87" t="s">
        <v>2985</v>
      </c>
      <c r="G174" s="76"/>
    </row>
    <row r="175" spans="1:7">
      <c r="A175" s="85" t="s">
        <v>242</v>
      </c>
      <c r="B175" s="85"/>
      <c r="C175" s="85" t="s">
        <v>243</v>
      </c>
      <c r="D175" s="87"/>
      <c r="E175" s="87"/>
      <c r="G175" s="76"/>
    </row>
    <row r="176" spans="1:7">
      <c r="A176" s="85" t="s">
        <v>244</v>
      </c>
      <c r="B176" s="85"/>
      <c r="C176" s="85"/>
      <c r="D176" s="87" t="s">
        <v>2986</v>
      </c>
      <c r="E176" s="87" t="s">
        <v>2985</v>
      </c>
      <c r="G176" s="76"/>
    </row>
    <row r="177" spans="1:7">
      <c r="A177" s="85" t="s">
        <v>245</v>
      </c>
      <c r="B177" s="85"/>
      <c r="C177" s="85"/>
      <c r="D177" s="87" t="s">
        <v>2987</v>
      </c>
      <c r="E177" s="87" t="s">
        <v>2988</v>
      </c>
      <c r="G177" s="76"/>
    </row>
    <row r="178" spans="1:7">
      <c r="A178" s="85" t="s">
        <v>246</v>
      </c>
      <c r="B178" s="85"/>
      <c r="C178" s="85"/>
      <c r="D178" s="87" t="s">
        <v>247</v>
      </c>
      <c r="E178" s="87" t="s">
        <v>2989</v>
      </c>
      <c r="G178" s="76"/>
    </row>
    <row r="179" spans="1:7">
      <c r="A179" s="85" t="s">
        <v>248</v>
      </c>
      <c r="B179" s="85"/>
      <c r="C179" s="85"/>
      <c r="D179" s="87" t="s">
        <v>249</v>
      </c>
      <c r="E179" s="87"/>
      <c r="G179" s="76"/>
    </row>
    <row r="180" spans="1:7">
      <c r="A180" s="85" t="s">
        <v>250</v>
      </c>
      <c r="B180" s="85"/>
      <c r="C180" s="85"/>
      <c r="D180" s="87" t="s">
        <v>251</v>
      </c>
      <c r="E180" s="87"/>
      <c r="G180" s="76"/>
    </row>
    <row r="181" spans="1:7">
      <c r="A181" s="85" t="s">
        <v>2990</v>
      </c>
      <c r="B181" s="85"/>
      <c r="C181" s="85"/>
      <c r="D181" s="87" t="s">
        <v>2991</v>
      </c>
      <c r="E181" s="87" t="s">
        <v>2992</v>
      </c>
      <c r="G181" s="76"/>
    </row>
    <row r="182" spans="1:7">
      <c r="A182" s="85" t="s">
        <v>252</v>
      </c>
      <c r="B182" s="85"/>
      <c r="C182" s="85" t="s">
        <v>253</v>
      </c>
      <c r="D182" s="87"/>
      <c r="E182" s="87"/>
      <c r="G182" s="76"/>
    </row>
    <row r="183" spans="1:7">
      <c r="A183" s="85" t="s">
        <v>254</v>
      </c>
      <c r="B183" s="85"/>
      <c r="C183" s="85" t="s">
        <v>255</v>
      </c>
      <c r="D183" s="87"/>
      <c r="E183" s="87"/>
      <c r="G183" s="76"/>
    </row>
    <row r="184" spans="1:7">
      <c r="A184" s="85" t="s">
        <v>256</v>
      </c>
      <c r="B184" s="85"/>
      <c r="C184" s="85" t="s">
        <v>257</v>
      </c>
      <c r="D184" s="87"/>
      <c r="E184" s="87"/>
      <c r="G184" s="76"/>
    </row>
    <row r="185" spans="1:7">
      <c r="A185" s="85" t="s">
        <v>258</v>
      </c>
      <c r="B185" s="85" t="s">
        <v>259</v>
      </c>
      <c r="C185" s="85"/>
      <c r="D185" s="87"/>
      <c r="E185" s="87"/>
      <c r="G185" s="76"/>
    </row>
    <row r="186" spans="1:7">
      <c r="A186" s="85" t="s">
        <v>260</v>
      </c>
      <c r="B186" s="85"/>
      <c r="C186" s="85" t="s">
        <v>261</v>
      </c>
      <c r="D186" s="87"/>
      <c r="E186" s="87"/>
    </row>
    <row r="187" spans="1:7" ht="27.6">
      <c r="A187" s="85" t="s">
        <v>262</v>
      </c>
      <c r="B187" s="85"/>
      <c r="C187" s="85"/>
      <c r="D187" s="87" t="s">
        <v>263</v>
      </c>
      <c r="E187" s="87"/>
    </row>
    <row r="188" spans="1:7" ht="27.6">
      <c r="A188" s="85" t="s">
        <v>264</v>
      </c>
      <c r="B188" s="85"/>
      <c r="C188" s="85"/>
      <c r="D188" s="87" t="s">
        <v>265</v>
      </c>
      <c r="E188" s="87"/>
    </row>
    <row r="189" spans="1:7">
      <c r="A189" s="85" t="s">
        <v>266</v>
      </c>
      <c r="B189" s="85"/>
      <c r="C189" s="85"/>
      <c r="D189" s="87" t="s">
        <v>2993</v>
      </c>
      <c r="E189" s="87"/>
    </row>
    <row r="190" spans="1:7">
      <c r="A190" s="85" t="s">
        <v>267</v>
      </c>
      <c r="B190" s="85"/>
      <c r="C190" s="85"/>
      <c r="D190" s="87" t="s">
        <v>268</v>
      </c>
      <c r="E190" s="87"/>
    </row>
    <row r="191" spans="1:7" ht="27.6">
      <c r="A191" s="85" t="s">
        <v>269</v>
      </c>
      <c r="B191" s="85"/>
      <c r="C191" s="85"/>
      <c r="D191" s="87" t="s">
        <v>270</v>
      </c>
      <c r="E191" s="87"/>
    </row>
    <row r="192" spans="1:7">
      <c r="A192" s="85" t="s">
        <v>271</v>
      </c>
      <c r="B192" s="85"/>
      <c r="C192" s="85"/>
      <c r="D192" s="87" t="s">
        <v>2994</v>
      </c>
      <c r="E192" s="87"/>
    </row>
    <row r="193" spans="1:5" ht="27.6">
      <c r="A193" s="85" t="s">
        <v>272</v>
      </c>
      <c r="B193" s="85"/>
      <c r="C193" s="85"/>
      <c r="D193" s="87" t="s">
        <v>273</v>
      </c>
      <c r="E193" s="87" t="s">
        <v>2995</v>
      </c>
    </row>
    <row r="194" spans="1:5">
      <c r="A194" s="85" t="s">
        <v>274</v>
      </c>
      <c r="B194" s="85"/>
      <c r="C194" s="85"/>
      <c r="D194" s="87" t="s">
        <v>275</v>
      </c>
      <c r="E194" s="87"/>
    </row>
    <row r="195" spans="1:5" ht="27.6">
      <c r="A195" s="85" t="s">
        <v>2996</v>
      </c>
      <c r="B195" s="85"/>
      <c r="C195" s="85"/>
      <c r="D195" s="87" t="s">
        <v>2997</v>
      </c>
      <c r="E195" s="87"/>
    </row>
    <row r="196" spans="1:5">
      <c r="A196" s="85" t="s">
        <v>2998</v>
      </c>
      <c r="B196" s="85"/>
      <c r="C196" s="85"/>
      <c r="D196" s="87" t="s">
        <v>2999</v>
      </c>
      <c r="E196" s="87"/>
    </row>
    <row r="197" spans="1:5" ht="27.6">
      <c r="A197" s="85" t="s">
        <v>276</v>
      </c>
      <c r="B197" s="85"/>
      <c r="C197" s="85" t="s">
        <v>3000</v>
      </c>
      <c r="D197" s="87"/>
      <c r="E197" s="87" t="s">
        <v>277</v>
      </c>
    </row>
    <row r="198" spans="1:5">
      <c r="A198" s="85" t="s">
        <v>3001</v>
      </c>
      <c r="B198" s="85"/>
      <c r="C198" s="85"/>
      <c r="D198" s="87" t="s">
        <v>3002</v>
      </c>
      <c r="E198" s="87"/>
    </row>
    <row r="199" spans="1:5">
      <c r="A199" s="85" t="s">
        <v>3003</v>
      </c>
      <c r="B199" s="85"/>
      <c r="C199" s="85"/>
      <c r="D199" s="87" t="s">
        <v>3004</v>
      </c>
      <c r="E199" s="87"/>
    </row>
    <row r="200" spans="1:5">
      <c r="A200" s="85" t="s">
        <v>3005</v>
      </c>
      <c r="B200" s="85"/>
      <c r="C200" s="85"/>
      <c r="D200" s="87" t="s">
        <v>3006</v>
      </c>
      <c r="E200" s="87"/>
    </row>
    <row r="201" spans="1:5">
      <c r="A201" s="85" t="s">
        <v>3007</v>
      </c>
      <c r="B201" s="85"/>
      <c r="C201" s="85"/>
      <c r="D201" s="87" t="s">
        <v>3008</v>
      </c>
      <c r="E201" s="87"/>
    </row>
    <row r="202" spans="1:5">
      <c r="A202" s="85" t="s">
        <v>3009</v>
      </c>
      <c r="B202" s="85"/>
      <c r="C202" s="85"/>
      <c r="D202" s="87" t="s">
        <v>3010</v>
      </c>
      <c r="E202" s="87"/>
    </row>
    <row r="203" spans="1:5" ht="27.6">
      <c r="A203" s="85" t="s">
        <v>3011</v>
      </c>
      <c r="B203" s="85"/>
      <c r="C203" s="85"/>
      <c r="D203" s="87" t="s">
        <v>3012</v>
      </c>
      <c r="E203" s="87"/>
    </row>
    <row r="204" spans="1:5">
      <c r="A204" s="85" t="s">
        <v>3013</v>
      </c>
      <c r="B204" s="85"/>
      <c r="C204" s="85"/>
      <c r="D204" s="87" t="s">
        <v>3014</v>
      </c>
      <c r="E204" s="87"/>
    </row>
    <row r="205" spans="1:5" ht="27.6">
      <c r="A205" s="85" t="s">
        <v>3015</v>
      </c>
      <c r="B205" s="85"/>
      <c r="C205" s="85"/>
      <c r="D205" s="87" t="s">
        <v>3016</v>
      </c>
      <c r="E205" s="87"/>
    </row>
    <row r="206" spans="1:5">
      <c r="A206" s="85" t="s">
        <v>3017</v>
      </c>
      <c r="B206" s="85"/>
      <c r="C206" s="85"/>
      <c r="D206" s="87" t="s">
        <v>3018</v>
      </c>
      <c r="E206" s="87"/>
    </row>
    <row r="207" spans="1:5">
      <c r="A207" s="85" t="s">
        <v>278</v>
      </c>
      <c r="B207" s="85"/>
      <c r="C207" s="85" t="s">
        <v>279</v>
      </c>
      <c r="D207" s="87"/>
      <c r="E207" s="87"/>
    </row>
    <row r="208" spans="1:5" ht="27.6">
      <c r="A208" s="85" t="s">
        <v>280</v>
      </c>
      <c r="B208" s="85"/>
      <c r="C208" s="85"/>
      <c r="D208" s="87" t="s">
        <v>281</v>
      </c>
      <c r="E208" s="87"/>
    </row>
    <row r="209" spans="1:5">
      <c r="A209" s="85" t="s">
        <v>282</v>
      </c>
      <c r="B209" s="85"/>
      <c r="C209" s="85"/>
      <c r="D209" s="87" t="s">
        <v>283</v>
      </c>
      <c r="E209" s="87"/>
    </row>
    <row r="210" spans="1:5">
      <c r="A210" s="85" t="s">
        <v>284</v>
      </c>
      <c r="B210" s="85"/>
      <c r="C210" s="85"/>
      <c r="D210" s="87" t="s">
        <v>3019</v>
      </c>
      <c r="E210" s="87"/>
    </row>
    <row r="211" spans="1:5" ht="27.6">
      <c r="A211" s="85" t="s">
        <v>285</v>
      </c>
      <c r="B211" s="85"/>
      <c r="C211" s="85"/>
      <c r="D211" s="87" t="s">
        <v>286</v>
      </c>
      <c r="E211" s="87" t="s">
        <v>287</v>
      </c>
    </row>
    <row r="212" spans="1:5">
      <c r="A212" s="85" t="s">
        <v>288</v>
      </c>
      <c r="B212" s="85"/>
      <c r="C212" s="85"/>
      <c r="D212" s="87" t="s">
        <v>289</v>
      </c>
      <c r="E212" s="87"/>
    </row>
    <row r="213" spans="1:5" ht="27.6">
      <c r="A213" s="85" t="s">
        <v>290</v>
      </c>
      <c r="B213" s="85"/>
      <c r="C213" s="85" t="s">
        <v>3020</v>
      </c>
      <c r="D213" s="87"/>
      <c r="E213" s="87"/>
    </row>
    <row r="214" spans="1:5">
      <c r="A214" s="85" t="s">
        <v>291</v>
      </c>
      <c r="B214" s="85"/>
      <c r="C214" s="85" t="s">
        <v>292</v>
      </c>
      <c r="D214" s="87"/>
      <c r="E214" s="87"/>
    </row>
    <row r="215" spans="1:5">
      <c r="A215" s="85" t="s">
        <v>293</v>
      </c>
      <c r="B215" s="85"/>
      <c r="C215" s="85"/>
      <c r="D215" s="87" t="s">
        <v>294</v>
      </c>
      <c r="E215" s="87" t="s">
        <v>295</v>
      </c>
    </row>
    <row r="216" spans="1:5">
      <c r="A216" s="85" t="s">
        <v>296</v>
      </c>
      <c r="B216" s="85"/>
      <c r="C216" s="85"/>
      <c r="D216" s="87" t="s">
        <v>297</v>
      </c>
      <c r="E216" s="87"/>
    </row>
    <row r="217" spans="1:5">
      <c r="A217" s="85" t="s">
        <v>298</v>
      </c>
      <c r="B217" s="85"/>
      <c r="C217" s="85" t="s">
        <v>299</v>
      </c>
      <c r="D217" s="87"/>
      <c r="E217" s="87"/>
    </row>
    <row r="218" spans="1:5" ht="27.6">
      <c r="A218" s="85" t="s">
        <v>300</v>
      </c>
      <c r="B218" s="85"/>
      <c r="C218" s="85"/>
      <c r="D218" s="87" t="s">
        <v>3021</v>
      </c>
      <c r="E218" s="87"/>
    </row>
    <row r="219" spans="1:5">
      <c r="A219" s="85" t="s">
        <v>301</v>
      </c>
      <c r="B219" s="85"/>
      <c r="C219" s="85"/>
      <c r="D219" s="87" t="s">
        <v>302</v>
      </c>
      <c r="E219" s="87" t="s">
        <v>303</v>
      </c>
    </row>
    <row r="220" spans="1:5">
      <c r="A220" s="85" t="s">
        <v>304</v>
      </c>
      <c r="B220" s="85"/>
      <c r="C220" s="85"/>
      <c r="D220" s="87" t="s">
        <v>3022</v>
      </c>
      <c r="E220" s="87" t="s">
        <v>305</v>
      </c>
    </row>
    <row r="221" spans="1:5">
      <c r="A221" s="85" t="s">
        <v>306</v>
      </c>
      <c r="B221" s="85"/>
      <c r="C221" s="85"/>
      <c r="D221" s="87" t="s">
        <v>307</v>
      </c>
      <c r="E221" s="87" t="s">
        <v>308</v>
      </c>
    </row>
    <row r="222" spans="1:5" ht="27.6">
      <c r="A222" s="85" t="s">
        <v>3023</v>
      </c>
      <c r="B222" s="85"/>
      <c r="C222" s="85"/>
      <c r="D222" s="87" t="s">
        <v>3024</v>
      </c>
      <c r="E222" s="87" t="s">
        <v>3025</v>
      </c>
    </row>
    <row r="223" spans="1:5">
      <c r="A223" s="85" t="s">
        <v>309</v>
      </c>
      <c r="B223" s="85"/>
      <c r="C223" s="85" t="s">
        <v>310</v>
      </c>
      <c r="D223" s="87"/>
      <c r="E223" s="87"/>
    </row>
    <row r="224" spans="1:5">
      <c r="A224" s="85" t="s">
        <v>311</v>
      </c>
      <c r="B224" s="85"/>
      <c r="C224" s="85"/>
      <c r="D224" s="87" t="s">
        <v>312</v>
      </c>
      <c r="E224" s="87" t="s">
        <v>313</v>
      </c>
    </row>
    <row r="225" spans="1:5">
      <c r="A225" s="85" t="s">
        <v>314</v>
      </c>
      <c r="B225" s="85"/>
      <c r="C225" s="85"/>
      <c r="D225" s="87" t="s">
        <v>315</v>
      </c>
      <c r="E225" s="87"/>
    </row>
    <row r="226" spans="1:5">
      <c r="A226" s="85" t="s">
        <v>3026</v>
      </c>
      <c r="B226" s="85"/>
      <c r="C226" s="85" t="s">
        <v>3027</v>
      </c>
      <c r="D226" s="87"/>
      <c r="E226" s="87"/>
    </row>
    <row r="227" spans="1:5">
      <c r="A227" s="85" t="s">
        <v>3028</v>
      </c>
      <c r="B227" s="85"/>
      <c r="C227" s="85" t="s">
        <v>3029</v>
      </c>
      <c r="D227" s="87"/>
      <c r="E227" s="87"/>
    </row>
    <row r="228" spans="1:5">
      <c r="A228" s="85" t="s">
        <v>3030</v>
      </c>
      <c r="B228" s="85"/>
      <c r="C228" s="85"/>
      <c r="D228" s="87" t="s">
        <v>3031</v>
      </c>
      <c r="E228" s="87"/>
    </row>
    <row r="229" spans="1:5">
      <c r="A229" s="85" t="s">
        <v>3032</v>
      </c>
      <c r="B229" s="85"/>
      <c r="C229" s="85"/>
      <c r="D229" s="87" t="s">
        <v>3033</v>
      </c>
      <c r="E229" s="87"/>
    </row>
    <row r="230" spans="1:5">
      <c r="A230" s="85" t="s">
        <v>3034</v>
      </c>
      <c r="B230" s="85"/>
      <c r="C230" s="85"/>
      <c r="D230" s="87" t="s">
        <v>3035</v>
      </c>
      <c r="E230" s="87"/>
    </row>
    <row r="231" spans="1:5">
      <c r="A231" s="85" t="s">
        <v>3036</v>
      </c>
      <c r="B231" s="85"/>
      <c r="C231" s="85" t="s">
        <v>3037</v>
      </c>
      <c r="D231" s="87"/>
      <c r="E231" s="87"/>
    </row>
    <row r="232" spans="1:5">
      <c r="A232" s="85" t="s">
        <v>316</v>
      </c>
      <c r="B232" s="85" t="s">
        <v>3038</v>
      </c>
      <c r="C232" s="85"/>
      <c r="D232" s="87"/>
      <c r="E232" s="87"/>
    </row>
  </sheetData>
  <conditionalFormatting sqref="C7:C232">
    <cfRule type="expression" dxfId="19" priority="11">
      <formula>#REF!=""</formula>
    </cfRule>
    <cfRule type="expression" dxfId="18" priority="12">
      <formula>COUNTA(#REF!)=0</formula>
    </cfRule>
  </conditionalFormatting>
  <conditionalFormatting sqref="D7:D45">
    <cfRule type="expression" dxfId="17" priority="10">
      <formula>COUNTA(#REF!)=0</formula>
    </cfRule>
  </conditionalFormatting>
  <conditionalFormatting sqref="D7:D232 E7:E179 A7:B232">
    <cfRule type="expression" dxfId="16" priority="9">
      <formula>#REF!=""</formula>
    </cfRule>
  </conditionalFormatting>
  <conditionalFormatting sqref="E182:E232">
    <cfRule type="expression" dxfId="15" priority="13">
      <formula>#REF!=""</formula>
    </cfRule>
  </conditionalFormatting>
  <conditionalFormatting sqref="D46:D51">
    <cfRule type="expression" dxfId="14" priority="8">
      <formula>COUNTA(#REF!)=0</formula>
    </cfRule>
  </conditionalFormatting>
  <conditionalFormatting sqref="D52:D79">
    <cfRule type="expression" dxfId="13" priority="7">
      <formula>COUNTA(#REF!)=0</formula>
    </cfRule>
  </conditionalFormatting>
  <conditionalFormatting sqref="D80:D101">
    <cfRule type="expression" dxfId="12" priority="6">
      <formula>COUNTA(#REF!)=0</formula>
    </cfRule>
  </conditionalFormatting>
  <conditionalFormatting sqref="D102:D122">
    <cfRule type="expression" dxfId="11" priority="5">
      <formula>COUNTA(#REF!)=0</formula>
    </cfRule>
  </conditionalFormatting>
  <conditionalFormatting sqref="D123:D160">
    <cfRule type="expression" dxfId="10" priority="4">
      <formula>COUNTA(#REF!)=0</formula>
    </cfRule>
  </conditionalFormatting>
  <conditionalFormatting sqref="D161:D177">
    <cfRule type="expression" dxfId="9" priority="3">
      <formula>COUNTA(#REF!)=0</formula>
    </cfRule>
  </conditionalFormatting>
  <conditionalFormatting sqref="D178:D232">
    <cfRule type="expression" dxfId="8" priority="1">
      <formula>COUNTA(#REF!)=0</formula>
    </cfRule>
  </conditionalFormatting>
  <conditionalFormatting sqref="E181">
    <cfRule type="expression" dxfId="7" priority="2">
      <formula>#REF!=""</formula>
    </cfRule>
  </conditionalFormatting>
  <pageMargins left="0.7" right="0.7" top="0.75" bottom="0.75" header="0.511811023622047" footer="0.511811023622047"/>
  <pageSetup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9"/>
  <sheetViews>
    <sheetView zoomScale="70" zoomScaleNormal="70" workbookViewId="0"/>
  </sheetViews>
  <sheetFormatPr baseColWidth="10" defaultColWidth="9.109375" defaultRowHeight="14.4"/>
  <cols>
    <col min="1" max="1" width="26.109375" customWidth="1"/>
    <col min="2" max="2" width="22.44140625" customWidth="1"/>
    <col min="3" max="3" width="26.44140625" customWidth="1"/>
    <col min="4" max="4" width="26.109375" customWidth="1"/>
  </cols>
  <sheetData>
    <row r="1" spans="1:4">
      <c r="A1" s="17" t="s">
        <v>0</v>
      </c>
      <c r="B1" s="18" t="s">
        <v>347</v>
      </c>
    </row>
    <row r="2" spans="1:4">
      <c r="A2" s="17" t="s">
        <v>2</v>
      </c>
      <c r="B2" s="18" t="s">
        <v>3</v>
      </c>
    </row>
    <row r="3" spans="1:4">
      <c r="A3" s="17" t="s">
        <v>4</v>
      </c>
      <c r="B3" s="18" t="s">
        <v>1062</v>
      </c>
    </row>
    <row r="4" spans="1:4">
      <c r="A4" s="17" t="s">
        <v>6</v>
      </c>
      <c r="B4" s="18" t="s">
        <v>429</v>
      </c>
    </row>
    <row r="5" spans="1:4">
      <c r="A5" s="17" t="s">
        <v>8</v>
      </c>
      <c r="B5" s="18" t="s">
        <v>1063</v>
      </c>
    </row>
    <row r="6" spans="1:4">
      <c r="A6" s="21" t="s">
        <v>10</v>
      </c>
      <c r="B6" s="37" t="s">
        <v>11</v>
      </c>
      <c r="C6" s="37" t="s">
        <v>8</v>
      </c>
      <c r="D6" s="21" t="s">
        <v>14</v>
      </c>
    </row>
    <row r="7" spans="1:4" ht="39" customHeight="1">
      <c r="A7" s="88" t="s">
        <v>1064</v>
      </c>
      <c r="B7" s="89" t="s">
        <v>1065</v>
      </c>
      <c r="C7" s="89" t="s">
        <v>1066</v>
      </c>
    </row>
    <row r="8" spans="1:4">
      <c r="A8" s="88" t="s">
        <v>1067</v>
      </c>
      <c r="B8" s="89" t="s">
        <v>1068</v>
      </c>
      <c r="C8" s="89"/>
    </row>
    <row r="9" spans="1:4" ht="26.25" customHeight="1">
      <c r="A9" s="88" t="s">
        <v>1069</v>
      </c>
      <c r="B9" s="89" t="s">
        <v>1070</v>
      </c>
      <c r="C9" s="89"/>
    </row>
    <row r="10" spans="1:4" ht="39" customHeight="1">
      <c r="A10" s="88" t="s">
        <v>1071</v>
      </c>
      <c r="B10" s="89" t="s">
        <v>1072</v>
      </c>
      <c r="C10" s="89"/>
    </row>
    <row r="11" spans="1:4" ht="26.25" customHeight="1">
      <c r="A11" s="88" t="s">
        <v>1073</v>
      </c>
      <c r="B11" s="89" t="s">
        <v>1074</v>
      </c>
      <c r="C11" s="89"/>
    </row>
    <row r="12" spans="1:4" ht="26.25" customHeight="1">
      <c r="A12" s="88" t="s">
        <v>1075</v>
      </c>
      <c r="B12" s="89" t="s">
        <v>1076</v>
      </c>
      <c r="C12" s="89"/>
    </row>
    <row r="13" spans="1:4" ht="26.25" customHeight="1">
      <c r="A13" s="88" t="s">
        <v>1077</v>
      </c>
      <c r="B13" s="89" t="s">
        <v>1078</v>
      </c>
      <c r="C13" s="89" t="s">
        <v>1079</v>
      </c>
    </row>
    <row r="14" spans="1:4" ht="39" customHeight="1">
      <c r="A14" s="88" t="s">
        <v>1080</v>
      </c>
      <c r="B14" s="89" t="s">
        <v>1081</v>
      </c>
      <c r="C14" s="89" t="s">
        <v>1082</v>
      </c>
    </row>
    <row r="15" spans="1:4" ht="39" customHeight="1">
      <c r="A15" s="88" t="s">
        <v>1083</v>
      </c>
      <c r="B15" s="89" t="s">
        <v>1084</v>
      </c>
      <c r="C15" s="89"/>
    </row>
    <row r="16" spans="1:4" ht="39" customHeight="1">
      <c r="A16" s="88" t="s">
        <v>1085</v>
      </c>
      <c r="B16" s="89" t="s">
        <v>1086</v>
      </c>
      <c r="C16" s="89"/>
    </row>
    <row r="17" spans="1:3" ht="26.25" customHeight="1">
      <c r="A17" s="88" t="s">
        <v>1087</v>
      </c>
      <c r="B17" s="89" t="s">
        <v>1088</v>
      </c>
      <c r="C17" s="89"/>
    </row>
    <row r="18" spans="1:3" ht="26.25" customHeight="1">
      <c r="A18" s="88" t="s">
        <v>1089</v>
      </c>
      <c r="B18" s="89" t="s">
        <v>1090</v>
      </c>
      <c r="C18" s="89"/>
    </row>
    <row r="19" spans="1:3" ht="26.25" customHeight="1">
      <c r="A19" s="88" t="s">
        <v>1091</v>
      </c>
      <c r="B19" s="89" t="s">
        <v>1092</v>
      </c>
      <c r="C19" s="89"/>
    </row>
    <row r="20" spans="1:3">
      <c r="A20" s="88" t="s">
        <v>1093</v>
      </c>
      <c r="B20" s="89" t="s">
        <v>1094</v>
      </c>
      <c r="C20" s="89"/>
    </row>
    <row r="21" spans="1:3">
      <c r="A21" s="88" t="s">
        <v>1095</v>
      </c>
      <c r="B21" s="89" t="s">
        <v>1096</v>
      </c>
      <c r="C21" s="89"/>
    </row>
    <row r="22" spans="1:3" ht="26.25" customHeight="1">
      <c r="A22" s="88" t="s">
        <v>1097</v>
      </c>
      <c r="B22" s="89" t="s">
        <v>938</v>
      </c>
      <c r="C22" s="89"/>
    </row>
    <row r="23" spans="1:3">
      <c r="A23" s="88" t="s">
        <v>1098</v>
      </c>
      <c r="B23" s="89" t="s">
        <v>1099</v>
      </c>
      <c r="C23" s="89" t="s">
        <v>1100</v>
      </c>
    </row>
    <row r="24" spans="1:3">
      <c r="A24" s="88" t="s">
        <v>1101</v>
      </c>
      <c r="B24" s="89" t="s">
        <v>1102</v>
      </c>
      <c r="C24" s="89" t="s">
        <v>1103</v>
      </c>
    </row>
    <row r="25" spans="1:3" ht="26.25" customHeight="1">
      <c r="A25" s="88" t="s">
        <v>1104</v>
      </c>
      <c r="B25" s="89" t="s">
        <v>1105</v>
      </c>
      <c r="C25" s="89" t="s">
        <v>1106</v>
      </c>
    </row>
    <row r="26" spans="1:3" ht="26.25" customHeight="1">
      <c r="A26" s="88" t="s">
        <v>1107</v>
      </c>
      <c r="B26" s="89" t="s">
        <v>1108</v>
      </c>
      <c r="C26" s="89"/>
    </row>
    <row r="27" spans="1:3" ht="26.25" customHeight="1">
      <c r="A27" s="88" t="s">
        <v>1109</v>
      </c>
      <c r="B27" s="89" t="s">
        <v>3039</v>
      </c>
      <c r="C27" s="89" t="s">
        <v>1111</v>
      </c>
    </row>
    <row r="28" spans="1:3">
      <c r="A28" s="88" t="s">
        <v>1112</v>
      </c>
      <c r="B28" s="89" t="s">
        <v>1113</v>
      </c>
      <c r="C28" s="89" t="s">
        <v>1114</v>
      </c>
    </row>
    <row r="29" spans="1:3" ht="26.25" customHeight="1">
      <c r="A29" s="88" t="s">
        <v>1115</v>
      </c>
      <c r="B29" s="89" t="s">
        <v>1116</v>
      </c>
      <c r="C29" s="89" t="s">
        <v>1117</v>
      </c>
    </row>
    <row r="30" spans="1:3" ht="39" customHeight="1">
      <c r="A30" s="88" t="s">
        <v>1118</v>
      </c>
      <c r="B30" s="89" t="s">
        <v>1119</v>
      </c>
      <c r="C30" s="89" t="s">
        <v>1120</v>
      </c>
    </row>
    <row r="31" spans="1:3" ht="26.25" customHeight="1">
      <c r="A31" s="88" t="s">
        <v>1121</v>
      </c>
      <c r="B31" s="89" t="s">
        <v>1122</v>
      </c>
      <c r="C31" s="89" t="s">
        <v>1120</v>
      </c>
    </row>
    <row r="32" spans="1:3" ht="128.25" customHeight="1">
      <c r="A32" s="88" t="s">
        <v>1123</v>
      </c>
      <c r="B32" s="89" t="s">
        <v>1124</v>
      </c>
      <c r="C32" s="89"/>
    </row>
    <row r="33" spans="1:3" ht="128.25" customHeight="1">
      <c r="A33" s="88" t="s">
        <v>1125</v>
      </c>
      <c r="B33" s="89" t="s">
        <v>1126</v>
      </c>
      <c r="C33" s="89"/>
    </row>
    <row r="34" spans="1:3">
      <c r="A34" s="88" t="s">
        <v>1127</v>
      </c>
      <c r="B34" s="89" t="s">
        <v>1128</v>
      </c>
      <c r="C34" s="89"/>
    </row>
    <row r="35" spans="1:3">
      <c r="A35" s="88" t="s">
        <v>1129</v>
      </c>
      <c r="B35" s="89" t="s">
        <v>1130</v>
      </c>
      <c r="C35" s="89"/>
    </row>
    <row r="36" spans="1:3">
      <c r="A36" s="88" t="s">
        <v>1131</v>
      </c>
      <c r="B36" s="89" t="s">
        <v>1132</v>
      </c>
      <c r="C36" s="89" t="s">
        <v>1133</v>
      </c>
    </row>
    <row r="37" spans="1:3">
      <c r="A37" s="88" t="s">
        <v>1134</v>
      </c>
      <c r="B37" s="89" t="s">
        <v>1135</v>
      </c>
      <c r="C37" s="89" t="s">
        <v>1136</v>
      </c>
    </row>
    <row r="38" spans="1:3">
      <c r="A38" s="88" t="s">
        <v>1137</v>
      </c>
      <c r="B38" s="89" t="s">
        <v>1138</v>
      </c>
      <c r="C38" s="89" t="s">
        <v>1139</v>
      </c>
    </row>
    <row r="39" spans="1:3">
      <c r="A39" s="88" t="s">
        <v>3040</v>
      </c>
      <c r="B39" s="89" t="s">
        <v>3041</v>
      </c>
      <c r="C39" s="89"/>
    </row>
    <row r="40" spans="1:3">
      <c r="A40" s="88" t="s">
        <v>3042</v>
      </c>
      <c r="B40" s="89" t="s">
        <v>3043</v>
      </c>
      <c r="C40" s="89"/>
    </row>
    <row r="41" spans="1:3" ht="26.25" customHeight="1">
      <c r="A41" s="88" t="s">
        <v>3044</v>
      </c>
      <c r="B41" s="90" t="s">
        <v>3045</v>
      </c>
      <c r="C41" s="90"/>
    </row>
    <row r="42" spans="1:3" ht="26.25" customHeight="1">
      <c r="A42" s="88" t="s">
        <v>3046</v>
      </c>
      <c r="B42" s="90" t="s">
        <v>3047</v>
      </c>
      <c r="C42" s="90"/>
    </row>
    <row r="43" spans="1:3" ht="77.25" customHeight="1">
      <c r="A43" s="88" t="s">
        <v>3048</v>
      </c>
      <c r="B43" s="90" t="s">
        <v>3049</v>
      </c>
      <c r="C43" s="90" t="s">
        <v>3050</v>
      </c>
    </row>
    <row r="44" spans="1:3">
      <c r="A44" s="88" t="s">
        <v>3051</v>
      </c>
      <c r="B44" s="90" t="s">
        <v>3052</v>
      </c>
      <c r="C44" s="90"/>
    </row>
    <row r="45" spans="1:3" ht="27.6">
      <c r="A45" s="88" t="s">
        <v>3053</v>
      </c>
      <c r="B45" s="90" t="s">
        <v>3054</v>
      </c>
      <c r="C45" s="90"/>
    </row>
    <row r="46" spans="1:3">
      <c r="A46" s="88" t="s">
        <v>3055</v>
      </c>
      <c r="B46" s="90" t="s">
        <v>3056</v>
      </c>
      <c r="C46" s="90"/>
    </row>
    <row r="47" spans="1:3">
      <c r="A47" s="88" t="s">
        <v>3057</v>
      </c>
      <c r="B47" s="90" t="s">
        <v>3058</v>
      </c>
      <c r="C47" s="90"/>
    </row>
    <row r="48" spans="1:3">
      <c r="A48" s="88" t="s">
        <v>3059</v>
      </c>
      <c r="B48" s="90" t="s">
        <v>3060</v>
      </c>
      <c r="C48" s="90"/>
    </row>
    <row r="49" spans="1:3" ht="27.6">
      <c r="A49" s="88" t="s">
        <v>3061</v>
      </c>
      <c r="B49" s="90" t="s">
        <v>3062</v>
      </c>
      <c r="C49" s="90"/>
    </row>
    <row r="50" spans="1:3" ht="27.6">
      <c r="A50" s="88" t="s">
        <v>3063</v>
      </c>
      <c r="B50" s="90" t="s">
        <v>3064</v>
      </c>
      <c r="C50" s="90" t="s">
        <v>3065</v>
      </c>
    </row>
    <row r="51" spans="1:3" ht="27.6">
      <c r="A51" s="88" t="s">
        <v>3066</v>
      </c>
      <c r="B51" s="90" t="s">
        <v>3067</v>
      </c>
      <c r="C51" s="90" t="s">
        <v>3068</v>
      </c>
    </row>
    <row r="52" spans="1:3">
      <c r="A52" s="88" t="s">
        <v>3069</v>
      </c>
      <c r="B52" s="90" t="s">
        <v>3070</v>
      </c>
      <c r="C52" s="90" t="s">
        <v>3071</v>
      </c>
    </row>
    <row r="53" spans="1:3">
      <c r="A53" s="88" t="s">
        <v>3072</v>
      </c>
      <c r="B53" s="90" t="s">
        <v>3073</v>
      </c>
      <c r="C53" s="90"/>
    </row>
    <row r="54" spans="1:3" ht="27.6">
      <c r="A54" s="88" t="s">
        <v>3074</v>
      </c>
      <c r="B54" s="90" t="s">
        <v>3075</v>
      </c>
      <c r="C54" s="90"/>
    </row>
    <row r="55" spans="1:3" ht="27.6">
      <c r="A55" s="88" t="s">
        <v>3076</v>
      </c>
      <c r="B55" s="90" t="s">
        <v>3077</v>
      </c>
      <c r="C55" s="90"/>
    </row>
    <row r="56" spans="1:3" ht="27.6">
      <c r="A56" s="88" t="s">
        <v>3078</v>
      </c>
      <c r="B56" s="90" t="s">
        <v>3079</v>
      </c>
      <c r="C56" s="90"/>
    </row>
    <row r="57" spans="1:3" ht="27.6">
      <c r="A57" s="88" t="s">
        <v>3080</v>
      </c>
      <c r="B57" s="90" t="s">
        <v>3081</v>
      </c>
      <c r="C57" s="90"/>
    </row>
    <row r="58" spans="1:3" ht="41.4">
      <c r="A58" s="88" t="s">
        <v>3082</v>
      </c>
      <c r="B58" s="90" t="s">
        <v>3083</v>
      </c>
      <c r="C58" s="90"/>
    </row>
    <row r="59" spans="1:3" ht="27.6">
      <c r="A59" s="88" t="s">
        <v>3084</v>
      </c>
      <c r="B59" s="90" t="s">
        <v>3085</v>
      </c>
      <c r="C59" s="90"/>
    </row>
    <row r="60" spans="1:3" ht="27.6">
      <c r="A60" s="88" t="s">
        <v>3086</v>
      </c>
      <c r="B60" s="90" t="s">
        <v>3087</v>
      </c>
      <c r="C60" s="90"/>
    </row>
    <row r="61" spans="1:3">
      <c r="A61" s="88" t="s">
        <v>3088</v>
      </c>
      <c r="B61" s="90" t="s">
        <v>3089</v>
      </c>
      <c r="C61" s="90"/>
    </row>
    <row r="62" spans="1:3">
      <c r="A62" s="88" t="s">
        <v>3090</v>
      </c>
      <c r="B62" s="90" t="s">
        <v>3091</v>
      </c>
      <c r="C62" s="90"/>
    </row>
    <row r="63" spans="1:3" ht="27.6">
      <c r="A63" s="88" t="s">
        <v>3092</v>
      </c>
      <c r="B63" s="90" t="s">
        <v>3093</v>
      </c>
      <c r="C63" s="90"/>
    </row>
    <row r="64" spans="1:3" ht="27.6">
      <c r="A64" s="88" t="s">
        <v>3094</v>
      </c>
      <c r="B64" s="90" t="s">
        <v>3095</v>
      </c>
      <c r="C64" s="90"/>
    </row>
    <row r="65" spans="1:3">
      <c r="A65" s="88" t="s">
        <v>3096</v>
      </c>
      <c r="B65" s="90" t="s">
        <v>3097</v>
      </c>
      <c r="C65" s="90"/>
    </row>
    <row r="66" spans="1:3" ht="27.6">
      <c r="A66" s="88" t="s">
        <v>3098</v>
      </c>
      <c r="B66" s="90" t="s">
        <v>3099</v>
      </c>
      <c r="C66" s="90"/>
    </row>
    <row r="67" spans="1:3" ht="27.6">
      <c r="A67" s="88" t="s">
        <v>3100</v>
      </c>
      <c r="B67" s="90" t="s">
        <v>3101</v>
      </c>
      <c r="C67" s="90"/>
    </row>
    <row r="68" spans="1:3" ht="55.2">
      <c r="A68" s="88" t="s">
        <v>3102</v>
      </c>
      <c r="B68" s="90" t="s">
        <v>3103</v>
      </c>
      <c r="C68" s="90" t="s">
        <v>3104</v>
      </c>
    </row>
    <row r="69" spans="1:3">
      <c r="A69" s="88" t="s">
        <v>3105</v>
      </c>
      <c r="B69" s="90" t="s">
        <v>1110</v>
      </c>
      <c r="C69" s="90"/>
    </row>
  </sheetData>
  <conditionalFormatting sqref="A7:C69">
    <cfRule type="expression" dxfId="6" priority="46">
      <formula>#REF!=""</formula>
    </cfRule>
  </conditionalFormatting>
  <pageMargins left="0.7" right="0.7" top="0.75" bottom="0.75" header="0.511811023622047" footer="0.511811023622047"/>
  <pageSetup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96"/>
  <sheetViews>
    <sheetView topLeftCell="A124" zoomScale="70" zoomScaleNormal="70" workbookViewId="0">
      <selection activeCell="A14" sqref="A14"/>
    </sheetView>
  </sheetViews>
  <sheetFormatPr baseColWidth="10" defaultColWidth="9.109375" defaultRowHeight="14.4"/>
  <cols>
    <col min="1" max="1" width="26.109375" customWidth="1"/>
    <col min="2" max="2" width="26.88671875" customWidth="1"/>
    <col min="3" max="4" width="39.44140625" customWidth="1"/>
    <col min="5" max="5" width="44.33203125" customWidth="1"/>
    <col min="6" max="6" width="42.109375" customWidth="1"/>
  </cols>
  <sheetData>
    <row r="1" spans="1:6">
      <c r="A1" s="17" t="s">
        <v>0</v>
      </c>
      <c r="B1" s="18" t="s">
        <v>349</v>
      </c>
    </row>
    <row r="2" spans="1:6">
      <c r="A2" s="17" t="s">
        <v>2</v>
      </c>
      <c r="B2" s="18" t="s">
        <v>3</v>
      </c>
    </row>
    <row r="3" spans="1:6">
      <c r="A3" s="17" t="s">
        <v>4</v>
      </c>
      <c r="B3" s="18" t="s">
        <v>1140</v>
      </c>
    </row>
    <row r="4" spans="1:6">
      <c r="A4" s="17" t="s">
        <v>6</v>
      </c>
      <c r="B4" s="91">
        <v>3</v>
      </c>
    </row>
    <row r="5" spans="1:6">
      <c r="A5" s="17" t="s">
        <v>8</v>
      </c>
      <c r="B5" s="18" t="s">
        <v>1142</v>
      </c>
    </row>
    <row r="6" spans="1:6">
      <c r="A6" s="21" t="s">
        <v>10</v>
      </c>
      <c r="B6" s="21" t="s">
        <v>11</v>
      </c>
      <c r="C6" s="21" t="s">
        <v>12</v>
      </c>
      <c r="D6" s="21" t="s">
        <v>13</v>
      </c>
      <c r="E6" s="21" t="s">
        <v>8</v>
      </c>
      <c r="F6" s="37" t="s">
        <v>14</v>
      </c>
    </row>
    <row r="7" spans="1:6">
      <c r="A7" s="92" t="s">
        <v>3106</v>
      </c>
      <c r="B7" s="93" t="s">
        <v>3107</v>
      </c>
      <c r="C7" s="93"/>
      <c r="D7" s="94"/>
      <c r="E7" s="92"/>
      <c r="F7" s="92"/>
    </row>
    <row r="8" spans="1:6">
      <c r="A8" s="92" t="s">
        <v>3108</v>
      </c>
      <c r="B8" s="92"/>
      <c r="C8" s="92" t="s">
        <v>3109</v>
      </c>
      <c r="D8" s="94"/>
      <c r="E8" s="92"/>
      <c r="F8" s="92"/>
    </row>
    <row r="9" spans="1:6">
      <c r="A9" s="92" t="s">
        <v>3110</v>
      </c>
      <c r="B9" s="92"/>
      <c r="C9" s="92" t="s">
        <v>3111</v>
      </c>
      <c r="D9" s="94"/>
      <c r="E9" s="92"/>
      <c r="F9" s="92"/>
    </row>
    <row r="10" spans="1:6" ht="26.25" customHeight="1">
      <c r="A10" s="92" t="s">
        <v>3112</v>
      </c>
      <c r="B10" s="92"/>
      <c r="C10" s="92" t="s">
        <v>3113</v>
      </c>
      <c r="D10" s="94"/>
      <c r="E10" s="92"/>
      <c r="F10" s="92"/>
    </row>
    <row r="11" spans="1:6">
      <c r="A11" s="92" t="s">
        <v>3114</v>
      </c>
      <c r="B11" s="93" t="s">
        <v>3115</v>
      </c>
      <c r="C11" s="93"/>
      <c r="D11" s="94"/>
      <c r="E11" s="92"/>
      <c r="F11" s="92"/>
    </row>
    <row r="12" spans="1:6">
      <c r="A12" s="92" t="s">
        <v>3116</v>
      </c>
      <c r="B12" s="92"/>
      <c r="C12" s="92" t="s">
        <v>3117</v>
      </c>
      <c r="D12" s="94"/>
      <c r="E12" s="92"/>
      <c r="F12" s="92"/>
    </row>
    <row r="13" spans="1:6">
      <c r="A13" s="92" t="s">
        <v>3118</v>
      </c>
      <c r="B13" s="95"/>
      <c r="C13" s="92"/>
      <c r="D13" s="94" t="s">
        <v>3119</v>
      </c>
      <c r="E13" s="92"/>
      <c r="F13" s="92"/>
    </row>
    <row r="14" spans="1:6">
      <c r="A14" s="92" t="s">
        <v>3120</v>
      </c>
      <c r="B14" s="95"/>
      <c r="C14" s="92" t="s">
        <v>3121</v>
      </c>
      <c r="D14" s="94"/>
      <c r="E14" s="92"/>
      <c r="F14" s="92"/>
    </row>
    <row r="15" spans="1:6" ht="48.75" customHeight="1">
      <c r="A15" s="92" t="s">
        <v>3122</v>
      </c>
      <c r="B15" s="95"/>
      <c r="C15" s="92"/>
      <c r="D15" s="94" t="s">
        <v>3123</v>
      </c>
      <c r="E15" s="92"/>
      <c r="F15" s="92"/>
    </row>
    <row r="16" spans="1:6">
      <c r="A16" s="92" t="s">
        <v>3124</v>
      </c>
      <c r="B16" s="95"/>
      <c r="C16" s="92"/>
      <c r="D16" s="94" t="s">
        <v>3125</v>
      </c>
      <c r="E16" s="92"/>
      <c r="F16" s="92"/>
    </row>
    <row r="17" spans="1:6">
      <c r="A17" s="92" t="s">
        <v>3126</v>
      </c>
      <c r="B17" s="95"/>
      <c r="C17" s="92"/>
      <c r="D17" s="94" t="s">
        <v>3127</v>
      </c>
      <c r="E17" s="92"/>
      <c r="F17" s="92"/>
    </row>
    <row r="18" spans="1:6">
      <c r="A18" s="92" t="s">
        <v>3128</v>
      </c>
      <c r="B18" s="95"/>
      <c r="C18" s="92"/>
      <c r="D18" s="94" t="s">
        <v>3129</v>
      </c>
      <c r="E18" s="92"/>
      <c r="F18" s="92"/>
    </row>
    <row r="19" spans="1:6">
      <c r="A19" s="92" t="s">
        <v>3130</v>
      </c>
      <c r="B19" s="95"/>
      <c r="C19" s="92"/>
      <c r="D19" s="94" t="s">
        <v>3131</v>
      </c>
      <c r="E19" s="92"/>
      <c r="F19" s="92"/>
    </row>
    <row r="20" spans="1:6">
      <c r="A20" s="92" t="s">
        <v>3132</v>
      </c>
      <c r="B20" s="95"/>
      <c r="C20" s="92" t="s">
        <v>3133</v>
      </c>
      <c r="D20" s="94"/>
      <c r="E20" s="92"/>
      <c r="F20" s="92"/>
    </row>
    <row r="21" spans="1:6">
      <c r="A21" s="92" t="s">
        <v>3134</v>
      </c>
      <c r="B21" s="95"/>
      <c r="C21" s="92"/>
      <c r="D21" s="94" t="s">
        <v>3135</v>
      </c>
      <c r="E21" s="92"/>
      <c r="F21" s="92"/>
    </row>
    <row r="22" spans="1:6">
      <c r="A22" s="92" t="s">
        <v>3136</v>
      </c>
      <c r="B22" s="93" t="s">
        <v>3137</v>
      </c>
      <c r="C22" s="93"/>
      <c r="D22" s="94"/>
      <c r="E22" s="92"/>
      <c r="F22" s="92"/>
    </row>
    <row r="23" spans="1:6">
      <c r="A23" s="92" t="s">
        <v>3138</v>
      </c>
      <c r="B23" s="96"/>
      <c r="C23" s="92" t="s">
        <v>3139</v>
      </c>
      <c r="D23" s="94"/>
      <c r="E23" s="92"/>
      <c r="F23" s="92"/>
    </row>
    <row r="24" spans="1:6">
      <c r="A24" s="92" t="s">
        <v>3140</v>
      </c>
      <c r="B24" s="92"/>
      <c r="C24" s="92" t="s">
        <v>3141</v>
      </c>
      <c r="D24" s="94"/>
      <c r="E24" s="92"/>
      <c r="F24" s="92"/>
    </row>
    <row r="25" spans="1:6" ht="27.6">
      <c r="A25" s="92" t="s">
        <v>3142</v>
      </c>
      <c r="B25" s="95"/>
      <c r="C25" s="92"/>
      <c r="D25" s="94" t="s">
        <v>3143</v>
      </c>
      <c r="E25" s="92"/>
      <c r="F25" s="92"/>
    </row>
    <row r="26" spans="1:6">
      <c r="A26" s="92" t="s">
        <v>3144</v>
      </c>
      <c r="B26" s="95"/>
      <c r="C26" s="92"/>
      <c r="D26" s="94" t="s">
        <v>3145</v>
      </c>
      <c r="E26" s="92"/>
      <c r="F26" s="92"/>
    </row>
    <row r="27" spans="1:6">
      <c r="A27" s="92" t="s">
        <v>3146</v>
      </c>
      <c r="B27" s="95"/>
      <c r="C27" s="92"/>
      <c r="D27" s="94" t="s">
        <v>3147</v>
      </c>
      <c r="E27" s="92"/>
      <c r="F27" s="92"/>
    </row>
    <row r="28" spans="1:6">
      <c r="A28" s="92" t="s">
        <v>3148</v>
      </c>
      <c r="B28" s="95"/>
      <c r="C28" s="92"/>
      <c r="D28" s="94" t="s">
        <v>3149</v>
      </c>
      <c r="E28" s="92"/>
      <c r="F28" s="92"/>
    </row>
    <row r="29" spans="1:6" ht="26.25" customHeight="1">
      <c r="A29" s="92" t="s">
        <v>3150</v>
      </c>
      <c r="B29" s="95"/>
      <c r="C29" s="92"/>
      <c r="D29" s="94" t="s">
        <v>3151</v>
      </c>
      <c r="E29" s="92"/>
      <c r="F29" s="92"/>
    </row>
    <row r="30" spans="1:6" ht="26.25" customHeight="1">
      <c r="A30" s="92" t="s">
        <v>3152</v>
      </c>
      <c r="B30" s="93" t="s">
        <v>3153</v>
      </c>
      <c r="C30" s="93"/>
      <c r="D30" s="94"/>
      <c r="E30" s="92"/>
      <c r="F30" s="92"/>
    </row>
    <row r="31" spans="1:6">
      <c r="A31" s="92" t="s">
        <v>3154</v>
      </c>
      <c r="B31" s="92"/>
      <c r="C31" s="92" t="s">
        <v>1143</v>
      </c>
      <c r="D31" s="94"/>
      <c r="E31" s="92"/>
      <c r="F31" s="92"/>
    </row>
    <row r="32" spans="1:6" ht="27.6">
      <c r="A32" s="92" t="s">
        <v>3155</v>
      </c>
      <c r="B32" s="95"/>
      <c r="C32" s="92"/>
      <c r="D32" s="94" t="s">
        <v>3156</v>
      </c>
      <c r="E32" s="92" t="s">
        <v>3157</v>
      </c>
      <c r="F32" s="92"/>
    </row>
    <row r="33" spans="1:6">
      <c r="A33" s="92" t="s">
        <v>3158</v>
      </c>
      <c r="B33" s="95"/>
      <c r="C33" s="92"/>
      <c r="D33" s="94" t="s">
        <v>3159</v>
      </c>
      <c r="E33" s="92"/>
      <c r="F33" s="92"/>
    </row>
    <row r="34" spans="1:6">
      <c r="A34" s="92" t="s">
        <v>3160</v>
      </c>
      <c r="B34" s="92"/>
      <c r="C34" s="92" t="s">
        <v>3161</v>
      </c>
      <c r="D34" s="94"/>
      <c r="E34" s="92"/>
      <c r="F34" s="92"/>
    </row>
    <row r="35" spans="1:6">
      <c r="A35" s="92" t="s">
        <v>3162</v>
      </c>
      <c r="B35" s="95"/>
      <c r="C35" s="92"/>
      <c r="D35" s="94" t="s">
        <v>3163</v>
      </c>
      <c r="E35" s="92"/>
      <c r="F35" s="92"/>
    </row>
    <row r="36" spans="1:6" ht="27.6">
      <c r="A36" s="92" t="s">
        <v>3164</v>
      </c>
      <c r="B36" s="95"/>
      <c r="C36" s="92"/>
      <c r="D36" s="94" t="s">
        <v>3165</v>
      </c>
      <c r="E36" s="92"/>
      <c r="F36" s="92"/>
    </row>
    <row r="37" spans="1:6" ht="51.75" customHeight="1">
      <c r="A37" s="92" t="s">
        <v>3166</v>
      </c>
      <c r="B37" s="95"/>
      <c r="C37" s="92"/>
      <c r="D37" s="94" t="s">
        <v>3167</v>
      </c>
      <c r="E37" s="92"/>
      <c r="F37" s="92"/>
    </row>
    <row r="38" spans="1:6">
      <c r="A38" s="92" t="s">
        <v>3168</v>
      </c>
      <c r="B38" s="92"/>
      <c r="C38" s="92" t="s">
        <v>3169</v>
      </c>
      <c r="D38" s="94"/>
      <c r="E38" s="92"/>
      <c r="F38" s="92"/>
    </row>
    <row r="39" spans="1:6" ht="27.6">
      <c r="A39" s="92" t="s">
        <v>3170</v>
      </c>
      <c r="B39" s="95"/>
      <c r="C39" s="92"/>
      <c r="D39" s="94" t="s">
        <v>3171</v>
      </c>
      <c r="E39" s="92"/>
      <c r="F39" s="92"/>
    </row>
    <row r="40" spans="1:6" ht="26.25" customHeight="1">
      <c r="A40" s="92" t="s">
        <v>3172</v>
      </c>
      <c r="B40" s="95"/>
      <c r="C40" s="92"/>
      <c r="D40" s="94" t="s">
        <v>3173</v>
      </c>
      <c r="E40" s="92"/>
      <c r="F40" s="92"/>
    </row>
    <row r="41" spans="1:6" ht="39" customHeight="1">
      <c r="A41" s="92" t="s">
        <v>3174</v>
      </c>
      <c r="B41" s="95"/>
      <c r="C41" s="92"/>
      <c r="D41" s="94" t="s">
        <v>3175</v>
      </c>
      <c r="E41" s="92"/>
      <c r="F41" s="92"/>
    </row>
    <row r="42" spans="1:6" ht="27.6">
      <c r="A42" s="92" t="s">
        <v>3176</v>
      </c>
      <c r="B42" s="95"/>
      <c r="C42" s="92"/>
      <c r="D42" s="94" t="s">
        <v>3177</v>
      </c>
      <c r="E42" s="92"/>
      <c r="F42" s="92"/>
    </row>
    <row r="43" spans="1:6">
      <c r="A43" s="92" t="s">
        <v>3178</v>
      </c>
      <c r="B43" s="93" t="s">
        <v>3179</v>
      </c>
      <c r="C43" s="93"/>
      <c r="D43" s="94"/>
      <c r="E43" s="92"/>
      <c r="F43" s="92"/>
    </row>
    <row r="44" spans="1:6">
      <c r="A44" s="92" t="s">
        <v>3180</v>
      </c>
      <c r="B44" s="92"/>
      <c r="C44" s="92" t="s">
        <v>3181</v>
      </c>
      <c r="D44" s="94"/>
      <c r="E44" s="92"/>
      <c r="F44" s="92"/>
    </row>
    <row r="45" spans="1:6">
      <c r="A45" s="92" t="s">
        <v>3182</v>
      </c>
      <c r="B45" s="95"/>
      <c r="C45" s="92"/>
      <c r="D45" s="94" t="s">
        <v>3183</v>
      </c>
      <c r="E45" s="92"/>
      <c r="F45" s="92"/>
    </row>
    <row r="46" spans="1:6" ht="26.25" customHeight="1">
      <c r="A46" s="92" t="s">
        <v>3184</v>
      </c>
      <c r="B46" s="95"/>
      <c r="C46" s="92"/>
      <c r="D46" s="94" t="s">
        <v>3185</v>
      </c>
      <c r="E46" s="92"/>
      <c r="F46" s="92"/>
    </row>
    <row r="47" spans="1:6" ht="27.6">
      <c r="A47" s="92" t="s">
        <v>3186</v>
      </c>
      <c r="B47" s="95"/>
      <c r="C47" s="92"/>
      <c r="D47" s="94" t="s">
        <v>3187</v>
      </c>
      <c r="E47" s="92"/>
      <c r="F47" s="92"/>
    </row>
    <row r="48" spans="1:6">
      <c r="A48" s="92" t="s">
        <v>3188</v>
      </c>
      <c r="B48" s="92"/>
      <c r="C48" s="92" t="s">
        <v>3189</v>
      </c>
      <c r="D48" s="94"/>
      <c r="E48" s="92"/>
      <c r="F48" s="92"/>
    </row>
    <row r="49" spans="1:6" ht="26.25" customHeight="1">
      <c r="A49" s="92" t="s">
        <v>3190</v>
      </c>
      <c r="B49" s="92"/>
      <c r="C49" s="92" t="s">
        <v>3191</v>
      </c>
      <c r="D49" s="94"/>
      <c r="E49" s="92"/>
      <c r="F49" s="92"/>
    </row>
    <row r="50" spans="1:6">
      <c r="A50" s="92" t="s">
        <v>3192</v>
      </c>
      <c r="B50" s="95"/>
      <c r="C50" s="92"/>
      <c r="D50" s="94" t="s">
        <v>3193</v>
      </c>
      <c r="E50" s="92"/>
      <c r="F50" s="92"/>
    </row>
    <row r="51" spans="1:6">
      <c r="A51" s="92" t="s">
        <v>3194</v>
      </c>
      <c r="B51" s="95"/>
      <c r="C51" s="92"/>
      <c r="D51" s="94" t="s">
        <v>3195</v>
      </c>
      <c r="E51" s="92"/>
      <c r="F51" s="92"/>
    </row>
    <row r="52" spans="1:6">
      <c r="A52" s="92" t="s">
        <v>3196</v>
      </c>
      <c r="B52" s="95"/>
      <c r="C52" s="92"/>
      <c r="D52" s="94" t="s">
        <v>3197</v>
      </c>
      <c r="E52" s="92"/>
      <c r="F52" s="92"/>
    </row>
    <row r="53" spans="1:6">
      <c r="A53" s="92" t="s">
        <v>3198</v>
      </c>
      <c r="B53" s="92"/>
      <c r="C53" s="92" t="s">
        <v>3199</v>
      </c>
      <c r="D53" s="94"/>
      <c r="E53" s="92"/>
      <c r="F53" s="92"/>
    </row>
    <row r="54" spans="1:6">
      <c r="A54" s="92" t="s">
        <v>3200</v>
      </c>
      <c r="B54" s="95"/>
      <c r="C54" s="92"/>
      <c r="D54" s="94" t="s">
        <v>3201</v>
      </c>
      <c r="E54" s="92"/>
      <c r="F54" s="92"/>
    </row>
    <row r="55" spans="1:6" ht="27.6">
      <c r="A55" s="92" t="s">
        <v>3202</v>
      </c>
      <c r="B55" s="95"/>
      <c r="C55" s="92"/>
      <c r="D55" s="94" t="s">
        <v>3203</v>
      </c>
      <c r="E55" s="92"/>
      <c r="F55" s="92"/>
    </row>
    <row r="56" spans="1:6" ht="27.6">
      <c r="A56" s="92" t="s">
        <v>3204</v>
      </c>
      <c r="B56" s="95"/>
      <c r="C56" s="92"/>
      <c r="D56" s="94" t="s">
        <v>3205</v>
      </c>
      <c r="E56" s="92"/>
      <c r="F56" s="92"/>
    </row>
    <row r="57" spans="1:6" ht="39" customHeight="1">
      <c r="A57" s="92" t="s">
        <v>3206</v>
      </c>
      <c r="B57" s="95"/>
      <c r="C57" s="92"/>
      <c r="D57" s="94" t="s">
        <v>3207</v>
      </c>
      <c r="E57" s="92"/>
      <c r="F57" s="92"/>
    </row>
    <row r="58" spans="1:6" ht="27.6">
      <c r="A58" s="92" t="s">
        <v>3208</v>
      </c>
      <c r="B58" s="95"/>
      <c r="C58" s="92"/>
      <c r="D58" s="94" t="s">
        <v>3209</v>
      </c>
      <c r="E58" s="92"/>
      <c r="F58" s="92"/>
    </row>
    <row r="59" spans="1:6">
      <c r="A59" s="92" t="s">
        <v>3210</v>
      </c>
      <c r="B59" s="92"/>
      <c r="C59" s="92" t="s">
        <v>3211</v>
      </c>
      <c r="D59" s="94"/>
      <c r="E59" s="92"/>
      <c r="F59" s="92"/>
    </row>
    <row r="60" spans="1:6">
      <c r="A60" s="92" t="s">
        <v>3212</v>
      </c>
      <c r="B60" s="95"/>
      <c r="C60" s="92"/>
      <c r="D60" s="94" t="s">
        <v>3213</v>
      </c>
      <c r="E60" s="92"/>
      <c r="F60" s="92"/>
    </row>
    <row r="61" spans="1:6">
      <c r="A61" s="92" t="s">
        <v>3214</v>
      </c>
      <c r="B61" s="95"/>
      <c r="C61" s="92"/>
      <c r="D61" s="94" t="s">
        <v>3215</v>
      </c>
      <c r="E61" s="92"/>
      <c r="F61" s="92"/>
    </row>
    <row r="62" spans="1:6">
      <c r="A62" s="92" t="s">
        <v>3216</v>
      </c>
      <c r="B62" s="95"/>
      <c r="C62" s="92"/>
      <c r="D62" s="94" t="s">
        <v>1144</v>
      </c>
      <c r="E62" s="92"/>
      <c r="F62" s="92"/>
    </row>
    <row r="63" spans="1:6">
      <c r="A63" s="92" t="s">
        <v>3217</v>
      </c>
      <c r="B63" s="95"/>
      <c r="C63" s="92"/>
      <c r="D63" s="94" t="s">
        <v>3218</v>
      </c>
      <c r="E63" s="92"/>
      <c r="F63" s="92"/>
    </row>
    <row r="64" spans="1:6">
      <c r="A64" s="92" t="s">
        <v>3219</v>
      </c>
      <c r="B64" s="92"/>
      <c r="C64" s="92" t="s">
        <v>3220</v>
      </c>
      <c r="D64" s="94"/>
      <c r="E64" s="92"/>
      <c r="F64" s="92"/>
    </row>
    <row r="65" spans="1:6">
      <c r="A65" s="92" t="s">
        <v>3221</v>
      </c>
      <c r="B65" s="95"/>
      <c r="C65" s="92"/>
      <c r="D65" s="94" t="s">
        <v>3222</v>
      </c>
      <c r="E65" s="92"/>
      <c r="F65" s="92"/>
    </row>
    <row r="66" spans="1:6">
      <c r="A66" s="92" t="s">
        <v>3223</v>
      </c>
      <c r="B66" s="95"/>
      <c r="C66" s="92"/>
      <c r="D66" s="94" t="s">
        <v>3224</v>
      </c>
      <c r="E66" s="92"/>
      <c r="F66" s="92"/>
    </row>
    <row r="67" spans="1:6">
      <c r="A67" s="92" t="s">
        <v>3225</v>
      </c>
      <c r="B67" s="95"/>
      <c r="C67" s="92"/>
      <c r="D67" s="94" t="s">
        <v>3226</v>
      </c>
      <c r="E67" s="92"/>
      <c r="F67" s="92"/>
    </row>
    <row r="68" spans="1:6">
      <c r="A68" s="92" t="s">
        <v>3227</v>
      </c>
      <c r="B68" s="93" t="s">
        <v>3228</v>
      </c>
      <c r="C68" s="93"/>
      <c r="D68" s="94"/>
      <c r="E68" s="92"/>
      <c r="F68" s="92"/>
    </row>
    <row r="69" spans="1:6">
      <c r="A69" s="92" t="s">
        <v>3229</v>
      </c>
      <c r="B69" s="92"/>
      <c r="C69" s="92" t="s">
        <v>1147</v>
      </c>
      <c r="D69" s="94"/>
      <c r="E69" s="92"/>
      <c r="F69" s="92"/>
    </row>
    <row r="70" spans="1:6">
      <c r="A70" s="92" t="s">
        <v>3230</v>
      </c>
      <c r="B70" s="97"/>
      <c r="C70" s="92" t="s">
        <v>3231</v>
      </c>
      <c r="D70" s="94"/>
      <c r="E70" s="92"/>
      <c r="F70" s="92"/>
    </row>
    <row r="71" spans="1:6">
      <c r="A71" s="92" t="s">
        <v>3232</v>
      </c>
      <c r="B71" s="97"/>
      <c r="C71" s="92" t="s">
        <v>3233</v>
      </c>
      <c r="D71" s="94"/>
      <c r="E71" s="92"/>
      <c r="F71" s="92"/>
    </row>
    <row r="72" spans="1:6" ht="41.4">
      <c r="A72" s="92" t="s">
        <v>3234</v>
      </c>
      <c r="B72" s="95"/>
      <c r="C72" s="92"/>
      <c r="D72" s="94" t="s">
        <v>3235</v>
      </c>
      <c r="E72" s="92"/>
      <c r="F72" s="92"/>
    </row>
    <row r="73" spans="1:6">
      <c r="A73" s="92" t="s">
        <v>3236</v>
      </c>
      <c r="B73" s="95"/>
      <c r="C73" s="92"/>
      <c r="D73" s="94" t="s">
        <v>3237</v>
      </c>
      <c r="E73" s="92"/>
      <c r="F73" s="92"/>
    </row>
    <row r="74" spans="1:6">
      <c r="A74" s="92" t="s">
        <v>3238</v>
      </c>
      <c r="B74" s="97"/>
      <c r="C74" s="92" t="s">
        <v>3239</v>
      </c>
      <c r="D74" s="94"/>
      <c r="E74" s="92"/>
      <c r="F74" s="92"/>
    </row>
    <row r="75" spans="1:6">
      <c r="A75" s="92" t="s">
        <v>3240</v>
      </c>
      <c r="B75" s="95"/>
      <c r="C75" s="92"/>
      <c r="D75" s="94" t="s">
        <v>3241</v>
      </c>
      <c r="E75" s="92"/>
      <c r="F75" s="92"/>
    </row>
    <row r="76" spans="1:6">
      <c r="A76" s="92" t="s">
        <v>3242</v>
      </c>
      <c r="B76" s="95"/>
      <c r="C76" s="92"/>
      <c r="D76" s="94" t="s">
        <v>3243</v>
      </c>
      <c r="E76" s="92"/>
      <c r="F76" s="92"/>
    </row>
    <row r="77" spans="1:6">
      <c r="A77" s="92" t="s">
        <v>3244</v>
      </c>
      <c r="B77" s="97"/>
      <c r="C77" s="92" t="s">
        <v>3245</v>
      </c>
      <c r="D77" s="94"/>
      <c r="E77" s="92"/>
      <c r="F77" s="92"/>
    </row>
    <row r="78" spans="1:6">
      <c r="A78" s="92" t="s">
        <v>3246</v>
      </c>
      <c r="B78" s="95"/>
      <c r="C78" s="92"/>
      <c r="D78" s="94" t="s">
        <v>3247</v>
      </c>
      <c r="E78" s="92"/>
      <c r="F78" s="92"/>
    </row>
    <row r="79" spans="1:6" ht="27.6">
      <c r="A79" s="92" t="s">
        <v>3248</v>
      </c>
      <c r="B79" s="95"/>
      <c r="C79" s="92"/>
      <c r="D79" s="94" t="s">
        <v>3249</v>
      </c>
      <c r="E79" s="92"/>
      <c r="F79" s="92"/>
    </row>
    <row r="80" spans="1:6">
      <c r="A80" s="92" t="s">
        <v>3250</v>
      </c>
      <c r="B80" s="97"/>
      <c r="C80" s="92" t="s">
        <v>3251</v>
      </c>
      <c r="D80" s="94"/>
      <c r="E80" s="92"/>
      <c r="F80" s="92"/>
    </row>
    <row r="81" spans="1:6">
      <c r="A81" s="92" t="s">
        <v>3252</v>
      </c>
      <c r="B81" s="95"/>
      <c r="C81" s="92"/>
      <c r="D81" s="94" t="s">
        <v>3253</v>
      </c>
      <c r="E81" s="92"/>
      <c r="F81" s="92"/>
    </row>
    <row r="82" spans="1:6">
      <c r="A82" s="92" t="s">
        <v>3254</v>
      </c>
      <c r="B82" s="95"/>
      <c r="C82" s="92"/>
      <c r="D82" s="94" t="s">
        <v>3255</v>
      </c>
      <c r="E82" s="92"/>
      <c r="F82" s="92"/>
    </row>
    <row r="83" spans="1:6">
      <c r="A83" s="92" t="s">
        <v>3256</v>
      </c>
      <c r="B83" s="95"/>
      <c r="C83" s="92"/>
      <c r="D83" s="94" t="s">
        <v>3257</v>
      </c>
      <c r="E83" s="92"/>
      <c r="F83" s="92"/>
    </row>
    <row r="84" spans="1:6">
      <c r="A84" s="92" t="s">
        <v>3258</v>
      </c>
      <c r="B84" s="95"/>
      <c r="C84" s="92"/>
      <c r="D84" s="94" t="s">
        <v>3259</v>
      </c>
      <c r="E84" s="92"/>
      <c r="F84" s="92"/>
    </row>
    <row r="85" spans="1:6">
      <c r="A85" s="92" t="s">
        <v>3260</v>
      </c>
      <c r="B85" s="95"/>
      <c r="C85" s="92"/>
      <c r="D85" s="94" t="s">
        <v>3261</v>
      </c>
      <c r="E85" s="92"/>
      <c r="F85" s="92"/>
    </row>
    <row r="86" spans="1:6">
      <c r="A86" s="92" t="s">
        <v>3262</v>
      </c>
      <c r="B86" s="97"/>
      <c r="C86" s="92" t="s">
        <v>3263</v>
      </c>
      <c r="D86" s="94"/>
      <c r="E86" s="92"/>
      <c r="F86" s="92"/>
    </row>
    <row r="87" spans="1:6">
      <c r="A87" s="92" t="s">
        <v>3264</v>
      </c>
      <c r="B87" s="95"/>
      <c r="C87" s="92"/>
      <c r="D87" s="94" t="s">
        <v>3265</v>
      </c>
      <c r="E87" s="92"/>
      <c r="F87" s="92"/>
    </row>
    <row r="88" spans="1:6">
      <c r="A88" s="92" t="s">
        <v>3266</v>
      </c>
      <c r="B88" s="95"/>
      <c r="C88" s="92"/>
      <c r="D88" s="94" t="s">
        <v>3267</v>
      </c>
      <c r="E88" s="92"/>
      <c r="F88" s="92"/>
    </row>
    <row r="89" spans="1:6">
      <c r="A89" s="92" t="s">
        <v>3268</v>
      </c>
      <c r="B89" s="95"/>
      <c r="C89" s="92"/>
      <c r="D89" s="94" t="s">
        <v>3269</v>
      </c>
      <c r="E89" s="92"/>
      <c r="F89" s="92"/>
    </row>
    <row r="90" spans="1:6">
      <c r="A90" s="92" t="s">
        <v>3270</v>
      </c>
      <c r="B90" s="95"/>
      <c r="C90" s="92"/>
      <c r="D90" s="94" t="s">
        <v>3271</v>
      </c>
      <c r="E90" s="92"/>
      <c r="F90" s="92"/>
    </row>
    <row r="91" spans="1:6" ht="27.6">
      <c r="A91" s="92" t="s">
        <v>3272</v>
      </c>
      <c r="B91" s="95"/>
      <c r="C91" s="92"/>
      <c r="D91" s="94" t="s">
        <v>3273</v>
      </c>
      <c r="E91" s="92"/>
      <c r="F91" s="92"/>
    </row>
    <row r="92" spans="1:6">
      <c r="A92" s="92" t="s">
        <v>3274</v>
      </c>
      <c r="B92" s="93" t="s">
        <v>3275</v>
      </c>
      <c r="C92" s="93"/>
      <c r="D92" s="94"/>
      <c r="E92" s="92"/>
      <c r="F92" s="92"/>
    </row>
    <row r="93" spans="1:6">
      <c r="A93" s="92" t="s">
        <v>3276</v>
      </c>
      <c r="B93" s="95"/>
      <c r="C93" s="92" t="s">
        <v>3277</v>
      </c>
      <c r="D93" s="94"/>
      <c r="E93" s="92"/>
      <c r="F93" s="92"/>
    </row>
    <row r="94" spans="1:6" ht="15" thickBot="1">
      <c r="A94" s="92" t="s">
        <v>3278</v>
      </c>
      <c r="B94" s="95"/>
      <c r="C94" s="92"/>
      <c r="D94" s="98" t="s">
        <v>3279</v>
      </c>
      <c r="E94" s="92"/>
      <c r="F94" s="92"/>
    </row>
    <row r="95" spans="1:6" ht="15" thickBot="1">
      <c r="A95" s="92" t="s">
        <v>3280</v>
      </c>
      <c r="B95" s="95"/>
      <c r="C95" s="92"/>
      <c r="D95" s="98" t="s">
        <v>3281</v>
      </c>
      <c r="E95" s="92"/>
      <c r="F95" s="92"/>
    </row>
    <row r="96" spans="1:6">
      <c r="A96" s="92" t="s">
        <v>3282</v>
      </c>
      <c r="B96" s="95"/>
      <c r="C96" s="92"/>
      <c r="D96" s="94" t="s">
        <v>3283</v>
      </c>
      <c r="E96" s="92"/>
      <c r="F96" s="92"/>
    </row>
    <row r="97" spans="1:6">
      <c r="A97" s="92" t="s">
        <v>3284</v>
      </c>
      <c r="B97" s="95"/>
      <c r="C97" s="92"/>
      <c r="D97" s="94" t="s">
        <v>3285</v>
      </c>
      <c r="E97" s="92"/>
      <c r="F97" s="92"/>
    </row>
    <row r="98" spans="1:6">
      <c r="A98" s="92" t="s">
        <v>3286</v>
      </c>
      <c r="B98" s="95"/>
      <c r="C98" s="92"/>
      <c r="D98" s="94" t="s">
        <v>3287</v>
      </c>
      <c r="E98" s="92"/>
      <c r="F98" s="92"/>
    </row>
    <row r="99" spans="1:6">
      <c r="A99" s="92" t="s">
        <v>3288</v>
      </c>
      <c r="B99" s="95"/>
      <c r="C99" s="92"/>
      <c r="D99" s="94" t="s">
        <v>3289</v>
      </c>
      <c r="E99" s="92"/>
      <c r="F99" s="92"/>
    </row>
    <row r="100" spans="1:6">
      <c r="A100" s="92" t="s">
        <v>3290</v>
      </c>
      <c r="B100" s="95"/>
      <c r="C100" s="92"/>
      <c r="D100" s="94" t="s">
        <v>3291</v>
      </c>
      <c r="E100" s="92"/>
      <c r="F100" s="92"/>
    </row>
    <row r="101" spans="1:6">
      <c r="A101" s="92" t="s">
        <v>3292</v>
      </c>
      <c r="B101" s="97"/>
      <c r="C101" s="92" t="s">
        <v>3293</v>
      </c>
      <c r="D101" s="94"/>
      <c r="E101" s="92"/>
      <c r="F101" s="92"/>
    </row>
    <row r="102" spans="1:6">
      <c r="A102" s="92" t="s">
        <v>3294</v>
      </c>
      <c r="B102" s="95"/>
      <c r="C102" s="92"/>
      <c r="D102" s="94" t="s">
        <v>3295</v>
      </c>
      <c r="E102" s="92"/>
      <c r="F102" s="92"/>
    </row>
    <row r="103" spans="1:6">
      <c r="A103" s="92" t="s">
        <v>3296</v>
      </c>
      <c r="B103" s="95"/>
      <c r="C103" s="92"/>
      <c r="D103" s="94" t="s">
        <v>3297</v>
      </c>
      <c r="E103" s="92"/>
      <c r="F103" s="92"/>
    </row>
    <row r="104" spans="1:6">
      <c r="A104" s="92" t="s">
        <v>3298</v>
      </c>
      <c r="B104" s="93" t="s">
        <v>3299</v>
      </c>
      <c r="C104" s="93"/>
      <c r="D104" s="94"/>
      <c r="E104" s="92"/>
      <c r="F104" s="92"/>
    </row>
    <row r="105" spans="1:6">
      <c r="A105" s="92" t="s">
        <v>3300</v>
      </c>
      <c r="B105" s="92"/>
      <c r="C105" s="92" t="s">
        <v>3301</v>
      </c>
      <c r="D105" s="94"/>
      <c r="E105" s="92"/>
      <c r="F105" s="92"/>
    </row>
    <row r="106" spans="1:6" ht="27.6">
      <c r="A106" s="92" t="s">
        <v>3302</v>
      </c>
      <c r="B106" s="95"/>
      <c r="C106" s="92"/>
      <c r="D106" s="94" t="s">
        <v>3303</v>
      </c>
      <c r="E106" s="92"/>
      <c r="F106" s="92"/>
    </row>
    <row r="107" spans="1:6">
      <c r="A107" s="92" t="s">
        <v>3304</v>
      </c>
      <c r="B107" s="95"/>
      <c r="C107" s="92"/>
      <c r="D107" s="94" t="s">
        <v>3305</v>
      </c>
      <c r="E107" s="92"/>
      <c r="F107" s="92"/>
    </row>
    <row r="108" spans="1:6">
      <c r="A108" s="92" t="s">
        <v>3306</v>
      </c>
      <c r="B108" s="95"/>
      <c r="C108" s="92"/>
      <c r="D108" s="94" t="s">
        <v>3307</v>
      </c>
      <c r="E108" s="92"/>
      <c r="F108" s="92"/>
    </row>
    <row r="109" spans="1:6">
      <c r="A109" s="92" t="s">
        <v>3308</v>
      </c>
      <c r="B109" s="92"/>
      <c r="C109" s="92" t="s">
        <v>3309</v>
      </c>
      <c r="D109" s="94"/>
      <c r="E109" s="92"/>
      <c r="F109" s="92"/>
    </row>
    <row r="110" spans="1:6" ht="27.6">
      <c r="A110" s="92" t="s">
        <v>3310</v>
      </c>
      <c r="B110" s="95"/>
      <c r="C110" s="92"/>
      <c r="D110" s="94" t="s">
        <v>3311</v>
      </c>
      <c r="E110" s="92"/>
      <c r="F110" s="92"/>
    </row>
    <row r="111" spans="1:6">
      <c r="A111" s="92" t="s">
        <v>3312</v>
      </c>
      <c r="B111" s="95"/>
      <c r="C111" s="92"/>
      <c r="D111" s="94" t="s">
        <v>3313</v>
      </c>
      <c r="E111" s="92"/>
      <c r="F111" s="92"/>
    </row>
    <row r="112" spans="1:6">
      <c r="A112" s="92" t="s">
        <v>3314</v>
      </c>
      <c r="B112" s="95"/>
      <c r="C112" s="92"/>
      <c r="D112" s="94" t="s">
        <v>3315</v>
      </c>
      <c r="E112" s="92"/>
      <c r="F112" s="92"/>
    </row>
    <row r="113" spans="1:6">
      <c r="A113" s="92" t="s">
        <v>3316</v>
      </c>
      <c r="B113" s="92"/>
      <c r="C113" s="92" t="s">
        <v>3317</v>
      </c>
      <c r="D113" s="94"/>
      <c r="E113" s="92"/>
      <c r="F113" s="92"/>
    </row>
    <row r="114" spans="1:6">
      <c r="A114" s="92" t="s">
        <v>3318</v>
      </c>
      <c r="B114" s="95"/>
      <c r="C114" s="92"/>
      <c r="D114" s="94" t="s">
        <v>3319</v>
      </c>
      <c r="E114" s="92"/>
      <c r="F114" s="92"/>
    </row>
    <row r="115" spans="1:6">
      <c r="A115" s="92" t="s">
        <v>3320</v>
      </c>
      <c r="B115" s="95"/>
      <c r="C115" s="92"/>
      <c r="D115" s="94" t="s">
        <v>3321</v>
      </c>
      <c r="E115" s="92"/>
      <c r="F115" s="92"/>
    </row>
    <row r="116" spans="1:6">
      <c r="A116" s="92" t="s">
        <v>3322</v>
      </c>
      <c r="B116" s="93" t="s">
        <v>2632</v>
      </c>
      <c r="C116" s="93"/>
      <c r="D116" s="94"/>
      <c r="E116" s="92"/>
      <c r="F116" s="92"/>
    </row>
    <row r="117" spans="1:6">
      <c r="A117" s="92" t="s">
        <v>3323</v>
      </c>
      <c r="B117" s="92"/>
      <c r="C117" s="92" t="s">
        <v>3324</v>
      </c>
      <c r="D117" s="94"/>
      <c r="E117" s="92"/>
      <c r="F117" s="92"/>
    </row>
    <row r="118" spans="1:6" ht="27.6">
      <c r="A118" s="92" t="s">
        <v>3325</v>
      </c>
      <c r="B118" s="95"/>
      <c r="C118" s="92"/>
      <c r="D118" s="94" t="s">
        <v>3326</v>
      </c>
      <c r="E118" s="92"/>
      <c r="F118" s="92"/>
    </row>
    <row r="119" spans="1:6" ht="27.6">
      <c r="A119" s="92" t="s">
        <v>3327</v>
      </c>
      <c r="B119" s="95"/>
      <c r="C119" s="92"/>
      <c r="D119" s="94" t="s">
        <v>3328</v>
      </c>
      <c r="E119" s="92"/>
      <c r="F119" s="92"/>
    </row>
    <row r="120" spans="1:6">
      <c r="A120" s="92" t="s">
        <v>3329</v>
      </c>
      <c r="B120" s="95"/>
      <c r="C120" s="92"/>
      <c r="D120" s="94" t="s">
        <v>3330</v>
      </c>
      <c r="E120" s="92"/>
      <c r="F120" s="92"/>
    </row>
    <row r="121" spans="1:6">
      <c r="A121" s="92" t="s">
        <v>3331</v>
      </c>
      <c r="B121" s="92"/>
      <c r="C121" s="92" t="s">
        <v>3332</v>
      </c>
      <c r="D121" s="94"/>
      <c r="E121" s="92"/>
      <c r="F121" s="92"/>
    </row>
    <row r="122" spans="1:6" ht="27.6">
      <c r="A122" s="92" t="s">
        <v>3333</v>
      </c>
      <c r="B122" s="95"/>
      <c r="C122" s="92"/>
      <c r="D122" s="94" t="s">
        <v>3334</v>
      </c>
      <c r="E122" s="92"/>
      <c r="F122" s="92"/>
    </row>
    <row r="123" spans="1:6" ht="27.6">
      <c r="A123" s="92" t="s">
        <v>3335</v>
      </c>
      <c r="B123" s="95"/>
      <c r="C123" s="92"/>
      <c r="D123" s="94" t="s">
        <v>3336</v>
      </c>
      <c r="E123" s="92"/>
      <c r="F123" s="92"/>
    </row>
    <row r="124" spans="1:6" ht="27.6">
      <c r="A124" s="92" t="s">
        <v>3337</v>
      </c>
      <c r="B124" s="95"/>
      <c r="C124" s="92"/>
      <c r="D124" s="94" t="s">
        <v>3338</v>
      </c>
      <c r="E124" s="92"/>
      <c r="F124" s="92"/>
    </row>
    <row r="125" spans="1:6">
      <c r="A125" s="92" t="s">
        <v>3339</v>
      </c>
      <c r="B125" s="92"/>
      <c r="C125" s="92" t="s">
        <v>3340</v>
      </c>
      <c r="D125" s="94"/>
      <c r="E125" s="92"/>
      <c r="F125" s="92"/>
    </row>
    <row r="126" spans="1:6" ht="27.6">
      <c r="A126" s="92" t="s">
        <v>3341</v>
      </c>
      <c r="B126" s="95"/>
      <c r="C126" s="92"/>
      <c r="D126" s="94" t="s">
        <v>3342</v>
      </c>
      <c r="E126" s="92"/>
      <c r="F126" s="92"/>
    </row>
    <row r="127" spans="1:6" ht="27.6">
      <c r="A127" s="92" t="s">
        <v>3343</v>
      </c>
      <c r="B127" s="95"/>
      <c r="C127" s="92"/>
      <c r="D127" s="94" t="s">
        <v>3344</v>
      </c>
      <c r="E127" s="92"/>
      <c r="F127" s="92"/>
    </row>
    <row r="128" spans="1:6">
      <c r="A128" s="92" t="s">
        <v>3345</v>
      </c>
      <c r="B128" s="95"/>
      <c r="C128" s="92"/>
      <c r="D128" s="94" t="s">
        <v>3346</v>
      </c>
      <c r="E128" s="92"/>
      <c r="F128" s="92"/>
    </row>
    <row r="129" spans="1:6" ht="27.6">
      <c r="A129" s="92" t="s">
        <v>3347</v>
      </c>
      <c r="B129" s="95"/>
      <c r="C129" s="92"/>
      <c r="D129" s="94" t="s">
        <v>3348</v>
      </c>
      <c r="E129" s="92"/>
      <c r="F129" s="92"/>
    </row>
    <row r="130" spans="1:6">
      <c r="A130" s="92" t="s">
        <v>3349</v>
      </c>
      <c r="B130" s="92"/>
      <c r="C130" s="92" t="s">
        <v>3350</v>
      </c>
      <c r="D130" s="94"/>
      <c r="E130" s="92"/>
      <c r="F130" s="92"/>
    </row>
    <row r="131" spans="1:6" ht="27.6">
      <c r="A131" s="92" t="s">
        <v>3351</v>
      </c>
      <c r="B131" s="95"/>
      <c r="C131" s="92"/>
      <c r="D131" s="94" t="s">
        <v>3352</v>
      </c>
      <c r="E131" s="92"/>
      <c r="F131" s="92"/>
    </row>
    <row r="132" spans="1:6" ht="27.6">
      <c r="A132" s="92" t="s">
        <v>3353</v>
      </c>
      <c r="B132" s="95"/>
      <c r="C132" s="92"/>
      <c r="D132" s="94" t="s">
        <v>3354</v>
      </c>
      <c r="E132" s="92"/>
      <c r="F132" s="92"/>
    </row>
    <row r="133" spans="1:6" ht="27.6">
      <c r="A133" s="92" t="s">
        <v>3355</v>
      </c>
      <c r="B133" s="95"/>
      <c r="C133" s="92"/>
      <c r="D133" s="94" t="s">
        <v>3356</v>
      </c>
      <c r="E133" s="92"/>
      <c r="F133" s="92"/>
    </row>
    <row r="134" spans="1:6">
      <c r="A134" s="92" t="s">
        <v>3357</v>
      </c>
      <c r="B134" s="93" t="s">
        <v>3358</v>
      </c>
      <c r="C134" s="93"/>
      <c r="D134" s="94"/>
      <c r="E134" s="92"/>
      <c r="F134" s="92"/>
    </row>
    <row r="135" spans="1:6">
      <c r="A135" s="92" t="s">
        <v>3359</v>
      </c>
      <c r="B135" s="92"/>
      <c r="C135" s="92" t="s">
        <v>3360</v>
      </c>
      <c r="D135" s="94"/>
      <c r="E135" s="92"/>
      <c r="F135" s="92"/>
    </row>
    <row r="136" spans="1:6">
      <c r="A136" s="92" t="s">
        <v>3361</v>
      </c>
      <c r="B136" s="95"/>
      <c r="C136" s="92"/>
      <c r="D136" s="94" t="s">
        <v>3362</v>
      </c>
      <c r="E136" s="92"/>
      <c r="F136" s="92"/>
    </row>
    <row r="137" spans="1:6">
      <c r="A137" s="92" t="s">
        <v>3363</v>
      </c>
      <c r="B137" s="95"/>
      <c r="C137" s="92"/>
      <c r="D137" s="94" t="s">
        <v>3364</v>
      </c>
      <c r="E137" s="92"/>
      <c r="F137" s="92"/>
    </row>
    <row r="138" spans="1:6">
      <c r="A138" s="92" t="s">
        <v>3365</v>
      </c>
      <c r="B138" s="95"/>
      <c r="C138" s="92"/>
      <c r="D138" s="94" t="s">
        <v>3366</v>
      </c>
      <c r="E138" s="92"/>
      <c r="F138" s="92"/>
    </row>
    <row r="139" spans="1:6">
      <c r="A139" s="92" t="s">
        <v>3367</v>
      </c>
      <c r="B139" s="92"/>
      <c r="C139" s="92" t="s">
        <v>3368</v>
      </c>
      <c r="D139" s="94"/>
      <c r="E139" s="92"/>
      <c r="F139" s="92"/>
    </row>
    <row r="140" spans="1:6">
      <c r="A140" s="92" t="s">
        <v>3369</v>
      </c>
      <c r="B140" s="95"/>
      <c r="C140" s="92"/>
      <c r="D140" s="94" t="s">
        <v>3370</v>
      </c>
      <c r="E140" s="92"/>
      <c r="F140" s="92"/>
    </row>
    <row r="141" spans="1:6">
      <c r="A141" s="92" t="s">
        <v>3371</v>
      </c>
      <c r="B141" s="92"/>
      <c r="C141" s="92" t="s">
        <v>3372</v>
      </c>
      <c r="D141" s="94"/>
      <c r="E141" s="92"/>
      <c r="F141" s="92"/>
    </row>
    <row r="142" spans="1:6">
      <c r="A142" s="92" t="s">
        <v>3373</v>
      </c>
      <c r="B142" s="95"/>
      <c r="C142" s="92"/>
      <c r="D142" s="94" t="s">
        <v>3374</v>
      </c>
      <c r="E142" s="92"/>
      <c r="F142" s="92"/>
    </row>
    <row r="143" spans="1:6">
      <c r="A143" s="92" t="s">
        <v>3375</v>
      </c>
      <c r="B143" s="95"/>
      <c r="C143" s="92"/>
      <c r="D143" s="94" t="s">
        <v>3376</v>
      </c>
      <c r="E143" s="92"/>
      <c r="F143" s="92"/>
    </row>
    <row r="144" spans="1:6">
      <c r="A144" s="92" t="s">
        <v>3377</v>
      </c>
      <c r="B144" s="95"/>
      <c r="C144" s="92"/>
      <c r="D144" s="94" t="s">
        <v>3378</v>
      </c>
      <c r="E144" s="92"/>
      <c r="F144" s="92"/>
    </row>
    <row r="145" spans="1:6">
      <c r="A145" s="92" t="s">
        <v>3379</v>
      </c>
      <c r="B145" s="92"/>
      <c r="C145" s="92" t="s">
        <v>3380</v>
      </c>
      <c r="D145" s="94"/>
      <c r="E145" s="92"/>
      <c r="F145" s="92"/>
    </row>
    <row r="146" spans="1:6">
      <c r="A146" s="92" t="s">
        <v>3381</v>
      </c>
      <c r="B146" s="95"/>
      <c r="C146" s="92"/>
      <c r="D146" s="94" t="s">
        <v>3382</v>
      </c>
      <c r="E146" s="92"/>
      <c r="F146" s="92"/>
    </row>
    <row r="147" spans="1:6">
      <c r="A147" s="92" t="s">
        <v>3383</v>
      </c>
      <c r="B147" s="95"/>
      <c r="C147" s="92"/>
      <c r="D147" s="94" t="s">
        <v>3384</v>
      </c>
      <c r="E147" s="92"/>
      <c r="F147" s="92"/>
    </row>
    <row r="148" spans="1:6">
      <c r="A148" s="92" t="s">
        <v>3385</v>
      </c>
      <c r="B148" s="92"/>
      <c r="C148" s="92" t="s">
        <v>3386</v>
      </c>
      <c r="D148" s="94"/>
      <c r="E148" s="92"/>
      <c r="F148" s="92"/>
    </row>
    <row r="149" spans="1:6">
      <c r="A149" s="92" t="s">
        <v>3387</v>
      </c>
      <c r="B149" s="95"/>
      <c r="C149" s="92"/>
      <c r="D149" s="94" t="s">
        <v>3388</v>
      </c>
      <c r="E149" s="92"/>
      <c r="F149" s="92"/>
    </row>
    <row r="150" spans="1:6">
      <c r="A150" s="92" t="s">
        <v>3389</v>
      </c>
      <c r="B150" s="95"/>
      <c r="C150" s="92"/>
      <c r="D150" s="94" t="s">
        <v>3390</v>
      </c>
      <c r="E150" s="92"/>
      <c r="F150" s="92"/>
    </row>
    <row r="151" spans="1:6">
      <c r="A151" s="92" t="s">
        <v>3391</v>
      </c>
      <c r="B151" s="95"/>
      <c r="C151" s="92"/>
      <c r="D151" s="94" t="s">
        <v>3392</v>
      </c>
      <c r="E151" s="92"/>
      <c r="F151" s="92"/>
    </row>
    <row r="152" spans="1:6">
      <c r="A152" s="92" t="s">
        <v>3393</v>
      </c>
      <c r="B152" s="95"/>
      <c r="C152" s="92"/>
      <c r="D152" s="94" t="s">
        <v>3394</v>
      </c>
      <c r="E152" s="92"/>
      <c r="F152" s="92"/>
    </row>
    <row r="153" spans="1:6" ht="27.6">
      <c r="A153" s="92" t="s">
        <v>3395</v>
      </c>
      <c r="B153" s="93" t="s">
        <v>3396</v>
      </c>
      <c r="C153" s="93"/>
      <c r="D153" s="94"/>
      <c r="E153" s="92"/>
      <c r="F153" s="92"/>
    </row>
    <row r="154" spans="1:6">
      <c r="A154" s="92" t="s">
        <v>3397</v>
      </c>
      <c r="B154" s="92"/>
      <c r="C154" s="92" t="s">
        <v>3398</v>
      </c>
      <c r="D154" s="94"/>
      <c r="E154" s="92"/>
      <c r="F154" s="92"/>
    </row>
    <row r="155" spans="1:6">
      <c r="A155" s="92" t="s">
        <v>3399</v>
      </c>
      <c r="B155" s="95"/>
      <c r="C155" s="92"/>
      <c r="D155" s="94" t="s">
        <v>3400</v>
      </c>
      <c r="E155" s="92"/>
      <c r="F155" s="92"/>
    </row>
    <row r="156" spans="1:6">
      <c r="A156" s="92" t="s">
        <v>3401</v>
      </c>
      <c r="B156" s="95"/>
      <c r="C156" s="92"/>
      <c r="D156" s="94" t="s">
        <v>3402</v>
      </c>
      <c r="E156" s="92"/>
      <c r="F156" s="92"/>
    </row>
    <row r="157" spans="1:6" ht="27.6">
      <c r="A157" s="92" t="s">
        <v>3403</v>
      </c>
      <c r="B157" s="95"/>
      <c r="C157" s="92"/>
      <c r="D157" s="94" t="s">
        <v>3404</v>
      </c>
      <c r="E157" s="92"/>
      <c r="F157" s="92"/>
    </row>
    <row r="158" spans="1:6" ht="27.6">
      <c r="A158" s="92" t="s">
        <v>3405</v>
      </c>
      <c r="B158" s="95"/>
      <c r="C158" s="92"/>
      <c r="D158" s="94" t="s">
        <v>3406</v>
      </c>
      <c r="E158" s="92"/>
      <c r="F158" s="92"/>
    </row>
    <row r="159" spans="1:6" ht="27.6">
      <c r="A159" s="92" t="s">
        <v>3407</v>
      </c>
      <c r="B159" s="95"/>
      <c r="C159" s="92"/>
      <c r="D159" s="94" t="s">
        <v>3408</v>
      </c>
      <c r="E159" s="92"/>
      <c r="F159" s="92"/>
    </row>
    <row r="160" spans="1:6">
      <c r="A160" s="92" t="s">
        <v>3409</v>
      </c>
      <c r="B160" s="95"/>
      <c r="C160" s="92"/>
      <c r="D160" s="94" t="s">
        <v>3410</v>
      </c>
      <c r="E160" s="92"/>
      <c r="F160" s="92"/>
    </row>
    <row r="161" spans="1:6" ht="27.6">
      <c r="A161" s="92" t="s">
        <v>3411</v>
      </c>
      <c r="B161" s="95"/>
      <c r="C161" s="92"/>
      <c r="D161" s="94" t="s">
        <v>3412</v>
      </c>
      <c r="E161" s="92"/>
      <c r="F161" s="92"/>
    </row>
    <row r="162" spans="1:6">
      <c r="A162" s="92" t="s">
        <v>3413</v>
      </c>
      <c r="B162" s="92"/>
      <c r="C162" s="92" t="s">
        <v>3414</v>
      </c>
      <c r="D162" s="94"/>
      <c r="E162" s="92"/>
      <c r="F162" s="92"/>
    </row>
    <row r="163" spans="1:6" ht="27.6">
      <c r="A163" s="92" t="s">
        <v>3415</v>
      </c>
      <c r="B163" s="95"/>
      <c r="C163" s="92"/>
      <c r="D163" s="94" t="s">
        <v>3416</v>
      </c>
      <c r="E163" s="92"/>
      <c r="F163" s="92"/>
    </row>
    <row r="164" spans="1:6">
      <c r="A164" s="92" t="s">
        <v>3417</v>
      </c>
      <c r="B164" s="95"/>
      <c r="C164" s="92"/>
      <c r="D164" s="94" t="s">
        <v>3418</v>
      </c>
      <c r="E164" s="92"/>
      <c r="F164" s="92"/>
    </row>
    <row r="165" spans="1:6" ht="27.6">
      <c r="A165" s="92" t="s">
        <v>3419</v>
      </c>
      <c r="B165" s="95"/>
      <c r="C165" s="92"/>
      <c r="D165" s="94" t="s">
        <v>3420</v>
      </c>
      <c r="E165" s="92"/>
      <c r="F165" s="92"/>
    </row>
    <row r="166" spans="1:6" ht="27.6">
      <c r="A166" s="92" t="s">
        <v>3421</v>
      </c>
      <c r="B166" s="95"/>
      <c r="C166" s="92"/>
      <c r="D166" s="94" t="s">
        <v>3422</v>
      </c>
      <c r="E166" s="92"/>
      <c r="F166" s="92"/>
    </row>
    <row r="167" spans="1:6">
      <c r="A167" s="92" t="s">
        <v>3423</v>
      </c>
      <c r="B167" s="95"/>
      <c r="C167" s="92"/>
      <c r="D167" s="94" t="s">
        <v>3424</v>
      </c>
      <c r="E167" s="92"/>
      <c r="F167" s="92"/>
    </row>
    <row r="168" spans="1:6">
      <c r="A168" s="92" t="s">
        <v>3425</v>
      </c>
      <c r="B168" s="93" t="s">
        <v>3426</v>
      </c>
      <c r="C168" s="93"/>
      <c r="D168" s="94"/>
      <c r="E168" s="92"/>
      <c r="F168" s="92"/>
    </row>
    <row r="169" spans="1:6">
      <c r="A169" s="92" t="s">
        <v>3427</v>
      </c>
      <c r="B169" s="92"/>
      <c r="C169" s="92" t="s">
        <v>3428</v>
      </c>
      <c r="D169" s="94"/>
      <c r="E169" s="92"/>
      <c r="F169" s="92"/>
    </row>
    <row r="170" spans="1:6">
      <c r="A170" s="92" t="s">
        <v>3429</v>
      </c>
      <c r="B170" s="92"/>
      <c r="C170" s="92" t="s">
        <v>3430</v>
      </c>
      <c r="D170" s="94"/>
      <c r="E170" s="92"/>
      <c r="F170" s="92"/>
    </row>
    <row r="171" spans="1:6" ht="27.6">
      <c r="A171" s="92" t="s">
        <v>3431</v>
      </c>
      <c r="B171" s="95"/>
      <c r="C171" s="92"/>
      <c r="D171" s="94" t="s">
        <v>3432</v>
      </c>
      <c r="E171" s="92"/>
      <c r="F171" s="92"/>
    </row>
    <row r="172" spans="1:6" ht="27.6">
      <c r="A172" s="92" t="s">
        <v>3433</v>
      </c>
      <c r="B172" s="95"/>
      <c r="C172" s="92"/>
      <c r="D172" s="94" t="s">
        <v>3434</v>
      </c>
      <c r="E172" s="92"/>
      <c r="F172" s="92"/>
    </row>
    <row r="173" spans="1:6">
      <c r="A173" s="92" t="s">
        <v>3435</v>
      </c>
      <c r="B173" s="95"/>
      <c r="C173" s="92"/>
      <c r="D173" s="94" t="s">
        <v>3436</v>
      </c>
      <c r="E173" s="92"/>
      <c r="F173" s="92"/>
    </row>
    <row r="174" spans="1:6" ht="27.6">
      <c r="A174" s="92" t="s">
        <v>3437</v>
      </c>
      <c r="B174" s="95"/>
      <c r="C174" s="92"/>
      <c r="D174" s="94" t="s">
        <v>3438</v>
      </c>
      <c r="E174" s="92"/>
      <c r="F174" s="92"/>
    </row>
    <row r="175" spans="1:6">
      <c r="A175" s="92" t="s">
        <v>3439</v>
      </c>
      <c r="B175" s="95"/>
      <c r="C175" s="92"/>
      <c r="D175" s="94" t="s">
        <v>3440</v>
      </c>
      <c r="E175" s="92"/>
      <c r="F175" s="92"/>
    </row>
    <row r="176" spans="1:6">
      <c r="A176" s="92" t="s">
        <v>3441</v>
      </c>
      <c r="B176" s="95"/>
      <c r="C176" s="92"/>
      <c r="D176" s="94" t="s">
        <v>3442</v>
      </c>
      <c r="E176" s="92"/>
      <c r="F176" s="92"/>
    </row>
    <row r="177" spans="1:6">
      <c r="A177" s="92" t="s">
        <v>3443</v>
      </c>
      <c r="B177" s="92"/>
      <c r="C177" s="92" t="s">
        <v>3444</v>
      </c>
      <c r="D177" s="94"/>
      <c r="E177" s="92"/>
      <c r="F177" s="92"/>
    </row>
    <row r="178" spans="1:6">
      <c r="A178" s="92" t="s">
        <v>3445</v>
      </c>
      <c r="B178" s="92"/>
      <c r="C178" s="92" t="s">
        <v>3446</v>
      </c>
      <c r="D178" s="94"/>
      <c r="E178" s="92"/>
      <c r="F178" s="92"/>
    </row>
    <row r="179" spans="1:6">
      <c r="A179" s="92" t="s">
        <v>3447</v>
      </c>
      <c r="B179" s="92"/>
      <c r="C179" s="92" t="s">
        <v>3448</v>
      </c>
      <c r="D179" s="94"/>
      <c r="E179" s="92"/>
      <c r="F179" s="92"/>
    </row>
    <row r="180" spans="1:6">
      <c r="A180" s="92" t="s">
        <v>3449</v>
      </c>
      <c r="B180" s="92"/>
      <c r="C180" s="92" t="s">
        <v>1145</v>
      </c>
      <c r="D180" s="94"/>
      <c r="E180" s="92"/>
      <c r="F180" s="92"/>
    </row>
    <row r="181" spans="1:6">
      <c r="A181" s="92" t="s">
        <v>3450</v>
      </c>
      <c r="B181" s="95"/>
      <c r="C181" s="92"/>
      <c r="D181" s="94" t="s">
        <v>3451</v>
      </c>
      <c r="E181" s="92"/>
      <c r="F181" s="92"/>
    </row>
    <row r="182" spans="1:6" ht="27.6">
      <c r="A182" s="92" t="s">
        <v>3452</v>
      </c>
      <c r="B182" s="95"/>
      <c r="C182" s="92"/>
      <c r="D182" s="94" t="s">
        <v>3453</v>
      </c>
      <c r="E182" s="92"/>
      <c r="F182" s="92"/>
    </row>
    <row r="183" spans="1:6">
      <c r="A183" s="92" t="s">
        <v>3454</v>
      </c>
      <c r="B183" s="95"/>
      <c r="C183" s="92"/>
      <c r="D183" s="94" t="s">
        <v>3455</v>
      </c>
      <c r="E183" s="92"/>
      <c r="F183" s="92"/>
    </row>
    <row r="184" spans="1:6">
      <c r="A184" s="92" t="s">
        <v>3456</v>
      </c>
      <c r="B184" s="95"/>
      <c r="C184" s="92"/>
      <c r="D184" s="94" t="s">
        <v>3457</v>
      </c>
      <c r="E184" s="92"/>
      <c r="F184" s="92"/>
    </row>
    <row r="185" spans="1:6">
      <c r="A185" s="92" t="s">
        <v>3458</v>
      </c>
      <c r="B185" s="95"/>
      <c r="C185" s="92"/>
      <c r="D185" s="94" t="s">
        <v>3459</v>
      </c>
      <c r="E185" s="92"/>
      <c r="F185" s="92"/>
    </row>
    <row r="186" spans="1:6">
      <c r="A186" s="92" t="s">
        <v>3460</v>
      </c>
      <c r="B186" s="92"/>
      <c r="C186" s="92" t="s">
        <v>3461</v>
      </c>
      <c r="D186" s="94"/>
      <c r="E186" s="92"/>
      <c r="F186" s="92"/>
    </row>
    <row r="187" spans="1:6">
      <c r="A187" s="92" t="s">
        <v>3462</v>
      </c>
      <c r="B187" s="95"/>
      <c r="C187" s="92"/>
      <c r="D187" s="94" t="s">
        <v>3463</v>
      </c>
      <c r="E187" s="92"/>
      <c r="F187" s="92"/>
    </row>
    <row r="188" spans="1:6" ht="27.6">
      <c r="A188" s="92" t="s">
        <v>3464</v>
      </c>
      <c r="B188" s="95"/>
      <c r="C188" s="92"/>
      <c r="D188" s="94" t="s">
        <v>3465</v>
      </c>
      <c r="E188" s="92"/>
      <c r="F188" s="92"/>
    </row>
    <row r="189" spans="1:6">
      <c r="A189" s="92" t="s">
        <v>3466</v>
      </c>
      <c r="B189" s="95"/>
      <c r="C189" s="92"/>
      <c r="D189" s="94" t="s">
        <v>3467</v>
      </c>
      <c r="E189" s="92"/>
      <c r="F189" s="92"/>
    </row>
    <row r="190" spans="1:6">
      <c r="A190" s="92" t="s">
        <v>3468</v>
      </c>
      <c r="B190" s="95"/>
      <c r="C190" s="92"/>
      <c r="D190" s="94" t="s">
        <v>1146</v>
      </c>
      <c r="E190" s="92"/>
      <c r="F190" s="92"/>
    </row>
    <row r="191" spans="1:6">
      <c r="A191" s="92" t="s">
        <v>3469</v>
      </c>
      <c r="B191" s="95"/>
      <c r="C191" s="92" t="s">
        <v>3470</v>
      </c>
      <c r="D191" s="94"/>
      <c r="E191" s="92"/>
      <c r="F191" s="92"/>
    </row>
    <row r="192" spans="1:6">
      <c r="A192" s="92" t="s">
        <v>3471</v>
      </c>
      <c r="B192" s="93" t="s">
        <v>3472</v>
      </c>
      <c r="C192" s="93"/>
      <c r="D192" s="94"/>
      <c r="E192" s="92"/>
      <c r="F192" s="92"/>
    </row>
    <row r="193" spans="1:6">
      <c r="A193" s="92" t="s">
        <v>3473</v>
      </c>
      <c r="B193" s="92"/>
      <c r="C193" s="92" t="s">
        <v>3474</v>
      </c>
      <c r="D193" s="94"/>
      <c r="E193" s="92"/>
      <c r="F193" s="92"/>
    </row>
    <row r="194" spans="1:6">
      <c r="A194" s="92" t="s">
        <v>3475</v>
      </c>
      <c r="B194" s="92"/>
      <c r="C194" s="92" t="s">
        <v>3476</v>
      </c>
      <c r="D194" s="94"/>
      <c r="E194" s="92"/>
      <c r="F194" s="92"/>
    </row>
    <row r="195" spans="1:6">
      <c r="A195" s="92" t="s">
        <v>3477</v>
      </c>
      <c r="B195" s="92"/>
      <c r="C195" s="92" t="s">
        <v>3478</v>
      </c>
      <c r="D195" s="94"/>
      <c r="E195" s="92"/>
      <c r="F195" s="92"/>
    </row>
    <row r="196" spans="1:6">
      <c r="A196" s="92" t="s">
        <v>3479</v>
      </c>
      <c r="B196" s="92"/>
      <c r="C196" s="92" t="s">
        <v>3480</v>
      </c>
      <c r="D196" s="94"/>
      <c r="E196" s="92"/>
      <c r="F196" s="92"/>
    </row>
  </sheetData>
  <phoneticPr fontId="43" type="noConversion"/>
  <conditionalFormatting sqref="C7 E7 A8:A10 C11 E11:E82 A12:A21 C22 C30 C43 C68 C92 C104 C116 C134 C153 C168 C192">
    <cfRule type="expression" dxfId="5" priority="3">
      <formula>#REF!=""</formula>
    </cfRule>
  </conditionalFormatting>
  <conditionalFormatting sqref="D7:D82">
    <cfRule type="expression" dxfId="3" priority="1">
      <formula>#REF!=""</formula>
    </cfRule>
  </conditionalFormatting>
  <pageMargins left="0.7" right="0.7" top="0.75" bottom="0.75" header="0.511811023622047" footer="0.511811023622047"/>
  <pageSetup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1"/>
  <sheetViews>
    <sheetView zoomScaleNormal="100" workbookViewId="0">
      <selection activeCell="D7" sqref="D7:D13"/>
    </sheetView>
  </sheetViews>
  <sheetFormatPr baseColWidth="10" defaultColWidth="8.6640625" defaultRowHeight="14.4"/>
  <cols>
    <col min="1" max="1" width="21.44140625" customWidth="1"/>
    <col min="2" max="2" width="23.33203125" customWidth="1"/>
    <col min="3" max="3" width="15.44140625" customWidth="1"/>
    <col min="4" max="4" width="38.44140625" customWidth="1"/>
    <col min="5" max="5" width="14.109375" customWidth="1"/>
  </cols>
  <sheetData>
    <row r="1" spans="1:5">
      <c r="A1" s="17" t="s">
        <v>0</v>
      </c>
      <c r="B1" s="18" t="s">
        <v>351</v>
      </c>
      <c r="C1" s="19"/>
    </row>
    <row r="2" spans="1:5">
      <c r="A2" s="17" t="s">
        <v>2</v>
      </c>
      <c r="B2" s="18" t="s">
        <v>427</v>
      </c>
      <c r="C2" s="19"/>
    </row>
    <row r="3" spans="1:5">
      <c r="A3" s="17" t="s">
        <v>4</v>
      </c>
      <c r="B3" s="18" t="s">
        <v>1148</v>
      </c>
      <c r="C3" s="19"/>
    </row>
    <row r="4" spans="1:5">
      <c r="A4" s="17" t="s">
        <v>6</v>
      </c>
      <c r="B4" s="18" t="s">
        <v>429</v>
      </c>
      <c r="C4" s="20"/>
    </row>
    <row r="5" spans="1:5">
      <c r="A5" s="17" t="s">
        <v>8</v>
      </c>
      <c r="B5" s="18" t="s">
        <v>430</v>
      </c>
      <c r="C5" s="20"/>
    </row>
    <row r="6" spans="1:5">
      <c r="A6" s="21" t="s">
        <v>10</v>
      </c>
      <c r="B6" s="21" t="s">
        <v>11</v>
      </c>
      <c r="C6" s="21" t="s">
        <v>12</v>
      </c>
      <c r="D6" s="21" t="s">
        <v>8</v>
      </c>
      <c r="E6" s="21" t="s">
        <v>14</v>
      </c>
    </row>
    <row r="7" spans="1:5" s="25" customFormat="1">
      <c r="A7" s="22" t="s">
        <v>1149</v>
      </c>
      <c r="B7" s="22" t="s">
        <v>1150</v>
      </c>
      <c r="C7" s="23"/>
      <c r="D7" t="s">
        <v>1151</v>
      </c>
    </row>
    <row r="8" spans="1:5" s="25" customFormat="1">
      <c r="A8" t="s">
        <v>1152</v>
      </c>
      <c r="B8" t="s">
        <v>1153</v>
      </c>
      <c r="C8" s="23"/>
      <c r="D8" t="s">
        <v>1154</v>
      </c>
    </row>
    <row r="9" spans="1:5" s="25" customFormat="1">
      <c r="A9" t="s">
        <v>1155</v>
      </c>
      <c r="B9" t="s">
        <v>1156</v>
      </c>
      <c r="C9" s="23"/>
      <c r="D9" t="s">
        <v>1157</v>
      </c>
    </row>
    <row r="10" spans="1:5" s="25" customFormat="1">
      <c r="A10" t="s">
        <v>1158</v>
      </c>
      <c r="B10" t="s">
        <v>1159</v>
      </c>
      <c r="C10" s="23"/>
      <c r="D10" t="s">
        <v>1160</v>
      </c>
    </row>
    <row r="11" spans="1:5" s="25" customFormat="1">
      <c r="A11" t="s">
        <v>1161</v>
      </c>
      <c r="B11" t="s">
        <v>1162</v>
      </c>
      <c r="C11" s="23"/>
      <c r="D11" t="s">
        <v>1163</v>
      </c>
    </row>
    <row r="12" spans="1:5" s="25" customFormat="1">
      <c r="A12" t="s">
        <v>1164</v>
      </c>
      <c r="B12" t="s">
        <v>1165</v>
      </c>
      <c r="C12" s="23"/>
      <c r="D12" t="s">
        <v>1166</v>
      </c>
    </row>
    <row r="13" spans="1:5" s="25" customFormat="1">
      <c r="A13" t="s">
        <v>1167</v>
      </c>
      <c r="B13" t="s">
        <v>1168</v>
      </c>
      <c r="C13" s="23"/>
      <c r="D13" t="s">
        <v>1169</v>
      </c>
    </row>
    <row r="14" spans="1:5" s="25" customFormat="1">
      <c r="C14" s="23"/>
    </row>
    <row r="15" spans="1:5" s="25" customFormat="1">
      <c r="C15" s="23"/>
    </row>
    <row r="16" spans="1:5" s="25" customFormat="1">
      <c r="C16" s="23"/>
    </row>
    <row r="18" spans="1:5">
      <c r="A18" s="26"/>
      <c r="E18" s="27"/>
    </row>
    <row r="19" spans="1:5" s="30" customFormat="1">
      <c r="A19" s="28"/>
      <c r="B19" s="26"/>
      <c r="C19" s="29"/>
      <c r="D19" s="29"/>
      <c r="E19" s="28"/>
    </row>
    <row r="20" spans="1:5">
      <c r="B20" s="28"/>
    </row>
    <row r="25" spans="1:5">
      <c r="B25" s="26"/>
    </row>
    <row r="26" spans="1:5">
      <c r="B26" s="28"/>
    </row>
    <row r="31" spans="1:5">
      <c r="B31" s="26"/>
    </row>
  </sheetData>
  <pageMargins left="0.7" right="0.7" top="0.75" bottom="0.75" header="0.511811023622047" footer="0.511811023622047"/>
  <pageSetup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8"/>
  <sheetViews>
    <sheetView zoomScaleNormal="100" workbookViewId="0">
      <selection activeCell="B12" sqref="B12"/>
    </sheetView>
  </sheetViews>
  <sheetFormatPr baseColWidth="10" defaultColWidth="8.6640625" defaultRowHeight="14.4"/>
  <cols>
    <col min="1" max="1" width="26.109375" customWidth="1"/>
    <col min="2" max="2" width="27.88671875" customWidth="1"/>
    <col min="3" max="3" width="15.44140625" customWidth="1"/>
    <col min="4" max="4" width="12.109375" customWidth="1"/>
    <col min="5" max="5" width="11" customWidth="1"/>
  </cols>
  <sheetData>
    <row r="1" spans="1:5">
      <c r="A1" s="17" t="s">
        <v>0</v>
      </c>
      <c r="B1" s="18" t="s">
        <v>353</v>
      </c>
      <c r="C1" s="19"/>
    </row>
    <row r="2" spans="1:5">
      <c r="A2" s="17" t="s">
        <v>2</v>
      </c>
      <c r="B2" s="18" t="s">
        <v>427</v>
      </c>
      <c r="C2" s="19"/>
    </row>
    <row r="3" spans="1:5">
      <c r="A3" s="17" t="s">
        <v>4</v>
      </c>
      <c r="B3" s="18" t="s">
        <v>1170</v>
      </c>
      <c r="C3" s="19"/>
    </row>
    <row r="4" spans="1:5">
      <c r="A4" s="17" t="s">
        <v>6</v>
      </c>
      <c r="B4" s="18" t="s">
        <v>429</v>
      </c>
      <c r="C4" s="20"/>
    </row>
    <row r="5" spans="1:5">
      <c r="A5" s="17" t="s">
        <v>8</v>
      </c>
      <c r="B5" s="18" t="s">
        <v>1171</v>
      </c>
      <c r="C5" s="20"/>
    </row>
    <row r="6" spans="1:5">
      <c r="A6" s="21" t="s">
        <v>10</v>
      </c>
      <c r="B6" s="21" t="s">
        <v>11</v>
      </c>
      <c r="C6" s="21" t="s">
        <v>12</v>
      </c>
      <c r="D6" s="21" t="s">
        <v>8</v>
      </c>
      <c r="E6" s="21" t="s">
        <v>14</v>
      </c>
    </row>
    <row r="7" spans="1:5" s="25" customFormat="1">
      <c r="A7" s="35">
        <v>0</v>
      </c>
      <c r="B7" s="35">
        <v>0</v>
      </c>
      <c r="C7" s="23"/>
    </row>
    <row r="8" spans="1:5" s="25" customFormat="1">
      <c r="A8" s="35">
        <v>1</v>
      </c>
      <c r="B8" s="35">
        <v>1</v>
      </c>
      <c r="C8" s="23"/>
    </row>
    <row r="9" spans="1:5" s="25" customFormat="1">
      <c r="A9" s="35" t="s">
        <v>1172</v>
      </c>
      <c r="B9" s="35" t="s">
        <v>1172</v>
      </c>
      <c r="C9" s="23"/>
    </row>
    <row r="10" spans="1:5" s="25" customFormat="1">
      <c r="A10" s="35" t="s">
        <v>1173</v>
      </c>
      <c r="B10" s="35" t="s">
        <v>1173</v>
      </c>
      <c r="C10" s="23"/>
    </row>
    <row r="11" spans="1:5" s="25" customFormat="1">
      <c r="A11" s="35" t="s">
        <v>1174</v>
      </c>
      <c r="B11" s="35" t="s">
        <v>1174</v>
      </c>
      <c r="C11" s="23"/>
    </row>
    <row r="12" spans="1:5" s="25" customFormat="1">
      <c r="A12" s="35" t="s">
        <v>1175</v>
      </c>
      <c r="B12" s="35" t="s">
        <v>1175</v>
      </c>
      <c r="C12" s="23"/>
    </row>
    <row r="13" spans="1:5" s="25" customFormat="1">
      <c r="C13" s="23"/>
    </row>
    <row r="14" spans="1:5" s="25" customFormat="1">
      <c r="C14" s="23"/>
    </row>
    <row r="15" spans="1:5" s="25" customFormat="1">
      <c r="C15" s="23"/>
    </row>
    <row r="16" spans="1:5" s="25" customFormat="1">
      <c r="C16" s="23"/>
    </row>
    <row r="18" spans="1:5">
      <c r="A18" s="26"/>
      <c r="B18" s="26"/>
      <c r="E18" s="27"/>
    </row>
    <row r="19" spans="1:5" s="30" customFormat="1">
      <c r="A19" s="28"/>
      <c r="B19" s="28"/>
      <c r="C19" s="29"/>
      <c r="D19" s="29"/>
      <c r="E19" s="28"/>
    </row>
    <row r="20" spans="1:5">
      <c r="B20" s="31"/>
    </row>
    <row r="21" spans="1:5">
      <c r="B21" s="32"/>
    </row>
    <row r="22" spans="1:5">
      <c r="B22" s="31"/>
    </row>
    <row r="23" spans="1:5">
      <c r="B23" s="32"/>
    </row>
    <row r="24" spans="1:5">
      <c r="B24" s="33"/>
    </row>
    <row r="25" spans="1:5">
      <c r="B25" s="33"/>
    </row>
    <row r="26" spans="1:5">
      <c r="B26" s="33"/>
    </row>
    <row r="27" spans="1:5">
      <c r="B27" s="33"/>
    </row>
    <row r="28" spans="1:5">
      <c r="B28" s="34"/>
    </row>
  </sheetData>
  <pageMargins left="0.7" right="0.7" top="0.75" bottom="0.75" header="0.511811023622047" footer="0.511811023622047"/>
  <pageSetup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8"/>
  <sheetViews>
    <sheetView zoomScaleNormal="100" workbookViewId="0">
      <selection activeCell="B7" sqref="B7:B11"/>
    </sheetView>
  </sheetViews>
  <sheetFormatPr baseColWidth="10" defaultColWidth="8.6640625" defaultRowHeight="14.4"/>
  <cols>
    <col min="1" max="1" width="26.109375" customWidth="1"/>
    <col min="2" max="2" width="56.109375" customWidth="1"/>
    <col min="3" max="3" width="15.44140625" customWidth="1"/>
    <col min="4" max="4" width="12.109375" customWidth="1"/>
    <col min="5" max="5" width="11" customWidth="1"/>
  </cols>
  <sheetData>
    <row r="1" spans="1:5">
      <c r="A1" s="17" t="s">
        <v>0</v>
      </c>
      <c r="B1" s="18" t="s">
        <v>355</v>
      </c>
      <c r="C1" s="19"/>
    </row>
    <row r="2" spans="1:5">
      <c r="A2" s="17" t="s">
        <v>2</v>
      </c>
      <c r="B2" s="18" t="s">
        <v>427</v>
      </c>
      <c r="C2" s="19"/>
    </row>
    <row r="3" spans="1:5">
      <c r="A3" s="17" t="s">
        <v>4</v>
      </c>
      <c r="B3" s="18" t="s">
        <v>1176</v>
      </c>
      <c r="C3" s="19"/>
    </row>
    <row r="4" spans="1:5">
      <c r="A4" s="17" t="s">
        <v>6</v>
      </c>
      <c r="B4" s="18" t="s">
        <v>429</v>
      </c>
      <c r="C4" s="20"/>
    </row>
    <row r="5" spans="1:5">
      <c r="A5" s="17" t="s">
        <v>8</v>
      </c>
      <c r="B5" s="18" t="s">
        <v>1177</v>
      </c>
      <c r="C5" s="20"/>
    </row>
    <row r="6" spans="1:5">
      <c r="A6" s="21" t="s">
        <v>10</v>
      </c>
      <c r="B6" s="21" t="s">
        <v>11</v>
      </c>
      <c r="C6" s="21" t="s">
        <v>12</v>
      </c>
      <c r="D6" s="21" t="s">
        <v>8</v>
      </c>
      <c r="E6" s="21" t="s">
        <v>14</v>
      </c>
    </row>
    <row r="7" spans="1:5" s="25" customFormat="1">
      <c r="A7" t="s">
        <v>1178</v>
      </c>
      <c r="B7" t="s">
        <v>1178</v>
      </c>
      <c r="C7" s="23"/>
    </row>
    <row r="8" spans="1:5" s="25" customFormat="1">
      <c r="A8" t="s">
        <v>1179</v>
      </c>
      <c r="B8" t="s">
        <v>1179</v>
      </c>
      <c r="C8" s="23"/>
    </row>
    <row r="9" spans="1:5" s="25" customFormat="1">
      <c r="A9" t="s">
        <v>1180</v>
      </c>
      <c r="B9" t="s">
        <v>1180</v>
      </c>
      <c r="C9" s="23"/>
    </row>
    <row r="10" spans="1:5" s="25" customFormat="1">
      <c r="A10" t="s">
        <v>1181</v>
      </c>
      <c r="B10" t="s">
        <v>1181</v>
      </c>
      <c r="C10" s="23"/>
    </row>
    <row r="11" spans="1:5" s="25" customFormat="1">
      <c r="A11" t="s">
        <v>1182</v>
      </c>
      <c r="B11" t="s">
        <v>1182</v>
      </c>
      <c r="C11" s="23"/>
    </row>
    <row r="12" spans="1:5" s="25" customFormat="1">
      <c r="C12" s="23"/>
    </row>
    <row r="13" spans="1:5" s="25" customFormat="1">
      <c r="C13" s="23"/>
    </row>
    <row r="14" spans="1:5" s="25" customFormat="1">
      <c r="C14" s="23"/>
    </row>
    <row r="15" spans="1:5" s="25" customFormat="1">
      <c r="C15" s="23"/>
    </row>
    <row r="16" spans="1:5" s="25" customFormat="1">
      <c r="C16" s="23"/>
    </row>
    <row r="18" spans="1:5">
      <c r="A18" s="26"/>
      <c r="B18" s="26"/>
      <c r="E18" s="27"/>
    </row>
    <row r="19" spans="1:5" s="30" customFormat="1">
      <c r="A19" s="28"/>
      <c r="B19" s="28"/>
      <c r="C19" s="29"/>
      <c r="D19" s="29"/>
      <c r="E19" s="28"/>
    </row>
    <row r="20" spans="1:5">
      <c r="B20" s="31"/>
    </row>
    <row r="21" spans="1:5">
      <c r="B21" s="32"/>
    </row>
    <row r="22" spans="1:5">
      <c r="B22" s="31"/>
    </row>
    <row r="23" spans="1:5">
      <c r="B23" s="32"/>
    </row>
    <row r="24" spans="1:5">
      <c r="B24" s="33"/>
    </row>
    <row r="25" spans="1:5">
      <c r="B25" s="33"/>
    </row>
    <row r="26" spans="1:5">
      <c r="B26" s="33"/>
    </row>
    <row r="27" spans="1:5">
      <c r="B27" s="33"/>
    </row>
    <row r="28" spans="1:5">
      <c r="B28" s="34"/>
    </row>
  </sheetData>
  <pageMargins left="0.7" right="0.7" top="0.75" bottom="0.75" header="0.511811023622047" footer="0.511811023622047"/>
  <pageSetup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6"/>
  <sheetViews>
    <sheetView zoomScaleNormal="100" workbookViewId="0"/>
  </sheetViews>
  <sheetFormatPr baseColWidth="10" defaultColWidth="8.6640625" defaultRowHeight="14.4"/>
  <cols>
    <col min="1" max="1" width="21.44140625" customWidth="1"/>
    <col min="2" max="2" width="14.88671875" customWidth="1"/>
    <col min="3" max="3" width="18.33203125" customWidth="1"/>
    <col min="4" max="4" width="67.44140625" customWidth="1"/>
    <col min="5" max="5" width="170.6640625" customWidth="1"/>
    <col min="6" max="6" width="26.109375" customWidth="1"/>
  </cols>
  <sheetData>
    <row r="1" spans="1:6">
      <c r="A1" s="17" t="s">
        <v>0</v>
      </c>
      <c r="B1" s="18" t="s">
        <v>357</v>
      </c>
      <c r="C1" s="19"/>
      <c r="D1" s="19"/>
    </row>
    <row r="2" spans="1:6">
      <c r="A2" s="17" t="s">
        <v>2</v>
      </c>
      <c r="B2" s="18" t="s">
        <v>1183</v>
      </c>
      <c r="C2" s="19"/>
      <c r="D2" s="19"/>
    </row>
    <row r="3" spans="1:6">
      <c r="A3" s="17" t="s">
        <v>4</v>
      </c>
      <c r="B3" s="18" t="s">
        <v>1184</v>
      </c>
      <c r="C3" s="19"/>
      <c r="D3" s="19"/>
    </row>
    <row r="4" spans="1:6">
      <c r="A4" s="17" t="s">
        <v>6</v>
      </c>
      <c r="B4" s="18" t="s">
        <v>7</v>
      </c>
      <c r="C4" s="20"/>
      <c r="D4" s="20"/>
    </row>
    <row r="5" spans="1:6">
      <c r="A5" s="17" t="s">
        <v>8</v>
      </c>
      <c r="B5" s="18" t="s">
        <v>1185</v>
      </c>
      <c r="C5" s="20"/>
      <c r="D5" s="20"/>
    </row>
    <row r="6" spans="1:6">
      <c r="A6" s="21" t="s">
        <v>10</v>
      </c>
      <c r="B6" s="21" t="s">
        <v>11</v>
      </c>
      <c r="C6" s="21" t="s">
        <v>12</v>
      </c>
      <c r="D6" s="21" t="s">
        <v>13</v>
      </c>
      <c r="E6" s="21" t="s">
        <v>8</v>
      </c>
      <c r="F6" s="21" t="s">
        <v>14</v>
      </c>
    </row>
    <row r="7" spans="1:6" s="25" customFormat="1">
      <c r="A7" s="25" t="s">
        <v>1186</v>
      </c>
      <c r="B7" s="25" t="s">
        <v>1186</v>
      </c>
      <c r="E7" s="25" t="s">
        <v>1187</v>
      </c>
    </row>
    <row r="8" spans="1:6" s="25" customFormat="1">
      <c r="A8" s="25" t="s">
        <v>1188</v>
      </c>
      <c r="C8" s="25" t="s">
        <v>1189</v>
      </c>
      <c r="E8" s="25" t="s">
        <v>1190</v>
      </c>
    </row>
    <row r="9" spans="1:6" s="25" customFormat="1">
      <c r="A9" s="25" t="s">
        <v>1191</v>
      </c>
      <c r="B9" s="25" t="s">
        <v>1192</v>
      </c>
      <c r="D9" s="25" t="s">
        <v>1193</v>
      </c>
      <c r="E9" s="25" t="s">
        <v>1194</v>
      </c>
    </row>
    <row r="10" spans="1:6" s="25" customFormat="1">
      <c r="A10" s="25" t="s">
        <v>1195</v>
      </c>
      <c r="D10" s="25" t="s">
        <v>1196</v>
      </c>
      <c r="E10" s="25" t="s">
        <v>1197</v>
      </c>
    </row>
    <row r="11" spans="1:6" s="25" customFormat="1">
      <c r="A11" s="25" t="s">
        <v>1198</v>
      </c>
      <c r="D11" s="25" t="s">
        <v>1199</v>
      </c>
      <c r="E11" s="25" t="s">
        <v>1200</v>
      </c>
    </row>
    <row r="12" spans="1:6" s="25" customFormat="1">
      <c r="A12" s="25" t="s">
        <v>1201</v>
      </c>
      <c r="D12" s="25" t="s">
        <v>1202</v>
      </c>
      <c r="E12" s="25" t="s">
        <v>1203</v>
      </c>
    </row>
    <row r="13" spans="1:6" s="25" customFormat="1">
      <c r="A13" s="25" t="s">
        <v>1204</v>
      </c>
      <c r="D13" s="25" t="s">
        <v>1205</v>
      </c>
      <c r="E13" s="25" t="s">
        <v>1206</v>
      </c>
    </row>
    <row r="14" spans="1:6" s="25" customFormat="1">
      <c r="A14" s="25" t="s">
        <v>1207</v>
      </c>
      <c r="C14" s="25" t="s">
        <v>1208</v>
      </c>
    </row>
    <row r="15" spans="1:6" s="25" customFormat="1">
      <c r="A15" s="25" t="s">
        <v>1209</v>
      </c>
      <c r="D15" s="25" t="s">
        <v>1210</v>
      </c>
      <c r="E15" s="25" t="s">
        <v>1211</v>
      </c>
    </row>
    <row r="16" spans="1:6" s="25" customFormat="1">
      <c r="A16" s="25" t="s">
        <v>1212</v>
      </c>
      <c r="D16" s="25" t="s">
        <v>1213</v>
      </c>
      <c r="E16" s="25" t="s">
        <v>1214</v>
      </c>
    </row>
    <row r="17" spans="1:5" s="25" customFormat="1">
      <c r="A17" s="25" t="s">
        <v>1215</v>
      </c>
      <c r="D17" s="25" t="s">
        <v>1216</v>
      </c>
      <c r="E17" s="25" t="s">
        <v>1217</v>
      </c>
    </row>
    <row r="18" spans="1:5" s="25" customFormat="1">
      <c r="A18" s="25" t="s">
        <v>1218</v>
      </c>
      <c r="D18" s="25" t="s">
        <v>1219</v>
      </c>
      <c r="E18" s="25" t="s">
        <v>1220</v>
      </c>
    </row>
    <row r="19" spans="1:5" s="25" customFormat="1">
      <c r="A19" s="25" t="s">
        <v>1221</v>
      </c>
      <c r="D19" s="25" t="s">
        <v>1222</v>
      </c>
      <c r="E19" s="25" t="s">
        <v>1223</v>
      </c>
    </row>
    <row r="20" spans="1:5" s="25" customFormat="1">
      <c r="A20" s="25" t="s">
        <v>1224</v>
      </c>
      <c r="D20" s="25" t="s">
        <v>1225</v>
      </c>
      <c r="E20" s="25" t="s">
        <v>1226</v>
      </c>
    </row>
    <row r="21" spans="1:5" s="25" customFormat="1">
      <c r="A21" s="25" t="s">
        <v>1227</v>
      </c>
      <c r="D21" s="25" t="s">
        <v>1228</v>
      </c>
    </row>
    <row r="22" spans="1:5" s="25" customFormat="1">
      <c r="A22" s="25" t="s">
        <v>1229</v>
      </c>
      <c r="C22" s="25" t="s">
        <v>1230</v>
      </c>
      <c r="E22" s="25" t="s">
        <v>1231</v>
      </c>
    </row>
    <row r="23" spans="1:5" s="25" customFormat="1">
      <c r="A23" s="25" t="s">
        <v>1232</v>
      </c>
      <c r="D23" s="25" t="s">
        <v>1233</v>
      </c>
      <c r="E23" s="25" t="s">
        <v>1234</v>
      </c>
    </row>
    <row r="24" spans="1:5" s="25" customFormat="1">
      <c r="A24" s="25" t="s">
        <v>1235</v>
      </c>
      <c r="D24" s="25" t="s">
        <v>1236</v>
      </c>
      <c r="E24" s="25" t="s">
        <v>1237</v>
      </c>
    </row>
    <row r="25" spans="1:5" s="25" customFormat="1">
      <c r="A25" s="25" t="s">
        <v>1238</v>
      </c>
      <c r="D25" s="25" t="s">
        <v>1239</v>
      </c>
      <c r="E25" s="25" t="s">
        <v>1240</v>
      </c>
    </row>
    <row r="26" spans="1:5" s="25" customFormat="1">
      <c r="A26" s="25" t="s">
        <v>1241</v>
      </c>
      <c r="B26" s="25" t="s">
        <v>1241</v>
      </c>
      <c r="E26" s="25" t="s">
        <v>1242</v>
      </c>
    </row>
    <row r="27" spans="1:5" s="25" customFormat="1">
      <c r="A27" s="25" t="s">
        <v>1243</v>
      </c>
      <c r="C27" s="25" t="s">
        <v>1244</v>
      </c>
      <c r="E27" s="25" t="s">
        <v>1242</v>
      </c>
    </row>
    <row r="28" spans="1:5" s="25" customFormat="1">
      <c r="A28" s="25" t="s">
        <v>1245</v>
      </c>
      <c r="D28" s="25" t="s">
        <v>1246</v>
      </c>
      <c r="E28" s="25" t="s">
        <v>1247</v>
      </c>
    </row>
    <row r="29" spans="1:5" s="25" customFormat="1">
      <c r="A29" s="25" t="s">
        <v>1248</v>
      </c>
      <c r="D29" s="25" t="s">
        <v>1249</v>
      </c>
    </row>
    <row r="30" spans="1:5" s="25" customFormat="1">
      <c r="A30" s="25" t="s">
        <v>1250</v>
      </c>
      <c r="D30" s="25" t="s">
        <v>1251</v>
      </c>
      <c r="E30" s="25" t="s">
        <v>1252</v>
      </c>
    </row>
    <row r="31" spans="1:5" s="25" customFormat="1">
      <c r="A31" s="25" t="s">
        <v>1253</v>
      </c>
      <c r="D31" s="25" t="s">
        <v>1254</v>
      </c>
      <c r="E31" s="25" t="s">
        <v>1255</v>
      </c>
    </row>
    <row r="32" spans="1:5" s="25" customFormat="1">
      <c r="A32" s="25" t="s">
        <v>1256</v>
      </c>
      <c r="D32" s="25" t="s">
        <v>1257</v>
      </c>
      <c r="E32" s="25" t="s">
        <v>1258</v>
      </c>
    </row>
    <row r="33" spans="1:5" s="25" customFormat="1">
      <c r="A33" s="25" t="s">
        <v>1259</v>
      </c>
      <c r="D33" s="25" t="s">
        <v>1260</v>
      </c>
      <c r="E33" s="25" t="s">
        <v>1261</v>
      </c>
    </row>
    <row r="34" spans="1:5" s="25" customFormat="1">
      <c r="A34" s="25" t="s">
        <v>1262</v>
      </c>
      <c r="D34" s="25" t="s">
        <v>1263</v>
      </c>
      <c r="E34" s="25" t="s">
        <v>1264</v>
      </c>
    </row>
    <row r="35" spans="1:5" s="25" customFormat="1">
      <c r="A35" s="25" t="s">
        <v>1265</v>
      </c>
      <c r="D35" s="25" t="s">
        <v>1266</v>
      </c>
      <c r="E35" s="25" t="s">
        <v>1267</v>
      </c>
    </row>
    <row r="36" spans="1:5" s="25" customFormat="1">
      <c r="A36" s="25" t="s">
        <v>1268</v>
      </c>
      <c r="B36" s="25" t="s">
        <v>1268</v>
      </c>
      <c r="E36" s="25" t="s">
        <v>1269</v>
      </c>
    </row>
    <row r="37" spans="1:5" s="25" customFormat="1">
      <c r="A37" s="25" t="s">
        <v>1270</v>
      </c>
      <c r="C37" s="25" t="s">
        <v>1271</v>
      </c>
      <c r="E37" s="25" t="s">
        <v>1272</v>
      </c>
    </row>
    <row r="38" spans="1:5" s="25" customFormat="1">
      <c r="A38" s="25" t="s">
        <v>1273</v>
      </c>
      <c r="D38" s="25" t="s">
        <v>1274</v>
      </c>
      <c r="E38" s="25" t="s">
        <v>1275</v>
      </c>
    </row>
    <row r="39" spans="1:5" s="25" customFormat="1">
      <c r="A39" s="25" t="s">
        <v>1276</v>
      </c>
      <c r="D39" s="25" t="s">
        <v>1277</v>
      </c>
      <c r="E39" s="25" t="s">
        <v>1278</v>
      </c>
    </row>
    <row r="40" spans="1:5" s="25" customFormat="1">
      <c r="A40" s="25" t="s">
        <v>1279</v>
      </c>
      <c r="D40" s="25" t="s">
        <v>1280</v>
      </c>
      <c r="E40" s="25" t="s">
        <v>1281</v>
      </c>
    </row>
    <row r="41" spans="1:5" s="25" customFormat="1">
      <c r="A41" s="25" t="s">
        <v>1282</v>
      </c>
      <c r="D41" s="25" t="s">
        <v>1283</v>
      </c>
      <c r="E41" s="25" t="s">
        <v>1284</v>
      </c>
    </row>
    <row r="42" spans="1:5" s="25" customFormat="1">
      <c r="A42" s="25" t="s">
        <v>1285</v>
      </c>
      <c r="D42" s="25" t="s">
        <v>1286</v>
      </c>
      <c r="E42" s="25" t="s">
        <v>1287</v>
      </c>
    </row>
    <row r="43" spans="1:5" s="25" customFormat="1">
      <c r="A43" s="25" t="s">
        <v>1288</v>
      </c>
      <c r="C43" s="25" t="s">
        <v>1289</v>
      </c>
      <c r="E43" s="25" t="s">
        <v>1290</v>
      </c>
    </row>
    <row r="44" spans="1:5" s="25" customFormat="1">
      <c r="A44" s="25" t="s">
        <v>1291</v>
      </c>
      <c r="D44" s="25" t="s">
        <v>1292</v>
      </c>
      <c r="E44" s="25" t="s">
        <v>1293</v>
      </c>
    </row>
    <row r="45" spans="1:5" s="25" customFormat="1">
      <c r="A45" s="25" t="s">
        <v>1294</v>
      </c>
      <c r="D45" s="25" t="s">
        <v>1295</v>
      </c>
      <c r="E45" s="25" t="s">
        <v>1296</v>
      </c>
    </row>
    <row r="46" spans="1:5" s="25" customFormat="1">
      <c r="A46" s="25" t="s">
        <v>1297</v>
      </c>
      <c r="D46" s="25" t="s">
        <v>1298</v>
      </c>
      <c r="E46" s="25" t="s">
        <v>1299</v>
      </c>
    </row>
  </sheetData>
  <pageMargins left="0.7" right="0.7" top="0.75" bottom="0.75"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2"/>
  <sheetViews>
    <sheetView zoomScaleNormal="100" workbookViewId="0">
      <selection activeCell="E7" sqref="E7:E11"/>
    </sheetView>
  </sheetViews>
  <sheetFormatPr baseColWidth="10" defaultColWidth="8.6640625" defaultRowHeight="14.4"/>
  <cols>
    <col min="1" max="1" width="17.6640625" customWidth="1"/>
    <col min="2" max="2" width="14.88671875" customWidth="1"/>
    <col min="3" max="3" width="18.33203125" customWidth="1"/>
    <col min="4" max="4" width="13.33203125" customWidth="1"/>
    <col min="5" max="5" width="51.88671875" customWidth="1"/>
    <col min="6" max="6" width="26.109375" customWidth="1"/>
  </cols>
  <sheetData>
    <row r="1" spans="1:6">
      <c r="A1" s="17" t="s">
        <v>0</v>
      </c>
      <c r="B1" s="18" t="s">
        <v>359</v>
      </c>
      <c r="C1" s="19"/>
      <c r="D1" s="19"/>
    </row>
    <row r="2" spans="1:6">
      <c r="A2" s="17" t="s">
        <v>2</v>
      </c>
      <c r="B2" s="18" t="s">
        <v>1183</v>
      </c>
      <c r="C2" s="19"/>
      <c r="D2" s="19"/>
    </row>
    <row r="3" spans="1:6">
      <c r="A3" s="17" t="s">
        <v>4</v>
      </c>
      <c r="B3" s="18" t="s">
        <v>1300</v>
      </c>
      <c r="C3" s="19"/>
      <c r="D3" s="19"/>
    </row>
    <row r="4" spans="1:6">
      <c r="A4" s="17" t="s">
        <v>6</v>
      </c>
      <c r="B4" s="18" t="s">
        <v>429</v>
      </c>
      <c r="C4" s="20"/>
      <c r="D4" s="20"/>
    </row>
    <row r="5" spans="1:6">
      <c r="A5" s="17" t="s">
        <v>8</v>
      </c>
      <c r="B5" s="18" t="s">
        <v>1301</v>
      </c>
      <c r="C5" s="20"/>
      <c r="D5" s="20"/>
    </row>
    <row r="6" spans="1:6">
      <c r="A6" s="21" t="s">
        <v>10</v>
      </c>
      <c r="B6" s="21" t="s">
        <v>11</v>
      </c>
      <c r="C6" s="21" t="s">
        <v>12</v>
      </c>
      <c r="D6" s="21" t="s">
        <v>13</v>
      </c>
      <c r="E6" s="21" t="s">
        <v>8</v>
      </c>
      <c r="F6" s="21" t="s">
        <v>14</v>
      </c>
    </row>
    <row r="7" spans="1:6">
      <c r="A7" t="s">
        <v>1302</v>
      </c>
      <c r="B7" t="s">
        <v>1303</v>
      </c>
      <c r="E7" t="s">
        <v>1304</v>
      </c>
      <c r="F7" s="38"/>
    </row>
    <row r="8" spans="1:6">
      <c r="A8" t="s">
        <v>1305</v>
      </c>
      <c r="B8" t="s">
        <v>1306</v>
      </c>
      <c r="E8" t="s">
        <v>1307</v>
      </c>
      <c r="F8" s="38"/>
    </row>
    <row r="9" spans="1:6">
      <c r="A9" t="s">
        <v>1308</v>
      </c>
      <c r="B9" t="s">
        <v>1309</v>
      </c>
      <c r="E9" t="s">
        <v>1310</v>
      </c>
      <c r="F9" s="38"/>
    </row>
    <row r="10" spans="1:6">
      <c r="A10" t="s">
        <v>1311</v>
      </c>
      <c r="B10" t="s">
        <v>1312</v>
      </c>
      <c r="E10" t="s">
        <v>1313</v>
      </c>
      <c r="F10" s="38"/>
    </row>
    <row r="11" spans="1:6">
      <c r="A11" t="s">
        <v>1314</v>
      </c>
      <c r="B11" t="s">
        <v>1315</v>
      </c>
      <c r="E11" t="s">
        <v>1316</v>
      </c>
      <c r="F11" s="38"/>
    </row>
    <row r="12" spans="1:6">
      <c r="A12" s="38"/>
      <c r="B12" s="38"/>
      <c r="C12" s="38"/>
      <c r="D12" s="38"/>
      <c r="E12" s="38"/>
      <c r="F12" s="38"/>
    </row>
    <row r="13" spans="1:6">
      <c r="A13" s="38"/>
      <c r="B13" s="38"/>
      <c r="C13" s="38"/>
      <c r="D13" s="38"/>
      <c r="E13" s="38"/>
      <c r="F13" s="38"/>
    </row>
    <row r="14" spans="1:6">
      <c r="A14" s="38"/>
      <c r="B14" s="38"/>
      <c r="C14" s="38"/>
      <c r="D14" s="38"/>
      <c r="E14" s="38"/>
      <c r="F14" s="38"/>
    </row>
    <row r="15" spans="1:6">
      <c r="A15" s="38"/>
      <c r="B15" s="38"/>
      <c r="C15" s="38"/>
      <c r="D15" s="38"/>
      <c r="E15" s="38"/>
      <c r="F15" s="38"/>
    </row>
    <row r="16" spans="1:6">
      <c r="A16" s="38"/>
      <c r="B16" s="38"/>
      <c r="C16" s="38"/>
      <c r="D16" s="38"/>
      <c r="E16" s="38"/>
      <c r="F16" s="38"/>
    </row>
    <row r="17" spans="1:6">
      <c r="A17" s="38"/>
      <c r="B17" s="38"/>
      <c r="C17" s="38"/>
      <c r="D17" s="38"/>
      <c r="E17" s="38"/>
      <c r="F17" s="38"/>
    </row>
    <row r="18" spans="1:6">
      <c r="A18" s="38"/>
      <c r="B18" s="38"/>
      <c r="C18" s="38"/>
      <c r="D18" s="38"/>
      <c r="E18" s="38"/>
      <c r="F18" s="38"/>
    </row>
    <row r="19" spans="1:6">
      <c r="A19" s="38"/>
      <c r="B19" s="38"/>
      <c r="C19" s="38"/>
      <c r="D19" s="38"/>
      <c r="E19" s="38"/>
      <c r="F19" s="38"/>
    </row>
    <row r="20" spans="1:6">
      <c r="A20" s="38"/>
      <c r="B20" s="38"/>
      <c r="C20" s="38"/>
      <c r="D20" s="38"/>
      <c r="E20" s="38"/>
      <c r="F20" s="38"/>
    </row>
    <row r="21" spans="1:6">
      <c r="A21" s="38"/>
      <c r="B21" s="38"/>
      <c r="C21" s="38"/>
      <c r="D21" s="38"/>
      <c r="E21" s="38"/>
      <c r="F21" s="38"/>
    </row>
    <row r="22" spans="1:6">
      <c r="A22" s="38"/>
      <c r="B22" s="38"/>
      <c r="C22" s="38"/>
      <c r="D22" s="38"/>
      <c r="E22" s="38"/>
      <c r="F22" s="38"/>
    </row>
    <row r="23" spans="1:6">
      <c r="A23" s="38"/>
      <c r="B23" s="38"/>
      <c r="C23" s="38"/>
      <c r="D23" s="38"/>
      <c r="E23" s="38"/>
      <c r="F23" s="38"/>
    </row>
    <row r="24" spans="1:6">
      <c r="A24" s="38"/>
      <c r="B24" s="38"/>
      <c r="C24" s="38"/>
      <c r="D24" s="38"/>
      <c r="E24" s="38"/>
      <c r="F24" s="38"/>
    </row>
    <row r="25" spans="1:6">
      <c r="A25" s="38"/>
      <c r="B25" s="38"/>
      <c r="C25" s="38"/>
      <c r="D25" s="38"/>
      <c r="E25" s="38"/>
      <c r="F25" s="38"/>
    </row>
    <row r="26" spans="1:6">
      <c r="A26" s="38"/>
      <c r="B26" s="38"/>
      <c r="C26" s="38"/>
      <c r="D26" s="38"/>
      <c r="E26" s="38"/>
      <c r="F26" s="38"/>
    </row>
    <row r="27" spans="1:6">
      <c r="A27" s="38"/>
      <c r="B27" s="38"/>
      <c r="C27" s="38"/>
      <c r="D27" s="38"/>
      <c r="E27" s="38"/>
      <c r="F27" s="38"/>
    </row>
    <row r="28" spans="1:6">
      <c r="A28" s="38"/>
      <c r="B28" s="38"/>
      <c r="C28" s="38"/>
      <c r="D28" s="38"/>
      <c r="E28" s="38"/>
      <c r="F28" s="38"/>
    </row>
    <row r="29" spans="1:6">
      <c r="A29" s="38"/>
      <c r="B29" s="38"/>
      <c r="C29" s="38"/>
      <c r="D29" s="38"/>
      <c r="E29" s="38"/>
      <c r="F29" s="38"/>
    </row>
    <row r="30" spans="1:6">
      <c r="A30" s="38"/>
      <c r="B30" s="38"/>
      <c r="C30" s="38"/>
      <c r="D30" s="38"/>
      <c r="E30" s="38"/>
      <c r="F30" s="38"/>
    </row>
    <row r="31" spans="1:6">
      <c r="A31" s="38"/>
      <c r="B31" s="38"/>
      <c r="C31" s="38"/>
      <c r="D31" s="38"/>
      <c r="E31" s="38"/>
      <c r="F31" s="38"/>
    </row>
    <row r="32" spans="1:6">
      <c r="A32" s="38"/>
      <c r="B32" s="38"/>
      <c r="C32" s="38"/>
      <c r="D32" s="38"/>
      <c r="E32" s="38"/>
      <c r="F32" s="38"/>
    </row>
    <row r="33" spans="1:6">
      <c r="A33" s="38"/>
      <c r="B33" s="38"/>
      <c r="C33" s="38"/>
      <c r="D33" s="38"/>
      <c r="E33" s="38"/>
      <c r="F33" s="38"/>
    </row>
    <row r="34" spans="1:6">
      <c r="A34" s="38"/>
      <c r="B34" s="38"/>
      <c r="C34" s="38"/>
      <c r="D34" s="38"/>
      <c r="E34" s="38"/>
      <c r="F34" s="38"/>
    </row>
    <row r="35" spans="1:6">
      <c r="A35" s="38"/>
      <c r="B35" s="38"/>
      <c r="C35" s="38"/>
      <c r="D35" s="38"/>
      <c r="E35" s="38"/>
      <c r="F35" s="38"/>
    </row>
    <row r="36" spans="1:6">
      <c r="A36" s="38"/>
      <c r="B36" s="38"/>
      <c r="C36" s="38"/>
      <c r="D36" s="38"/>
      <c r="E36" s="38"/>
      <c r="F36" s="38"/>
    </row>
    <row r="37" spans="1:6">
      <c r="A37" s="38"/>
      <c r="B37" s="38"/>
      <c r="C37" s="38"/>
      <c r="D37" s="38"/>
      <c r="E37" s="38"/>
      <c r="F37" s="38"/>
    </row>
    <row r="38" spans="1:6">
      <c r="A38" s="38"/>
      <c r="B38" s="38"/>
      <c r="C38" s="38"/>
      <c r="D38" s="38"/>
      <c r="E38" s="38"/>
      <c r="F38" s="38"/>
    </row>
    <row r="39" spans="1:6">
      <c r="A39" s="38"/>
      <c r="B39" s="38"/>
      <c r="C39" s="38"/>
      <c r="D39" s="38"/>
      <c r="E39" s="38"/>
      <c r="F39" s="38"/>
    </row>
    <row r="40" spans="1:6">
      <c r="A40" s="38"/>
      <c r="B40" s="38"/>
      <c r="C40" s="38"/>
      <c r="D40" s="38"/>
      <c r="E40" s="38"/>
      <c r="F40" s="38"/>
    </row>
    <row r="41" spans="1:6">
      <c r="A41" s="38"/>
      <c r="B41" s="38"/>
      <c r="C41" s="38"/>
      <c r="D41" s="38"/>
      <c r="E41" s="38"/>
      <c r="F41" s="38"/>
    </row>
    <row r="42" spans="1:6">
      <c r="A42" s="38"/>
      <c r="B42" s="38"/>
      <c r="C42" s="38"/>
      <c r="D42" s="38"/>
      <c r="E42" s="38"/>
      <c r="F42" s="38"/>
    </row>
  </sheetData>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8"/>
  <sheetViews>
    <sheetView zoomScaleNormal="100" workbookViewId="0">
      <selection activeCell="B7" sqref="B7:B11"/>
    </sheetView>
  </sheetViews>
  <sheetFormatPr baseColWidth="10" defaultColWidth="8.6640625" defaultRowHeight="14.4"/>
  <cols>
    <col min="1" max="1" width="26.109375" customWidth="1"/>
    <col min="2" max="2" width="56.109375" customWidth="1"/>
    <col min="3" max="3" width="15.44140625" customWidth="1"/>
    <col min="4" max="4" width="12.109375" customWidth="1"/>
    <col min="5" max="5" width="11" customWidth="1"/>
  </cols>
  <sheetData>
    <row r="1" spans="1:5">
      <c r="A1" s="17" t="s">
        <v>0</v>
      </c>
      <c r="B1" s="18" t="s">
        <v>361</v>
      </c>
      <c r="C1" s="19"/>
    </row>
    <row r="2" spans="1:5">
      <c r="A2" s="17" t="s">
        <v>2</v>
      </c>
      <c r="B2" s="18" t="s">
        <v>427</v>
      </c>
      <c r="C2" s="19"/>
    </row>
    <row r="3" spans="1:5">
      <c r="A3" s="17" t="s">
        <v>4</v>
      </c>
      <c r="B3" s="18" t="s">
        <v>1317</v>
      </c>
      <c r="C3" s="19"/>
    </row>
    <row r="4" spans="1:5">
      <c r="A4" s="17" t="s">
        <v>6</v>
      </c>
      <c r="B4" s="18" t="s">
        <v>429</v>
      </c>
      <c r="C4" s="20"/>
    </row>
    <row r="5" spans="1:5">
      <c r="A5" s="17" t="s">
        <v>8</v>
      </c>
      <c r="B5" s="18" t="s">
        <v>1318</v>
      </c>
      <c r="C5" s="20"/>
    </row>
    <row r="6" spans="1:5">
      <c r="A6" s="21" t="s">
        <v>10</v>
      </c>
      <c r="B6" s="21" t="s">
        <v>11</v>
      </c>
      <c r="C6" s="21" t="s">
        <v>12</v>
      </c>
      <c r="D6" s="21" t="s">
        <v>8</v>
      </c>
      <c r="E6" s="21" t="s">
        <v>14</v>
      </c>
    </row>
    <row r="7" spans="1:5" s="25" customFormat="1">
      <c r="A7" t="s">
        <v>1319</v>
      </c>
      <c r="B7" t="s">
        <v>1319</v>
      </c>
      <c r="C7" s="23"/>
    </row>
    <row r="8" spans="1:5" s="25" customFormat="1">
      <c r="A8" t="s">
        <v>1320</v>
      </c>
      <c r="B8" t="s">
        <v>1320</v>
      </c>
      <c r="C8" s="23"/>
    </row>
    <row r="9" spans="1:5" s="25" customFormat="1">
      <c r="A9" t="s">
        <v>1321</v>
      </c>
      <c r="B9" t="s">
        <v>1321</v>
      </c>
      <c r="C9" s="23"/>
    </row>
    <row r="10" spans="1:5" s="25" customFormat="1">
      <c r="A10" t="s">
        <v>1322</v>
      </c>
      <c r="B10" t="s">
        <v>1322</v>
      </c>
      <c r="C10" s="23"/>
    </row>
    <row r="11" spans="1:5" s="25" customFormat="1">
      <c r="A11" t="s">
        <v>1323</v>
      </c>
      <c r="B11" t="s">
        <v>1323</v>
      </c>
      <c r="C11" s="23"/>
    </row>
    <row r="12" spans="1:5" s="25" customFormat="1">
      <c r="C12" s="23"/>
    </row>
    <row r="13" spans="1:5" s="25" customFormat="1">
      <c r="C13" s="23"/>
    </row>
    <row r="14" spans="1:5" s="25" customFormat="1">
      <c r="C14" s="23"/>
    </row>
    <row r="15" spans="1:5" s="25" customFormat="1">
      <c r="C15" s="23"/>
    </row>
    <row r="16" spans="1:5" s="25" customFormat="1">
      <c r="C16" s="23"/>
    </row>
    <row r="18" spans="1:5">
      <c r="A18" s="26"/>
      <c r="B18" s="26"/>
      <c r="E18" s="27"/>
    </row>
    <row r="19" spans="1:5" s="30" customFormat="1">
      <c r="A19" s="28"/>
      <c r="B19" s="28"/>
      <c r="C19" s="29"/>
      <c r="D19" s="29"/>
      <c r="E19" s="28"/>
    </row>
    <row r="20" spans="1:5">
      <c r="B20" s="31"/>
    </row>
    <row r="21" spans="1:5">
      <c r="B21" s="32"/>
    </row>
    <row r="22" spans="1:5">
      <c r="B22" s="31"/>
    </row>
    <row r="23" spans="1:5">
      <c r="B23" s="32"/>
    </row>
    <row r="24" spans="1:5">
      <c r="B24" s="33"/>
    </row>
    <row r="25" spans="1:5">
      <c r="B25" s="33"/>
    </row>
    <row r="26" spans="1:5">
      <c r="B26" s="33"/>
    </row>
    <row r="27" spans="1:5">
      <c r="B27" s="33"/>
    </row>
    <row r="28" spans="1:5">
      <c r="B28" s="34"/>
    </row>
  </sheetData>
  <pageMargins left="0.7" right="0.7" top="0.75" bottom="0.75" header="0.511811023622047" footer="0.511811023622047"/>
  <pageSetup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8"/>
  <sheetViews>
    <sheetView zoomScaleNormal="100" workbookViewId="0">
      <selection activeCell="B5" sqref="B5"/>
    </sheetView>
  </sheetViews>
  <sheetFormatPr baseColWidth="10" defaultColWidth="8.6640625" defaultRowHeight="14.4"/>
  <cols>
    <col min="1" max="1" width="26.109375" customWidth="1"/>
    <col min="2" max="2" width="17.44140625" customWidth="1"/>
    <col min="3" max="3" width="15.33203125" customWidth="1"/>
    <col min="4" max="4" width="154.88671875" customWidth="1"/>
    <col min="5" max="5" width="11" customWidth="1"/>
  </cols>
  <sheetData>
    <row r="1" spans="1:5">
      <c r="A1" s="17" t="s">
        <v>0</v>
      </c>
      <c r="B1" s="18" t="s">
        <v>364</v>
      </c>
      <c r="C1" s="19"/>
    </row>
    <row r="2" spans="1:5">
      <c r="A2" s="17" t="s">
        <v>2</v>
      </c>
      <c r="B2" s="18" t="s">
        <v>427</v>
      </c>
      <c r="C2" s="19"/>
    </row>
    <row r="3" spans="1:5">
      <c r="A3" s="17" t="s">
        <v>4</v>
      </c>
      <c r="B3" s="18" t="s">
        <v>1324</v>
      </c>
      <c r="C3" s="19"/>
    </row>
    <row r="4" spans="1:5">
      <c r="A4" s="17" t="s">
        <v>6</v>
      </c>
      <c r="B4" s="18" t="s">
        <v>429</v>
      </c>
      <c r="C4" s="20"/>
    </row>
    <row r="5" spans="1:5">
      <c r="A5" s="17" t="s">
        <v>8</v>
      </c>
      <c r="B5" s="18" t="s">
        <v>1325</v>
      </c>
      <c r="C5" s="20"/>
    </row>
    <row r="6" spans="1:5">
      <c r="A6" s="21" t="s">
        <v>10</v>
      </c>
      <c r="B6" s="21" t="s">
        <v>11</v>
      </c>
      <c r="C6" s="21" t="s">
        <v>12</v>
      </c>
      <c r="D6" s="21" t="s">
        <v>8</v>
      </c>
      <c r="E6" s="21" t="s">
        <v>14</v>
      </c>
    </row>
    <row r="7" spans="1:5" s="25" customFormat="1">
      <c r="A7" t="s">
        <v>1326</v>
      </c>
      <c r="B7" t="s">
        <v>1326</v>
      </c>
      <c r="C7" s="23"/>
      <c r="D7" t="s">
        <v>1327</v>
      </c>
    </row>
    <row r="8" spans="1:5" s="25" customFormat="1">
      <c r="A8" t="s">
        <v>1328</v>
      </c>
      <c r="B8" t="s">
        <v>1328</v>
      </c>
      <c r="C8" s="23"/>
      <c r="D8" t="s">
        <v>1329</v>
      </c>
    </row>
    <row r="9" spans="1:5" s="25" customFormat="1">
      <c r="A9" t="s">
        <v>1330</v>
      </c>
      <c r="B9" t="s">
        <v>1330</v>
      </c>
      <c r="C9" s="23"/>
      <c r="D9" t="s">
        <v>1331</v>
      </c>
    </row>
    <row r="10" spans="1:5" s="25" customFormat="1">
      <c r="A10" t="s">
        <v>1332</v>
      </c>
      <c r="B10" t="s">
        <v>1332</v>
      </c>
      <c r="C10" s="23"/>
      <c r="D10" t="s">
        <v>1333</v>
      </c>
    </row>
    <row r="11" spans="1:5" s="25" customFormat="1">
      <c r="A11" t="s">
        <v>1334</v>
      </c>
      <c r="B11" t="s">
        <v>1334</v>
      </c>
      <c r="C11" s="23"/>
      <c r="D11" t="s">
        <v>1335</v>
      </c>
    </row>
    <row r="12" spans="1:5" s="25" customFormat="1">
      <c r="C12" s="23"/>
    </row>
    <row r="13" spans="1:5" s="25" customFormat="1">
      <c r="C13" s="23"/>
    </row>
    <row r="14" spans="1:5" s="25" customFormat="1">
      <c r="C14" s="23"/>
    </row>
    <row r="15" spans="1:5" s="25" customFormat="1">
      <c r="C15" s="23"/>
    </row>
    <row r="16" spans="1:5" s="25" customFormat="1">
      <c r="C16" s="23"/>
    </row>
    <row r="18" spans="1:5">
      <c r="A18" s="26"/>
      <c r="B18" s="26"/>
      <c r="E18" s="27"/>
    </row>
    <row r="19" spans="1:5" s="30" customFormat="1">
      <c r="A19" s="28"/>
      <c r="D19" s="29"/>
      <c r="E19" s="28"/>
    </row>
    <row r="22" spans="1:5">
      <c r="B22" s="26"/>
      <c r="C22" s="26"/>
    </row>
    <row r="26" spans="1:5">
      <c r="B26" s="26"/>
      <c r="C26" s="26"/>
    </row>
    <row r="30" spans="1:5">
      <c r="B30" s="26"/>
      <c r="C30" s="26"/>
    </row>
    <row r="34" spans="2:3">
      <c r="B34" s="26"/>
      <c r="C34" s="26"/>
    </row>
    <row r="38" spans="2:3">
      <c r="B38" s="26"/>
      <c r="C38" s="26"/>
    </row>
  </sheetData>
  <pageMargins left="0.7" right="0.7" top="0.75" bottom="0.75" header="0.511811023622047" footer="0.511811023622047"/>
  <pageSetup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9"/>
  <sheetViews>
    <sheetView zoomScaleNormal="100" workbookViewId="0">
      <selection activeCell="B7" sqref="B7:B9"/>
    </sheetView>
  </sheetViews>
  <sheetFormatPr baseColWidth="10" defaultColWidth="8.6640625" defaultRowHeight="14.4"/>
  <cols>
    <col min="1" max="1" width="26.109375" customWidth="1"/>
    <col min="2" max="3" width="15.44140625" customWidth="1"/>
    <col min="4" max="4" width="12.109375" customWidth="1"/>
    <col min="5" max="5" width="20.88671875" customWidth="1"/>
  </cols>
  <sheetData>
    <row r="1" spans="1:5">
      <c r="A1" s="17" t="s">
        <v>0</v>
      </c>
      <c r="B1" s="18" t="s">
        <v>366</v>
      </c>
      <c r="C1" s="19"/>
    </row>
    <row r="2" spans="1:5">
      <c r="A2" s="17" t="s">
        <v>2</v>
      </c>
      <c r="B2" s="18" t="s">
        <v>427</v>
      </c>
      <c r="C2" s="19"/>
    </row>
    <row r="3" spans="1:5">
      <c r="A3" s="17" t="s">
        <v>4</v>
      </c>
      <c r="B3" s="18" t="s">
        <v>1336</v>
      </c>
      <c r="C3" s="19"/>
    </row>
    <row r="4" spans="1:5">
      <c r="A4" s="17" t="s">
        <v>6</v>
      </c>
      <c r="B4" s="18" t="s">
        <v>429</v>
      </c>
      <c r="C4" s="20"/>
    </row>
    <row r="5" spans="1:5">
      <c r="A5" s="17" t="s">
        <v>8</v>
      </c>
      <c r="B5" s="18" t="s">
        <v>1337</v>
      </c>
      <c r="C5" s="20"/>
    </row>
    <row r="6" spans="1:5">
      <c r="A6" s="21" t="s">
        <v>10</v>
      </c>
      <c r="B6" s="21" t="s">
        <v>11</v>
      </c>
      <c r="C6" s="21" t="s">
        <v>12</v>
      </c>
      <c r="D6" s="21" t="s">
        <v>8</v>
      </c>
      <c r="E6" s="21" t="s">
        <v>14</v>
      </c>
    </row>
    <row r="7" spans="1:5" s="25" customFormat="1">
      <c r="A7" t="s">
        <v>1338</v>
      </c>
      <c r="B7" t="s">
        <v>1338</v>
      </c>
      <c r="C7" s="23"/>
    </row>
    <row r="8" spans="1:5" s="25" customFormat="1">
      <c r="A8" t="s">
        <v>1339</v>
      </c>
      <c r="B8" t="s">
        <v>1339</v>
      </c>
      <c r="C8" s="23"/>
    </row>
    <row r="9" spans="1:5" s="25" customFormat="1">
      <c r="A9" t="s">
        <v>1340</v>
      </c>
      <c r="B9" t="s">
        <v>1340</v>
      </c>
      <c r="C9" s="23"/>
    </row>
    <row r="10" spans="1:5" s="25" customFormat="1">
      <c r="C10" s="23"/>
    </row>
    <row r="11" spans="1:5" s="25" customFormat="1">
      <c r="C11" s="23"/>
    </row>
    <row r="12" spans="1:5" s="25" customFormat="1">
      <c r="C12" s="23"/>
    </row>
    <row r="13" spans="1:5" s="25" customFormat="1">
      <c r="C13" s="23"/>
    </row>
    <row r="14" spans="1:5" s="25" customFormat="1">
      <c r="C14" s="23"/>
    </row>
    <row r="15" spans="1:5" s="25" customFormat="1">
      <c r="C15" s="23"/>
    </row>
    <row r="16" spans="1:5" s="25" customFormat="1">
      <c r="C16" s="23"/>
    </row>
    <row r="18" spans="5:5">
      <c r="E18" s="27"/>
    </row>
    <row r="19" spans="5:5" s="30" customFormat="1">
      <c r="E19" s="28"/>
    </row>
  </sheetData>
  <pageMargins left="0.7" right="0.7" top="0.75" bottom="0.75" header="0.511811023622047" footer="0.511811023622047"/>
  <pageSetup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zoomScaleNormal="100" workbookViewId="0">
      <selection activeCell="B7" sqref="B7:B11"/>
    </sheetView>
  </sheetViews>
  <sheetFormatPr baseColWidth="10" defaultColWidth="8.6640625" defaultRowHeight="14.4"/>
  <cols>
    <col min="1" max="1" width="21.44140625" customWidth="1"/>
    <col min="2" max="2" width="28.33203125" customWidth="1"/>
    <col min="3" max="3" width="15.44140625" customWidth="1"/>
    <col min="4" max="4" width="12.109375" customWidth="1"/>
    <col min="5" max="5" width="14.109375" customWidth="1"/>
  </cols>
  <sheetData>
    <row r="1" spans="1:5">
      <c r="A1" s="17" t="s">
        <v>0</v>
      </c>
      <c r="B1" s="18" t="s">
        <v>368</v>
      </c>
      <c r="C1" s="19"/>
    </row>
    <row r="2" spans="1:5">
      <c r="A2" s="17" t="s">
        <v>2</v>
      </c>
      <c r="B2" s="18" t="s">
        <v>427</v>
      </c>
      <c r="C2" s="19"/>
    </row>
    <row r="3" spans="1:5">
      <c r="A3" s="17" t="s">
        <v>4</v>
      </c>
      <c r="B3" s="18" t="s">
        <v>1341</v>
      </c>
      <c r="C3" s="19"/>
    </row>
    <row r="4" spans="1:5">
      <c r="A4" s="17" t="s">
        <v>6</v>
      </c>
      <c r="B4" s="18" t="s">
        <v>429</v>
      </c>
      <c r="C4" s="20"/>
    </row>
    <row r="5" spans="1:5">
      <c r="A5" s="17" t="s">
        <v>8</v>
      </c>
      <c r="B5" s="18" t="s">
        <v>1342</v>
      </c>
      <c r="C5" s="20"/>
    </row>
    <row r="6" spans="1:5">
      <c r="A6" s="21" t="s">
        <v>10</v>
      </c>
      <c r="B6" s="21" t="s">
        <v>11</v>
      </c>
      <c r="C6" s="21" t="s">
        <v>12</v>
      </c>
      <c r="D6" s="21" t="s">
        <v>8</v>
      </c>
      <c r="E6" s="21" t="s">
        <v>14</v>
      </c>
    </row>
    <row r="7" spans="1:5" s="25" customFormat="1">
      <c r="A7" t="s">
        <v>1343</v>
      </c>
      <c r="B7" t="s">
        <v>1343</v>
      </c>
      <c r="C7" s="23"/>
    </row>
    <row r="8" spans="1:5" s="25" customFormat="1">
      <c r="A8" t="s">
        <v>1344</v>
      </c>
      <c r="B8" t="s">
        <v>1344</v>
      </c>
      <c r="C8" s="23"/>
    </row>
    <row r="9" spans="1:5" s="25" customFormat="1">
      <c r="A9" t="s">
        <v>511</v>
      </c>
      <c r="B9" t="s">
        <v>511</v>
      </c>
      <c r="C9" s="23"/>
    </row>
    <row r="10" spans="1:5" s="25" customFormat="1">
      <c r="A10" t="s">
        <v>1345</v>
      </c>
      <c r="B10" t="s">
        <v>1345</v>
      </c>
      <c r="C10" s="23"/>
    </row>
    <row r="11" spans="1:5" s="25" customFormat="1">
      <c r="A11" t="s">
        <v>1346</v>
      </c>
      <c r="B11" t="s">
        <v>1346</v>
      </c>
      <c r="C11" s="23"/>
    </row>
    <row r="12" spans="1:5" s="25" customFormat="1">
      <c r="C12" s="23"/>
    </row>
    <row r="13" spans="1:5" s="25" customFormat="1">
      <c r="C13" s="23"/>
    </row>
    <row r="14" spans="1:5" s="25" customFormat="1">
      <c r="C14" s="23"/>
    </row>
    <row r="15" spans="1:5" s="25" customFormat="1">
      <c r="C15" s="23"/>
    </row>
    <row r="16" spans="1:5" s="25" customFormat="1">
      <c r="C16" s="23"/>
    </row>
    <row r="18" spans="1:5">
      <c r="A18" s="26"/>
      <c r="B18" s="26"/>
      <c r="E18" s="27"/>
    </row>
    <row r="19" spans="1:5" s="30" customFormat="1">
      <c r="E19" s="28"/>
    </row>
  </sheetData>
  <pageMargins left="0.7" right="0.7" top="0.75" bottom="0.75" header="0.511811023622047" footer="0.511811023622047"/>
  <pageSetup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8"/>
  <sheetViews>
    <sheetView zoomScaleNormal="100" workbookViewId="0">
      <selection activeCell="A7" sqref="A7:A8"/>
    </sheetView>
  </sheetViews>
  <sheetFormatPr baseColWidth="10" defaultColWidth="8.6640625" defaultRowHeight="14.4"/>
  <cols>
    <col min="1" max="1" width="21.44140625" customWidth="1"/>
    <col min="2" max="3" width="15.44140625" customWidth="1"/>
    <col min="4" max="4" width="12.109375" customWidth="1"/>
    <col min="5" max="5" width="14.109375" customWidth="1"/>
  </cols>
  <sheetData>
    <row r="1" spans="1:5">
      <c r="A1" s="17" t="s">
        <v>0</v>
      </c>
      <c r="B1" s="18" t="s">
        <v>370</v>
      </c>
      <c r="C1" s="19"/>
    </row>
    <row r="2" spans="1:5">
      <c r="A2" s="17" t="s">
        <v>2</v>
      </c>
      <c r="B2" s="18" t="s">
        <v>427</v>
      </c>
      <c r="C2" s="19"/>
    </row>
    <row r="3" spans="1:5">
      <c r="A3" s="17" t="s">
        <v>4</v>
      </c>
      <c r="B3" s="18" t="s">
        <v>1347</v>
      </c>
      <c r="C3" s="19"/>
    </row>
    <row r="4" spans="1:5">
      <c r="A4" s="17" t="s">
        <v>6</v>
      </c>
      <c r="B4" s="18" t="s">
        <v>429</v>
      </c>
      <c r="C4" s="20"/>
    </row>
    <row r="5" spans="1:5">
      <c r="A5" s="17" t="s">
        <v>8</v>
      </c>
      <c r="B5" s="18" t="s">
        <v>1348</v>
      </c>
      <c r="C5" s="20"/>
    </row>
    <row r="6" spans="1:5">
      <c r="A6" s="21" t="s">
        <v>10</v>
      </c>
      <c r="B6" s="21" t="s">
        <v>11</v>
      </c>
      <c r="C6" s="21" t="s">
        <v>12</v>
      </c>
      <c r="D6" s="21" t="s">
        <v>8</v>
      </c>
      <c r="E6" s="21" t="s">
        <v>14</v>
      </c>
    </row>
    <row r="7" spans="1:5" s="25" customFormat="1">
      <c r="A7" t="s">
        <v>1349</v>
      </c>
      <c r="B7" t="s">
        <v>1349</v>
      </c>
      <c r="C7" s="23"/>
    </row>
    <row r="8" spans="1:5" s="25" customFormat="1">
      <c r="A8" t="s">
        <v>1350</v>
      </c>
      <c r="B8" t="s">
        <v>1350</v>
      </c>
      <c r="C8" s="23"/>
    </row>
    <row r="9" spans="1:5" s="25" customFormat="1">
      <c r="C9" s="23"/>
    </row>
    <row r="10" spans="1:5" s="25" customFormat="1">
      <c r="C10" s="23"/>
    </row>
    <row r="11" spans="1:5" s="25" customFormat="1">
      <c r="C11" s="23"/>
    </row>
    <row r="12" spans="1:5" s="25" customFormat="1">
      <c r="C12" s="23"/>
    </row>
    <row r="13" spans="1:5" s="25" customFormat="1">
      <c r="C13" s="23"/>
    </row>
    <row r="14" spans="1:5" s="25" customFormat="1">
      <c r="C14" s="23"/>
    </row>
    <row r="15" spans="1:5" s="25" customFormat="1">
      <c r="C15" s="23"/>
    </row>
    <row r="16" spans="1:5" s="25" customFormat="1">
      <c r="C16" s="23"/>
    </row>
    <row r="18" spans="1:5">
      <c r="A18" s="26"/>
      <c r="B18" s="26"/>
      <c r="E18" s="27"/>
    </row>
    <row r="19" spans="1:5" s="30" customFormat="1">
      <c r="A19" s="28"/>
      <c r="B19" s="28"/>
      <c r="C19" s="29"/>
      <c r="D19" s="29"/>
      <c r="E19" s="28"/>
    </row>
    <row r="20" spans="1:5">
      <c r="B20" s="31"/>
    </row>
    <row r="21" spans="1:5">
      <c r="B21" s="32"/>
    </row>
    <row r="22" spans="1:5">
      <c r="B22" s="31"/>
    </row>
    <row r="23" spans="1:5">
      <c r="B23" s="32"/>
    </row>
    <row r="24" spans="1:5">
      <c r="B24" s="33"/>
    </row>
    <row r="25" spans="1:5">
      <c r="B25" s="33"/>
    </row>
    <row r="26" spans="1:5">
      <c r="B26" s="33"/>
    </row>
    <row r="27" spans="1:5">
      <c r="B27" s="33"/>
    </row>
    <row r="28" spans="1:5">
      <c r="B28" s="34"/>
    </row>
  </sheetData>
  <pageMargins left="0.7" right="0.7" top="0.75" bottom="0.75" header="0.511811023622047" footer="0.511811023622047"/>
  <pageSetup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28"/>
  <sheetViews>
    <sheetView zoomScaleNormal="100" workbookViewId="0">
      <selection activeCell="A7" sqref="A7:A12"/>
    </sheetView>
  </sheetViews>
  <sheetFormatPr baseColWidth="10" defaultColWidth="8.6640625" defaultRowHeight="14.4"/>
  <cols>
    <col min="1" max="1" width="21.44140625" customWidth="1"/>
    <col min="2" max="2" width="18.109375" customWidth="1"/>
    <col min="3" max="3" width="15.44140625" customWidth="1"/>
    <col min="4" max="4" width="12.109375" customWidth="1"/>
    <col min="5" max="5" width="14.109375" customWidth="1"/>
  </cols>
  <sheetData>
    <row r="1" spans="1:5">
      <c r="A1" s="17" t="s">
        <v>0</v>
      </c>
      <c r="B1" s="18" t="s">
        <v>373</v>
      </c>
      <c r="C1" s="19"/>
    </row>
    <row r="2" spans="1:5">
      <c r="A2" s="17" t="s">
        <v>2</v>
      </c>
      <c r="B2" s="18" t="s">
        <v>427</v>
      </c>
      <c r="C2" s="19"/>
    </row>
    <row r="3" spans="1:5">
      <c r="A3" s="17" t="s">
        <v>4</v>
      </c>
      <c r="B3" s="18" t="s">
        <v>1351</v>
      </c>
      <c r="C3" s="19"/>
    </row>
    <row r="4" spans="1:5">
      <c r="A4" s="17" t="s">
        <v>6</v>
      </c>
      <c r="B4" s="18" t="s">
        <v>429</v>
      </c>
      <c r="C4" s="20"/>
    </row>
    <row r="5" spans="1:5">
      <c r="A5" s="17" t="s">
        <v>8</v>
      </c>
      <c r="B5" s="18" t="s">
        <v>1352</v>
      </c>
      <c r="C5" s="20"/>
    </row>
    <row r="6" spans="1:5">
      <c r="A6" s="21" t="s">
        <v>10</v>
      </c>
      <c r="B6" s="21" t="s">
        <v>11</v>
      </c>
      <c r="C6" s="21" t="s">
        <v>12</v>
      </c>
      <c r="D6" s="21" t="s">
        <v>8</v>
      </c>
      <c r="E6" s="21" t="s">
        <v>14</v>
      </c>
    </row>
    <row r="7" spans="1:5" s="25" customFormat="1">
      <c r="A7" t="s">
        <v>1353</v>
      </c>
      <c r="B7" t="s">
        <v>1353</v>
      </c>
      <c r="C7" s="23"/>
    </row>
    <row r="8" spans="1:5" s="25" customFormat="1">
      <c r="A8" t="s">
        <v>1354</v>
      </c>
      <c r="B8" t="s">
        <v>1354</v>
      </c>
      <c r="C8" s="23"/>
    </row>
    <row r="9" spans="1:5" s="25" customFormat="1">
      <c r="A9" t="s">
        <v>1355</v>
      </c>
      <c r="B9" t="s">
        <v>1355</v>
      </c>
      <c r="C9" s="23"/>
    </row>
    <row r="10" spans="1:5" s="25" customFormat="1">
      <c r="A10" t="s">
        <v>1356</v>
      </c>
      <c r="B10" t="s">
        <v>1356</v>
      </c>
      <c r="C10" s="23"/>
    </row>
    <row r="11" spans="1:5" s="25" customFormat="1">
      <c r="A11" t="s">
        <v>1357</v>
      </c>
      <c r="B11" t="s">
        <v>1357</v>
      </c>
      <c r="C11" s="23"/>
    </row>
    <row r="12" spans="1:5" s="25" customFormat="1">
      <c r="A12" t="s">
        <v>1358</v>
      </c>
      <c r="B12" t="s">
        <v>1358</v>
      </c>
      <c r="C12" s="23"/>
    </row>
    <row r="13" spans="1:5" s="25" customFormat="1">
      <c r="C13" s="23"/>
    </row>
    <row r="14" spans="1:5" s="25" customFormat="1">
      <c r="C14" s="23"/>
    </row>
    <row r="15" spans="1:5" s="25" customFormat="1">
      <c r="C15" s="23"/>
    </row>
    <row r="16" spans="1:5" s="25" customFormat="1"/>
    <row r="18" spans="1:5">
      <c r="A18" s="27"/>
      <c r="C18" s="27"/>
      <c r="E18" s="27"/>
    </row>
    <row r="19" spans="1:5" s="30" customFormat="1">
      <c r="A19" s="28"/>
      <c r="C19" s="28"/>
      <c r="D19" s="29"/>
      <c r="E19" s="28"/>
    </row>
    <row r="22" spans="1:5">
      <c r="B22" s="25"/>
    </row>
    <row r="24" spans="1:5">
      <c r="A24" s="27"/>
      <c r="C24" s="27"/>
    </row>
    <row r="25" spans="1:5">
      <c r="A25" s="28"/>
      <c r="B25" s="30"/>
      <c r="C25" s="28"/>
    </row>
    <row r="28" spans="1:5">
      <c r="B28" s="25"/>
    </row>
  </sheetData>
  <pageMargins left="0.7" right="0.7" top="0.75" bottom="0.75" header="0.511811023622047" footer="0.511811023622047"/>
  <pageSetup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1"/>
  <sheetViews>
    <sheetView zoomScaleNormal="100" workbookViewId="0">
      <selection activeCell="B5" sqref="B5"/>
    </sheetView>
  </sheetViews>
  <sheetFormatPr baseColWidth="10" defaultColWidth="8.6640625" defaultRowHeight="14.4"/>
  <cols>
    <col min="1" max="1" width="26.109375" customWidth="1"/>
    <col min="2" max="3" width="15.44140625" customWidth="1"/>
    <col min="4" max="4" width="12.109375" customWidth="1"/>
    <col min="5" max="5" width="11" customWidth="1"/>
  </cols>
  <sheetData>
    <row r="1" spans="1:5">
      <c r="A1" s="17" t="s">
        <v>0</v>
      </c>
      <c r="B1" s="18" t="s">
        <v>375</v>
      </c>
      <c r="C1" s="19"/>
    </row>
    <row r="2" spans="1:5">
      <c r="A2" s="17" t="s">
        <v>2</v>
      </c>
      <c r="B2" s="18" t="s">
        <v>427</v>
      </c>
      <c r="C2" s="19"/>
    </row>
    <row r="3" spans="1:5">
      <c r="A3" s="17" t="s">
        <v>4</v>
      </c>
      <c r="B3" s="18" t="s">
        <v>1359</v>
      </c>
      <c r="C3" s="19"/>
    </row>
    <row r="4" spans="1:5">
      <c r="A4" s="17" t="s">
        <v>6</v>
      </c>
      <c r="B4" s="18" t="s">
        <v>429</v>
      </c>
      <c r="C4" s="20"/>
    </row>
    <row r="5" spans="1:5">
      <c r="A5" s="17" t="s">
        <v>8</v>
      </c>
      <c r="B5" s="18" t="s">
        <v>1360</v>
      </c>
      <c r="C5" s="20"/>
    </row>
    <row r="6" spans="1:5">
      <c r="A6" s="21" t="s">
        <v>10</v>
      </c>
      <c r="B6" s="21" t="s">
        <v>11</v>
      </c>
      <c r="C6" s="21" t="s">
        <v>12</v>
      </c>
      <c r="D6" s="21" t="s">
        <v>8</v>
      </c>
      <c r="E6" s="21" t="s">
        <v>14</v>
      </c>
    </row>
    <row r="7" spans="1:5" s="25" customFormat="1">
      <c r="A7" t="s">
        <v>1361</v>
      </c>
      <c r="B7" t="s">
        <v>1361</v>
      </c>
      <c r="C7" s="23"/>
    </row>
    <row r="8" spans="1:5" s="25" customFormat="1">
      <c r="A8" t="s">
        <v>1362</v>
      </c>
      <c r="B8" t="s">
        <v>1362</v>
      </c>
      <c r="C8" s="23"/>
    </row>
    <row r="9" spans="1:5" s="25" customFormat="1">
      <c r="A9" t="s">
        <v>1363</v>
      </c>
      <c r="B9" t="s">
        <v>1363</v>
      </c>
      <c r="C9" s="23"/>
    </row>
    <row r="10" spans="1:5" s="25" customFormat="1">
      <c r="A10" t="s">
        <v>1364</v>
      </c>
      <c r="B10" t="s">
        <v>1364</v>
      </c>
      <c r="C10" s="23"/>
    </row>
    <row r="11" spans="1:5" s="25" customFormat="1">
      <c r="A11" t="s">
        <v>1365</v>
      </c>
      <c r="B11" t="s">
        <v>1365</v>
      </c>
      <c r="C11" s="23"/>
    </row>
    <row r="12" spans="1:5" s="25" customFormat="1">
      <c r="A12" t="s">
        <v>1366</v>
      </c>
      <c r="B12" t="s">
        <v>1366</v>
      </c>
      <c r="C12" s="23"/>
    </row>
    <row r="13" spans="1:5" s="25" customFormat="1">
      <c r="A13" t="s">
        <v>1367</v>
      </c>
      <c r="B13" t="s">
        <v>1367</v>
      </c>
      <c r="C13" s="23"/>
    </row>
    <row r="14" spans="1:5" s="25" customFormat="1">
      <c r="C14" s="23"/>
    </row>
    <row r="15" spans="1:5" s="25" customFormat="1">
      <c r="C15" s="23"/>
    </row>
    <row r="16" spans="1:5" s="25" customFormat="1">
      <c r="C16" s="23"/>
    </row>
    <row r="18" spans="1:5">
      <c r="A18" s="26"/>
      <c r="B18" s="26"/>
      <c r="E18" s="27"/>
    </row>
    <row r="19" spans="1:5" s="30" customFormat="1">
      <c r="A19" s="28"/>
      <c r="B19" s="28"/>
      <c r="C19" s="29"/>
      <c r="D19" s="29"/>
      <c r="E19" s="28"/>
    </row>
    <row r="20" spans="1:5">
      <c r="B20" s="31"/>
    </row>
    <row r="21" spans="1:5">
      <c r="B21" s="32"/>
    </row>
  </sheetData>
  <pageMargins left="0.7" right="0.7" top="0.75" bottom="0.75" header="0.511811023622047" footer="0.511811023622047"/>
  <pageSetup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89"/>
  <sheetViews>
    <sheetView zoomScaleNormal="100" workbookViewId="0">
      <selection activeCell="B5" sqref="B5"/>
    </sheetView>
  </sheetViews>
  <sheetFormatPr baseColWidth="10" defaultColWidth="11.44140625" defaultRowHeight="14.4"/>
  <cols>
    <col min="1" max="1" width="21.33203125" customWidth="1"/>
    <col min="2" max="2" width="104.44140625" customWidth="1"/>
    <col min="3" max="3" width="49.6640625" customWidth="1"/>
    <col min="4" max="4" width="22.109375" customWidth="1"/>
  </cols>
  <sheetData>
    <row r="1" spans="1:6">
      <c r="A1" s="39" t="s">
        <v>0</v>
      </c>
      <c r="B1" s="18" t="s">
        <v>377</v>
      </c>
      <c r="C1" s="40"/>
      <c r="D1" s="40"/>
    </row>
    <row r="2" spans="1:6">
      <c r="A2" s="39" t="s">
        <v>2</v>
      </c>
      <c r="B2" s="18" t="s">
        <v>1368</v>
      </c>
      <c r="C2" s="40"/>
      <c r="D2" s="40"/>
    </row>
    <row r="3" spans="1:6">
      <c r="A3" s="39" t="s">
        <v>4</v>
      </c>
      <c r="B3" s="18" t="s">
        <v>1369</v>
      </c>
      <c r="C3" s="40"/>
      <c r="D3" s="40"/>
    </row>
    <row r="4" spans="1:6">
      <c r="A4" s="39" t="s">
        <v>6</v>
      </c>
      <c r="B4" s="18" t="s">
        <v>429</v>
      </c>
      <c r="C4" s="41"/>
      <c r="D4" s="41"/>
    </row>
    <row r="5" spans="1:6">
      <c r="A5" s="39" t="s">
        <v>8</v>
      </c>
      <c r="B5" s="18" t="s">
        <v>1370</v>
      </c>
      <c r="C5" s="41"/>
      <c r="D5" s="41"/>
    </row>
    <row r="6" spans="1:6">
      <c r="A6" s="42" t="s">
        <v>10</v>
      </c>
      <c r="B6" s="42" t="s">
        <v>11</v>
      </c>
      <c r="C6" s="42" t="s">
        <v>12</v>
      </c>
      <c r="D6" s="42" t="s">
        <v>13</v>
      </c>
      <c r="E6" s="42" t="s">
        <v>8</v>
      </c>
      <c r="F6" s="42" t="s">
        <v>14</v>
      </c>
    </row>
    <row r="7" spans="1:6">
      <c r="A7" s="43" t="s">
        <v>1371</v>
      </c>
      <c r="B7" s="43" t="s">
        <v>1372</v>
      </c>
      <c r="C7" s="43" t="s">
        <v>1373</v>
      </c>
      <c r="D7" s="43"/>
    </row>
    <row r="8" spans="1:6">
      <c r="A8" s="43" t="s">
        <v>1374</v>
      </c>
      <c r="B8" s="43" t="s">
        <v>1375</v>
      </c>
      <c r="C8" s="43" t="s">
        <v>1376</v>
      </c>
      <c r="D8" s="43"/>
    </row>
    <row r="9" spans="1:6">
      <c r="A9" s="43" t="s">
        <v>1377</v>
      </c>
      <c r="B9" s="43" t="s">
        <v>1378</v>
      </c>
      <c r="C9" s="43" t="s">
        <v>1379</v>
      </c>
      <c r="D9" s="43"/>
    </row>
    <row r="10" spans="1:6">
      <c r="A10" s="43" t="s">
        <v>1380</v>
      </c>
      <c r="B10" s="43" t="s">
        <v>1381</v>
      </c>
      <c r="C10" s="43" t="s">
        <v>1382</v>
      </c>
      <c r="D10" s="43"/>
    </row>
    <row r="11" spans="1:6">
      <c r="A11" s="43" t="s">
        <v>1383</v>
      </c>
      <c r="B11" s="43" t="s">
        <v>1384</v>
      </c>
      <c r="C11" s="43" t="s">
        <v>1385</v>
      </c>
      <c r="D11" s="43"/>
    </row>
    <row r="12" spans="1:6">
      <c r="A12" s="43" t="s">
        <v>1386</v>
      </c>
      <c r="B12" s="43" t="s">
        <v>1387</v>
      </c>
      <c r="C12" s="43" t="s">
        <v>1388</v>
      </c>
      <c r="D12" s="43"/>
    </row>
    <row r="13" spans="1:6">
      <c r="A13" s="43" t="s">
        <v>1389</v>
      </c>
      <c r="B13" s="43" t="s">
        <v>1390</v>
      </c>
      <c r="C13" s="43" t="s">
        <v>1391</v>
      </c>
      <c r="D13" s="43"/>
    </row>
    <row r="14" spans="1:6">
      <c r="A14" s="43" t="s">
        <v>1392</v>
      </c>
      <c r="B14" s="43" t="s">
        <v>1393</v>
      </c>
      <c r="C14" s="43" t="s">
        <v>1394</v>
      </c>
      <c r="D14" s="43"/>
    </row>
    <row r="15" spans="1:6">
      <c r="A15" s="43" t="s">
        <v>1395</v>
      </c>
      <c r="B15" s="43" t="s">
        <v>1396</v>
      </c>
      <c r="C15" s="43" t="s">
        <v>1397</v>
      </c>
      <c r="D15" s="43"/>
    </row>
    <row r="16" spans="1:6">
      <c r="A16" s="43" t="s">
        <v>1398</v>
      </c>
      <c r="B16" s="43" t="s">
        <v>1399</v>
      </c>
      <c r="C16" s="43" t="s">
        <v>1400</v>
      </c>
      <c r="D16" s="43"/>
    </row>
    <row r="17" spans="1:4">
      <c r="A17" s="43" t="s">
        <v>1401</v>
      </c>
      <c r="B17" s="43" t="s">
        <v>1402</v>
      </c>
      <c r="C17" s="43" t="s">
        <v>1403</v>
      </c>
      <c r="D17" s="43"/>
    </row>
    <row r="18" spans="1:4">
      <c r="A18" s="43" t="s">
        <v>1404</v>
      </c>
      <c r="B18" s="43" t="s">
        <v>1405</v>
      </c>
      <c r="C18" s="43" t="s">
        <v>1406</v>
      </c>
      <c r="D18" s="43"/>
    </row>
    <row r="19" spans="1:4">
      <c r="A19" s="43" t="s">
        <v>1407</v>
      </c>
      <c r="B19" s="43" t="s">
        <v>1408</v>
      </c>
      <c r="C19" s="43" t="s">
        <v>1409</v>
      </c>
      <c r="D19" s="43"/>
    </row>
    <row r="20" spans="1:4">
      <c r="A20" s="43" t="s">
        <v>1410</v>
      </c>
      <c r="B20" s="43" t="s">
        <v>1411</v>
      </c>
      <c r="C20" s="43" t="s">
        <v>1412</v>
      </c>
      <c r="D20" s="43"/>
    </row>
    <row r="21" spans="1:4">
      <c r="A21" s="43" t="s">
        <v>1413</v>
      </c>
      <c r="B21" s="43" t="s">
        <v>1414</v>
      </c>
      <c r="C21" s="43" t="s">
        <v>1415</v>
      </c>
      <c r="D21" s="43"/>
    </row>
    <row r="22" spans="1:4">
      <c r="A22" s="43" t="s">
        <v>1416</v>
      </c>
      <c r="B22" s="43" t="s">
        <v>1417</v>
      </c>
      <c r="C22" s="43" t="s">
        <v>1418</v>
      </c>
      <c r="D22" s="43"/>
    </row>
    <row r="23" spans="1:4">
      <c r="A23" s="43" t="s">
        <v>1419</v>
      </c>
      <c r="B23" s="43" t="s">
        <v>1420</v>
      </c>
      <c r="C23" s="43" t="s">
        <v>1421</v>
      </c>
      <c r="D23" s="43"/>
    </row>
    <row r="24" spans="1:4">
      <c r="A24" s="43" t="s">
        <v>1422</v>
      </c>
      <c r="B24" s="43" t="s">
        <v>1423</v>
      </c>
      <c r="C24" s="43" t="s">
        <v>1424</v>
      </c>
      <c r="D24" s="43"/>
    </row>
    <row r="25" spans="1:4">
      <c r="A25" s="43" t="s">
        <v>1425</v>
      </c>
      <c r="B25" s="43" t="s">
        <v>1426</v>
      </c>
      <c r="C25" s="43" t="s">
        <v>1427</v>
      </c>
      <c r="D25" s="43"/>
    </row>
    <row r="26" spans="1:4">
      <c r="A26" s="43" t="s">
        <v>1428</v>
      </c>
      <c r="B26" s="43" t="s">
        <v>1429</v>
      </c>
      <c r="C26" s="43" t="s">
        <v>1430</v>
      </c>
      <c r="D26" s="43"/>
    </row>
    <row r="27" spans="1:4">
      <c r="A27" s="43" t="s">
        <v>1431</v>
      </c>
      <c r="B27" s="43" t="s">
        <v>1432</v>
      </c>
      <c r="C27" s="43" t="s">
        <v>1433</v>
      </c>
      <c r="D27" s="43"/>
    </row>
    <row r="28" spans="1:4">
      <c r="A28" s="43" t="s">
        <v>1434</v>
      </c>
      <c r="B28" s="43" t="s">
        <v>1435</v>
      </c>
      <c r="C28" s="43" t="s">
        <v>1436</v>
      </c>
      <c r="D28" s="43"/>
    </row>
    <row r="29" spans="1:4">
      <c r="A29" s="43" t="s">
        <v>1437</v>
      </c>
      <c r="B29" s="43" t="s">
        <v>1438</v>
      </c>
      <c r="C29" s="43" t="s">
        <v>1439</v>
      </c>
      <c r="D29" s="43"/>
    </row>
    <row r="30" spans="1:4">
      <c r="A30" s="43" t="s">
        <v>1440</v>
      </c>
      <c r="B30" s="43" t="s">
        <v>1441</v>
      </c>
      <c r="C30" s="43" t="s">
        <v>1442</v>
      </c>
      <c r="D30" s="43"/>
    </row>
    <row r="31" spans="1:4">
      <c r="A31" s="43" t="s">
        <v>1443</v>
      </c>
      <c r="B31" s="43" t="s">
        <v>1444</v>
      </c>
      <c r="C31" s="43" t="s">
        <v>1445</v>
      </c>
      <c r="D31" s="43"/>
    </row>
    <row r="32" spans="1:4">
      <c r="A32" s="43" t="s">
        <v>1446</v>
      </c>
      <c r="B32" s="43" t="s">
        <v>1447</v>
      </c>
      <c r="C32" s="43" t="s">
        <v>1448</v>
      </c>
      <c r="D32" s="43"/>
    </row>
    <row r="33" spans="1:4">
      <c r="A33" s="43" t="s">
        <v>1449</v>
      </c>
      <c r="B33" s="43" t="s">
        <v>1450</v>
      </c>
      <c r="C33" s="43" t="s">
        <v>1451</v>
      </c>
      <c r="D33" s="43"/>
    </row>
    <row r="34" spans="1:4" ht="25.5" customHeight="1">
      <c r="A34" s="43" t="s">
        <v>1452</v>
      </c>
      <c r="B34" s="43" t="s">
        <v>1453</v>
      </c>
      <c r="C34" s="43" t="s">
        <v>1454</v>
      </c>
      <c r="D34" s="43"/>
    </row>
    <row r="35" spans="1:4">
      <c r="A35" s="43" t="s">
        <v>1455</v>
      </c>
      <c r="B35" s="43" t="s">
        <v>1456</v>
      </c>
      <c r="C35" s="43" t="s">
        <v>1457</v>
      </c>
      <c r="D35" s="43"/>
    </row>
    <row r="36" spans="1:4">
      <c r="A36" s="43" t="s">
        <v>1458</v>
      </c>
      <c r="B36" s="43" t="s">
        <v>1459</v>
      </c>
      <c r="C36" s="43" t="s">
        <v>1460</v>
      </c>
      <c r="D36" s="43"/>
    </row>
    <row r="37" spans="1:4">
      <c r="A37" s="43" t="s">
        <v>1461</v>
      </c>
      <c r="B37" s="43" t="s">
        <v>1462</v>
      </c>
      <c r="C37" s="43" t="s">
        <v>1463</v>
      </c>
      <c r="D37" s="43"/>
    </row>
    <row r="38" spans="1:4">
      <c r="A38" s="43" t="s">
        <v>1464</v>
      </c>
      <c r="B38" s="43" t="s">
        <v>1465</v>
      </c>
      <c r="C38" s="43" t="s">
        <v>1466</v>
      </c>
      <c r="D38" s="43"/>
    </row>
    <row r="39" spans="1:4">
      <c r="A39" s="43" t="s">
        <v>1467</v>
      </c>
      <c r="B39" s="43" t="s">
        <v>1468</v>
      </c>
      <c r="C39" s="43" t="s">
        <v>1469</v>
      </c>
      <c r="D39" s="43"/>
    </row>
    <row r="40" spans="1:4">
      <c r="A40" s="43" t="s">
        <v>1470</v>
      </c>
      <c r="B40" s="43" t="s">
        <v>1471</v>
      </c>
      <c r="C40" s="43" t="s">
        <v>1472</v>
      </c>
      <c r="D40" s="43"/>
    </row>
    <row r="41" spans="1:4">
      <c r="A41" s="43" t="s">
        <v>1473</v>
      </c>
      <c r="B41" s="43" t="s">
        <v>1474</v>
      </c>
      <c r="C41" s="43" t="s">
        <v>1475</v>
      </c>
      <c r="D41" s="43"/>
    </row>
    <row r="42" spans="1:4">
      <c r="A42" s="43" t="s">
        <v>1476</v>
      </c>
      <c r="B42" s="43" t="s">
        <v>1477</v>
      </c>
      <c r="C42" s="43" t="s">
        <v>1478</v>
      </c>
      <c r="D42" s="43"/>
    </row>
    <row r="43" spans="1:4">
      <c r="A43" s="43" t="s">
        <v>1479</v>
      </c>
      <c r="B43" s="43" t="s">
        <v>1480</v>
      </c>
      <c r="C43" s="43" t="s">
        <v>1481</v>
      </c>
      <c r="D43" s="43"/>
    </row>
    <row r="44" spans="1:4">
      <c r="A44" s="43" t="s">
        <v>1482</v>
      </c>
      <c r="B44" s="43" t="s">
        <v>1483</v>
      </c>
      <c r="C44" s="43" t="s">
        <v>1484</v>
      </c>
      <c r="D44" s="43"/>
    </row>
    <row r="45" spans="1:4">
      <c r="A45" s="43" t="s">
        <v>1485</v>
      </c>
      <c r="B45" s="43" t="s">
        <v>1486</v>
      </c>
      <c r="C45" s="43" t="s">
        <v>1487</v>
      </c>
      <c r="D45" s="43"/>
    </row>
    <row r="46" spans="1:4">
      <c r="A46" s="43" t="s">
        <v>1488</v>
      </c>
      <c r="B46" s="43" t="s">
        <v>1489</v>
      </c>
      <c r="C46" s="43" t="s">
        <v>1490</v>
      </c>
      <c r="D46" s="43"/>
    </row>
    <row r="47" spans="1:4">
      <c r="A47" s="43" t="s">
        <v>1491</v>
      </c>
      <c r="B47" s="43" t="s">
        <v>1492</v>
      </c>
      <c r="C47" s="43" t="s">
        <v>1493</v>
      </c>
      <c r="D47" s="43"/>
    </row>
    <row r="48" spans="1:4">
      <c r="A48" s="43" t="s">
        <v>1494</v>
      </c>
      <c r="B48" s="43" t="s">
        <v>1495</v>
      </c>
      <c r="C48" s="43" t="s">
        <v>1496</v>
      </c>
      <c r="D48" s="43"/>
    </row>
    <row r="49" spans="1:4">
      <c r="A49" s="43" t="s">
        <v>1497</v>
      </c>
      <c r="B49" s="43" t="s">
        <v>1498</v>
      </c>
      <c r="C49" s="43" t="s">
        <v>1499</v>
      </c>
      <c r="D49" s="43"/>
    </row>
    <row r="50" spans="1:4">
      <c r="A50" s="43" t="s">
        <v>1500</v>
      </c>
      <c r="B50" s="43" t="s">
        <v>1501</v>
      </c>
      <c r="C50" s="43" t="s">
        <v>1502</v>
      </c>
      <c r="D50" s="43"/>
    </row>
    <row r="51" spans="1:4">
      <c r="A51" s="43" t="s">
        <v>1503</v>
      </c>
      <c r="B51" s="43" t="s">
        <v>1504</v>
      </c>
      <c r="C51" s="43" t="s">
        <v>1505</v>
      </c>
      <c r="D51" s="43"/>
    </row>
    <row r="52" spans="1:4">
      <c r="A52" s="43" t="s">
        <v>1506</v>
      </c>
      <c r="B52" s="43" t="s">
        <v>1507</v>
      </c>
      <c r="C52" s="43" t="s">
        <v>1508</v>
      </c>
      <c r="D52" s="43"/>
    </row>
    <row r="53" spans="1:4">
      <c r="A53" s="43" t="s">
        <v>1509</v>
      </c>
      <c r="B53" s="43" t="s">
        <v>1510</v>
      </c>
      <c r="C53" s="43" t="s">
        <v>1511</v>
      </c>
      <c r="D53" s="43"/>
    </row>
    <row r="54" spans="1:4">
      <c r="A54" s="43" t="s">
        <v>1512</v>
      </c>
      <c r="B54" s="43" t="s">
        <v>1513</v>
      </c>
      <c r="C54" s="43" t="s">
        <v>1514</v>
      </c>
      <c r="D54" s="43"/>
    </row>
    <row r="55" spans="1:4">
      <c r="A55" s="43" t="s">
        <v>1515</v>
      </c>
      <c r="B55" s="43" t="s">
        <v>1516</v>
      </c>
      <c r="C55" s="43" t="s">
        <v>1517</v>
      </c>
      <c r="D55" s="43"/>
    </row>
    <row r="56" spans="1:4">
      <c r="A56" s="43" t="s">
        <v>1518</v>
      </c>
      <c r="B56" s="43" t="s">
        <v>1519</v>
      </c>
      <c r="C56" s="43" t="s">
        <v>1520</v>
      </c>
      <c r="D56" s="43"/>
    </row>
    <row r="57" spans="1:4">
      <c r="A57" s="43" t="s">
        <v>1521</v>
      </c>
      <c r="B57" s="43" t="s">
        <v>1522</v>
      </c>
      <c r="C57" s="43" t="s">
        <v>1523</v>
      </c>
      <c r="D57" s="43"/>
    </row>
    <row r="58" spans="1:4">
      <c r="A58" s="43" t="s">
        <v>1524</v>
      </c>
      <c r="B58" s="43" t="s">
        <v>1525</v>
      </c>
      <c r="C58" s="43" t="s">
        <v>1526</v>
      </c>
      <c r="D58" s="43"/>
    </row>
    <row r="59" spans="1:4">
      <c r="A59" s="43" t="s">
        <v>1527</v>
      </c>
      <c r="B59" s="43" t="s">
        <v>1528</v>
      </c>
      <c r="C59" s="43" t="s">
        <v>1529</v>
      </c>
      <c r="D59" s="43"/>
    </row>
    <row r="60" spans="1:4">
      <c r="A60" s="43" t="s">
        <v>1530</v>
      </c>
      <c r="B60" s="43" t="s">
        <v>1531</v>
      </c>
      <c r="C60" s="43" t="s">
        <v>1532</v>
      </c>
      <c r="D60" s="43"/>
    </row>
    <row r="61" spans="1:4">
      <c r="A61" s="43" t="s">
        <v>1533</v>
      </c>
      <c r="B61" s="43" t="s">
        <v>1534</v>
      </c>
      <c r="C61" s="43" t="s">
        <v>1535</v>
      </c>
      <c r="D61" s="43"/>
    </row>
    <row r="62" spans="1:4">
      <c r="A62" s="43" t="s">
        <v>1536</v>
      </c>
      <c r="B62" s="43" t="s">
        <v>1537</v>
      </c>
      <c r="C62" s="43" t="s">
        <v>1538</v>
      </c>
      <c r="D62" s="43"/>
    </row>
    <row r="63" spans="1:4">
      <c r="A63" s="43" t="s">
        <v>1539</v>
      </c>
      <c r="B63" s="43" t="s">
        <v>1540</v>
      </c>
      <c r="C63" s="43" t="s">
        <v>1541</v>
      </c>
      <c r="D63" s="43"/>
    </row>
    <row r="64" spans="1:4">
      <c r="A64" s="43" t="s">
        <v>1542</v>
      </c>
      <c r="B64" s="43" t="s">
        <v>1543</v>
      </c>
      <c r="C64" s="43" t="s">
        <v>1544</v>
      </c>
      <c r="D64" s="43"/>
    </row>
    <row r="65" spans="1:4">
      <c r="A65" s="43" t="s">
        <v>1545</v>
      </c>
      <c r="B65" s="43" t="s">
        <v>1546</v>
      </c>
      <c r="C65" s="43" t="s">
        <v>1547</v>
      </c>
      <c r="D65" s="43"/>
    </row>
    <row r="66" spans="1:4">
      <c r="A66" s="43" t="s">
        <v>1548</v>
      </c>
      <c r="B66" s="43" t="s">
        <v>1549</v>
      </c>
      <c r="C66" s="43" t="s">
        <v>1550</v>
      </c>
      <c r="D66" s="43"/>
    </row>
    <row r="67" spans="1:4">
      <c r="A67" s="43" t="s">
        <v>1551</v>
      </c>
      <c r="B67" s="43" t="s">
        <v>1552</v>
      </c>
      <c r="C67" s="43" t="s">
        <v>1553</v>
      </c>
      <c r="D67" s="43"/>
    </row>
    <row r="68" spans="1:4">
      <c r="A68" s="43" t="s">
        <v>1554</v>
      </c>
      <c r="B68" s="43" t="s">
        <v>1555</v>
      </c>
      <c r="C68" s="43" t="s">
        <v>1556</v>
      </c>
      <c r="D68" s="43"/>
    </row>
    <row r="69" spans="1:4">
      <c r="A69" s="43" t="s">
        <v>1557</v>
      </c>
      <c r="B69" s="43" t="s">
        <v>1558</v>
      </c>
      <c r="C69" s="43" t="s">
        <v>1559</v>
      </c>
      <c r="D69" s="43"/>
    </row>
    <row r="70" spans="1:4">
      <c r="A70" s="43" t="s">
        <v>1560</v>
      </c>
      <c r="B70" s="43" t="s">
        <v>1561</v>
      </c>
      <c r="C70" s="43" t="s">
        <v>1562</v>
      </c>
      <c r="D70" s="43"/>
    </row>
    <row r="71" spans="1:4">
      <c r="A71" s="43" t="s">
        <v>1563</v>
      </c>
      <c r="B71" s="43" t="s">
        <v>1564</v>
      </c>
      <c r="C71" s="43" t="s">
        <v>1565</v>
      </c>
      <c r="D71" s="43"/>
    </row>
    <row r="72" spans="1:4">
      <c r="A72" s="43" t="s">
        <v>1566</v>
      </c>
      <c r="B72" s="43" t="s">
        <v>1567</v>
      </c>
      <c r="C72" s="43" t="s">
        <v>1568</v>
      </c>
      <c r="D72" s="43"/>
    </row>
    <row r="73" spans="1:4">
      <c r="A73" s="43" t="s">
        <v>1569</v>
      </c>
      <c r="B73" s="43" t="s">
        <v>1570</v>
      </c>
      <c r="C73" s="43" t="s">
        <v>1571</v>
      </c>
      <c r="D73" s="43"/>
    </row>
    <row r="74" spans="1:4">
      <c r="A74" s="43" t="s">
        <v>1572</v>
      </c>
      <c r="B74" s="43" t="s">
        <v>1573</v>
      </c>
      <c r="C74" s="43" t="s">
        <v>1574</v>
      </c>
      <c r="D74" s="43"/>
    </row>
    <row r="75" spans="1:4">
      <c r="A75" s="43" t="s">
        <v>1575</v>
      </c>
      <c r="B75" s="43" t="s">
        <v>1576</v>
      </c>
      <c r="C75" s="43" t="s">
        <v>1577</v>
      </c>
      <c r="D75" s="43"/>
    </row>
    <row r="76" spans="1:4">
      <c r="A76" s="43" t="s">
        <v>1578</v>
      </c>
      <c r="B76" s="43" t="s">
        <v>1579</v>
      </c>
      <c r="C76" s="43" t="s">
        <v>1580</v>
      </c>
      <c r="D76" s="43"/>
    </row>
    <row r="77" spans="1:4">
      <c r="A77" s="43" t="s">
        <v>1581</v>
      </c>
      <c r="B77" s="43" t="s">
        <v>1582</v>
      </c>
      <c r="C77" s="43" t="s">
        <v>1583</v>
      </c>
      <c r="D77" s="43"/>
    </row>
    <row r="78" spans="1:4">
      <c r="A78" s="43" t="s">
        <v>1584</v>
      </c>
      <c r="B78" s="43" t="s">
        <v>1585</v>
      </c>
      <c r="C78" s="43" t="s">
        <v>1586</v>
      </c>
      <c r="D78" s="43"/>
    </row>
    <row r="79" spans="1:4">
      <c r="A79" s="43" t="s">
        <v>1587</v>
      </c>
      <c r="B79" s="43" t="s">
        <v>1588</v>
      </c>
      <c r="C79" s="43" t="s">
        <v>1589</v>
      </c>
      <c r="D79" s="43"/>
    </row>
    <row r="80" spans="1:4">
      <c r="A80" s="43" t="s">
        <v>1590</v>
      </c>
      <c r="B80" s="43" t="s">
        <v>1591</v>
      </c>
      <c r="C80" s="43" t="s">
        <v>1592</v>
      </c>
      <c r="D80" s="43"/>
    </row>
    <row r="81" spans="1:4">
      <c r="A81" s="43" t="s">
        <v>1593</v>
      </c>
      <c r="B81" s="43" t="s">
        <v>1594</v>
      </c>
      <c r="C81" s="43" t="s">
        <v>1595</v>
      </c>
      <c r="D81" s="43"/>
    </row>
    <row r="82" spans="1:4">
      <c r="A82" s="43" t="s">
        <v>1596</v>
      </c>
      <c r="B82" s="43" t="s">
        <v>1597</v>
      </c>
      <c r="C82" s="43" t="s">
        <v>1598</v>
      </c>
      <c r="D82" s="43"/>
    </row>
    <row r="83" spans="1:4">
      <c r="A83" s="43" t="s">
        <v>1599</v>
      </c>
      <c r="B83" s="43" t="s">
        <v>1600</v>
      </c>
      <c r="C83" s="43" t="s">
        <v>1601</v>
      </c>
      <c r="D83" s="43"/>
    </row>
    <row r="84" spans="1:4">
      <c r="A84" s="43" t="s">
        <v>1602</v>
      </c>
      <c r="B84" s="43" t="s">
        <v>1603</v>
      </c>
      <c r="C84" s="43" t="s">
        <v>1604</v>
      </c>
      <c r="D84" s="43"/>
    </row>
    <row r="85" spans="1:4">
      <c r="A85" s="43" t="s">
        <v>1605</v>
      </c>
      <c r="B85" s="43" t="s">
        <v>1606</v>
      </c>
      <c r="C85" s="43" t="s">
        <v>1607</v>
      </c>
      <c r="D85" s="43"/>
    </row>
    <row r="86" spans="1:4">
      <c r="A86" s="43" t="s">
        <v>1608</v>
      </c>
      <c r="B86" s="43" t="s">
        <v>1609</v>
      </c>
      <c r="C86" s="43" t="s">
        <v>1610</v>
      </c>
      <c r="D86" s="43"/>
    </row>
    <row r="87" spans="1:4">
      <c r="A87" s="43" t="s">
        <v>1611</v>
      </c>
      <c r="B87" s="43" t="s">
        <v>1612</v>
      </c>
      <c r="C87" s="43" t="s">
        <v>1613</v>
      </c>
      <c r="D87" s="43"/>
    </row>
    <row r="88" spans="1:4">
      <c r="A88" s="43" t="s">
        <v>1614</v>
      </c>
      <c r="B88" s="43" t="s">
        <v>1615</v>
      </c>
      <c r="C88" s="43" t="s">
        <v>1616</v>
      </c>
      <c r="D88" s="43"/>
    </row>
    <row r="89" spans="1:4">
      <c r="A89" s="43" t="s">
        <v>1617</v>
      </c>
      <c r="B89" s="43" t="s">
        <v>1618</v>
      </c>
      <c r="C89" s="43" t="s">
        <v>1619</v>
      </c>
      <c r="D89" s="43"/>
    </row>
    <row r="90" spans="1:4">
      <c r="A90" s="43" t="s">
        <v>1620</v>
      </c>
      <c r="B90" s="43" t="s">
        <v>1621</v>
      </c>
      <c r="C90" s="43" t="s">
        <v>1622</v>
      </c>
      <c r="D90" s="43"/>
    </row>
    <row r="91" spans="1:4">
      <c r="A91" s="43" t="s">
        <v>1623</v>
      </c>
      <c r="B91" s="43" t="s">
        <v>1624</v>
      </c>
      <c r="C91" s="43" t="s">
        <v>1625</v>
      </c>
      <c r="D91" s="43"/>
    </row>
    <row r="92" spans="1:4">
      <c r="A92" s="43" t="s">
        <v>1626</v>
      </c>
      <c r="B92" s="43" t="s">
        <v>1627</v>
      </c>
      <c r="C92" s="43" t="s">
        <v>1628</v>
      </c>
      <c r="D92" s="43"/>
    </row>
    <row r="93" spans="1:4">
      <c r="A93" s="43" t="s">
        <v>1629</v>
      </c>
      <c r="B93" s="43" t="s">
        <v>1630</v>
      </c>
      <c r="C93" s="43" t="s">
        <v>1631</v>
      </c>
      <c r="D93" s="43"/>
    </row>
    <row r="94" spans="1:4">
      <c r="A94" s="43" t="s">
        <v>1632</v>
      </c>
      <c r="B94" s="43" t="s">
        <v>1633</v>
      </c>
      <c r="C94" s="43" t="s">
        <v>1634</v>
      </c>
      <c r="D94" s="43"/>
    </row>
    <row r="95" spans="1:4">
      <c r="A95" s="43" t="s">
        <v>1635</v>
      </c>
      <c r="B95" s="43" t="s">
        <v>1636</v>
      </c>
      <c r="C95" s="43" t="s">
        <v>1637</v>
      </c>
      <c r="D95" s="43"/>
    </row>
    <row r="96" spans="1:4">
      <c r="A96" s="43" t="s">
        <v>1638</v>
      </c>
      <c r="B96" s="43" t="s">
        <v>1639</v>
      </c>
      <c r="C96" s="43" t="s">
        <v>1640</v>
      </c>
      <c r="D96" s="43"/>
    </row>
    <row r="97" spans="1:4">
      <c r="A97" s="43" t="s">
        <v>1641</v>
      </c>
      <c r="B97" s="43" t="s">
        <v>1642</v>
      </c>
      <c r="C97" s="43" t="s">
        <v>1643</v>
      </c>
      <c r="D97" s="43"/>
    </row>
    <row r="98" spans="1:4">
      <c r="A98" s="43" t="s">
        <v>1644</v>
      </c>
      <c r="B98" s="43" t="s">
        <v>1645</v>
      </c>
      <c r="C98" s="43" t="s">
        <v>1646</v>
      </c>
      <c r="D98" s="43"/>
    </row>
    <row r="99" spans="1:4">
      <c r="A99" s="43" t="s">
        <v>1647</v>
      </c>
      <c r="B99" s="43" t="s">
        <v>1648</v>
      </c>
      <c r="C99" s="43" t="s">
        <v>1649</v>
      </c>
      <c r="D99" s="43"/>
    </row>
    <row r="100" spans="1:4">
      <c r="A100" s="43" t="s">
        <v>1650</v>
      </c>
      <c r="B100" s="43" t="s">
        <v>1651</v>
      </c>
      <c r="C100" s="43" t="s">
        <v>1652</v>
      </c>
      <c r="D100" s="43"/>
    </row>
    <row r="101" spans="1:4">
      <c r="A101" s="43" t="s">
        <v>1653</v>
      </c>
      <c r="B101" s="43" t="s">
        <v>1654</v>
      </c>
      <c r="C101" s="43" t="s">
        <v>1655</v>
      </c>
      <c r="D101" s="43"/>
    </row>
    <row r="102" spans="1:4">
      <c r="A102" s="43" t="s">
        <v>1656</v>
      </c>
      <c r="B102" s="43" t="s">
        <v>1657</v>
      </c>
      <c r="C102" s="43" t="s">
        <v>1658</v>
      </c>
      <c r="D102" s="43"/>
    </row>
    <row r="103" spans="1:4">
      <c r="A103" s="43" t="s">
        <v>1659</v>
      </c>
      <c r="B103" s="43" t="s">
        <v>1660</v>
      </c>
      <c r="C103" s="43" t="s">
        <v>1661</v>
      </c>
      <c r="D103" s="43"/>
    </row>
    <row r="104" spans="1:4">
      <c r="A104" s="43" t="s">
        <v>1662</v>
      </c>
      <c r="B104" s="43" t="s">
        <v>1663</v>
      </c>
      <c r="C104" s="43" t="s">
        <v>1664</v>
      </c>
      <c r="D104" s="43"/>
    </row>
    <row r="105" spans="1:4">
      <c r="A105" s="43" t="s">
        <v>1665</v>
      </c>
      <c r="B105" s="43" t="s">
        <v>1666</v>
      </c>
      <c r="C105" s="43" t="s">
        <v>1667</v>
      </c>
      <c r="D105" s="43"/>
    </row>
    <row r="106" spans="1:4">
      <c r="A106" s="43" t="s">
        <v>1668</v>
      </c>
      <c r="B106" s="43" t="s">
        <v>1669</v>
      </c>
      <c r="C106" s="43" t="s">
        <v>1670</v>
      </c>
      <c r="D106" s="43"/>
    </row>
    <row r="107" spans="1:4">
      <c r="A107" s="43" t="s">
        <v>1671</v>
      </c>
      <c r="B107" s="43" t="s">
        <v>1672</v>
      </c>
      <c r="C107" s="43" t="s">
        <v>1673</v>
      </c>
      <c r="D107" s="43"/>
    </row>
    <row r="108" spans="1:4">
      <c r="A108" s="43" t="s">
        <v>1674</v>
      </c>
      <c r="B108" s="43" t="s">
        <v>1675</v>
      </c>
      <c r="C108" s="43" t="s">
        <v>1676</v>
      </c>
      <c r="D108" s="43"/>
    </row>
    <row r="109" spans="1:4">
      <c r="A109" s="43" t="s">
        <v>1677</v>
      </c>
      <c r="B109" s="43" t="s">
        <v>1678</v>
      </c>
      <c r="C109" s="43" t="s">
        <v>1679</v>
      </c>
      <c r="D109" s="43"/>
    </row>
    <row r="110" spans="1:4">
      <c r="A110" s="43" t="s">
        <v>1680</v>
      </c>
      <c r="B110" s="43" t="s">
        <v>1681</v>
      </c>
      <c r="C110" s="43" t="s">
        <v>1682</v>
      </c>
      <c r="D110" s="43"/>
    </row>
    <row r="111" spans="1:4">
      <c r="A111" s="43" t="s">
        <v>1683</v>
      </c>
      <c r="B111" s="43" t="s">
        <v>1684</v>
      </c>
      <c r="C111" s="43" t="s">
        <v>1685</v>
      </c>
      <c r="D111" s="43"/>
    </row>
    <row r="112" spans="1:4">
      <c r="A112" s="43" t="s">
        <v>1686</v>
      </c>
      <c r="B112" s="43" t="s">
        <v>1687</v>
      </c>
      <c r="C112" s="43" t="s">
        <v>1688</v>
      </c>
      <c r="D112" s="43"/>
    </row>
    <row r="113" spans="1:4">
      <c r="A113" s="43" t="s">
        <v>1689</v>
      </c>
      <c r="B113" s="43" t="s">
        <v>1690</v>
      </c>
      <c r="C113" s="43" t="s">
        <v>1691</v>
      </c>
      <c r="D113" s="43"/>
    </row>
    <row r="114" spans="1:4">
      <c r="A114" s="43" t="s">
        <v>1692</v>
      </c>
      <c r="B114" s="43" t="s">
        <v>1693</v>
      </c>
      <c r="C114" s="43" t="s">
        <v>1694</v>
      </c>
      <c r="D114" s="43"/>
    </row>
    <row r="115" spans="1:4">
      <c r="A115" s="43" t="s">
        <v>1695</v>
      </c>
      <c r="B115" s="43" t="s">
        <v>1696</v>
      </c>
      <c r="C115" s="43" t="s">
        <v>1697</v>
      </c>
      <c r="D115" s="43"/>
    </row>
    <row r="116" spans="1:4">
      <c r="A116" s="43" t="s">
        <v>1698</v>
      </c>
      <c r="B116" s="43" t="s">
        <v>1699</v>
      </c>
      <c r="C116" s="43" t="s">
        <v>1700</v>
      </c>
      <c r="D116" s="43"/>
    </row>
    <row r="117" spans="1:4">
      <c r="A117" s="43" t="s">
        <v>1701</v>
      </c>
      <c r="B117" s="43" t="s">
        <v>1702</v>
      </c>
      <c r="C117" s="43" t="s">
        <v>1703</v>
      </c>
      <c r="D117" s="43"/>
    </row>
    <row r="118" spans="1:4">
      <c r="A118" s="43" t="s">
        <v>1704</v>
      </c>
      <c r="B118" s="43" t="s">
        <v>1705</v>
      </c>
      <c r="C118" s="43" t="s">
        <v>1706</v>
      </c>
      <c r="D118" s="43"/>
    </row>
    <row r="119" spans="1:4">
      <c r="A119" s="43" t="s">
        <v>1707</v>
      </c>
      <c r="B119" s="43" t="s">
        <v>1708</v>
      </c>
      <c r="C119" s="43" t="s">
        <v>1709</v>
      </c>
      <c r="D119" s="43"/>
    </row>
    <row r="120" spans="1:4">
      <c r="A120" s="43" t="s">
        <v>1710</v>
      </c>
      <c r="B120" s="43" t="s">
        <v>1711</v>
      </c>
      <c r="C120" s="43" t="s">
        <v>1712</v>
      </c>
      <c r="D120" s="43"/>
    </row>
    <row r="121" spans="1:4">
      <c r="A121" s="43" t="s">
        <v>1713</v>
      </c>
      <c r="B121" s="43" t="s">
        <v>1714</v>
      </c>
      <c r="C121" s="43" t="s">
        <v>1715</v>
      </c>
      <c r="D121" s="43"/>
    </row>
    <row r="122" spans="1:4">
      <c r="A122" s="43" t="s">
        <v>1716</v>
      </c>
      <c r="B122" s="43" t="s">
        <v>1717</v>
      </c>
      <c r="C122" s="43" t="s">
        <v>1718</v>
      </c>
      <c r="D122" s="43"/>
    </row>
    <row r="123" spans="1:4">
      <c r="A123" s="43" t="s">
        <v>1719</v>
      </c>
      <c r="B123" s="43" t="s">
        <v>1720</v>
      </c>
      <c r="C123" s="43" t="s">
        <v>1721</v>
      </c>
      <c r="D123" s="43"/>
    </row>
    <row r="124" spans="1:4">
      <c r="A124" s="43" t="s">
        <v>1722</v>
      </c>
      <c r="B124" s="43" t="s">
        <v>1723</v>
      </c>
      <c r="C124" s="43" t="s">
        <v>1724</v>
      </c>
      <c r="D124" s="43"/>
    </row>
    <row r="125" spans="1:4">
      <c r="A125" s="43" t="s">
        <v>1725</v>
      </c>
      <c r="B125" s="43" t="s">
        <v>1726</v>
      </c>
      <c r="C125" s="43" t="s">
        <v>1727</v>
      </c>
      <c r="D125" s="43"/>
    </row>
    <row r="126" spans="1:4">
      <c r="A126" s="43" t="s">
        <v>1728</v>
      </c>
      <c r="B126" s="43" t="s">
        <v>1729</v>
      </c>
      <c r="C126" s="43" t="s">
        <v>1730</v>
      </c>
      <c r="D126" s="43"/>
    </row>
    <row r="127" spans="1:4">
      <c r="A127" s="43" t="s">
        <v>1731</v>
      </c>
      <c r="B127" s="43" t="s">
        <v>1732</v>
      </c>
      <c r="C127" s="43" t="s">
        <v>1733</v>
      </c>
      <c r="D127" s="43"/>
    </row>
    <row r="128" spans="1:4">
      <c r="A128" s="43" t="s">
        <v>1734</v>
      </c>
      <c r="B128" s="43" t="s">
        <v>1735</v>
      </c>
      <c r="C128" s="43" t="s">
        <v>1736</v>
      </c>
      <c r="D128" s="43"/>
    </row>
    <row r="129" spans="1:4">
      <c r="A129" s="43" t="s">
        <v>1737</v>
      </c>
      <c r="B129" s="43" t="s">
        <v>1738</v>
      </c>
      <c r="C129" s="43" t="s">
        <v>1739</v>
      </c>
      <c r="D129" s="43"/>
    </row>
    <row r="130" spans="1:4">
      <c r="A130" s="43" t="s">
        <v>1740</v>
      </c>
      <c r="B130" s="43" t="s">
        <v>1741</v>
      </c>
      <c r="C130" s="43" t="s">
        <v>1742</v>
      </c>
      <c r="D130" s="43"/>
    </row>
    <row r="131" spans="1:4">
      <c r="A131" s="43" t="s">
        <v>1743</v>
      </c>
      <c r="B131" s="43" t="s">
        <v>1744</v>
      </c>
      <c r="C131" s="43" t="s">
        <v>1745</v>
      </c>
      <c r="D131" s="43"/>
    </row>
    <row r="132" spans="1:4">
      <c r="A132" s="43" t="s">
        <v>1746</v>
      </c>
      <c r="B132" s="43" t="s">
        <v>1747</v>
      </c>
      <c r="C132" s="43" t="s">
        <v>1748</v>
      </c>
      <c r="D132" s="43"/>
    </row>
    <row r="133" spans="1:4">
      <c r="A133" s="43" t="s">
        <v>1749</v>
      </c>
      <c r="B133" s="43" t="s">
        <v>1750</v>
      </c>
      <c r="C133" s="43" t="s">
        <v>1751</v>
      </c>
      <c r="D133" s="43"/>
    </row>
    <row r="134" spans="1:4">
      <c r="A134" s="43" t="s">
        <v>1752</v>
      </c>
      <c r="B134" s="43" t="s">
        <v>1753</v>
      </c>
      <c r="C134" s="43" t="s">
        <v>1754</v>
      </c>
      <c r="D134" s="43"/>
    </row>
    <row r="135" spans="1:4">
      <c r="A135" s="43" t="s">
        <v>1755</v>
      </c>
      <c r="B135" s="43" t="s">
        <v>1756</v>
      </c>
      <c r="C135" s="43" t="s">
        <v>1757</v>
      </c>
      <c r="D135" s="43"/>
    </row>
    <row r="136" spans="1:4">
      <c r="A136" s="43" t="s">
        <v>1758</v>
      </c>
      <c r="B136" s="43" t="s">
        <v>1759</v>
      </c>
      <c r="C136" s="43" t="s">
        <v>1760</v>
      </c>
      <c r="D136" s="43"/>
    </row>
    <row r="137" spans="1:4">
      <c r="A137" s="43" t="s">
        <v>1761</v>
      </c>
      <c r="B137" s="43" t="s">
        <v>1762</v>
      </c>
      <c r="C137" s="43" t="s">
        <v>1763</v>
      </c>
      <c r="D137" s="43"/>
    </row>
    <row r="138" spans="1:4">
      <c r="A138" s="43" t="s">
        <v>1764</v>
      </c>
      <c r="B138" s="43" t="s">
        <v>1765</v>
      </c>
      <c r="C138" s="43" t="s">
        <v>1766</v>
      </c>
      <c r="D138" s="43"/>
    </row>
    <row r="139" spans="1:4">
      <c r="A139" s="43" t="s">
        <v>1767</v>
      </c>
      <c r="B139" s="43" t="s">
        <v>1768</v>
      </c>
      <c r="C139" s="43" t="s">
        <v>1769</v>
      </c>
      <c r="D139" s="43"/>
    </row>
    <row r="140" spans="1:4">
      <c r="A140" s="43" t="s">
        <v>1770</v>
      </c>
      <c r="B140" s="43" t="s">
        <v>1771</v>
      </c>
      <c r="C140" s="43" t="s">
        <v>1772</v>
      </c>
      <c r="D140" s="43"/>
    </row>
    <row r="141" spans="1:4">
      <c r="A141" s="43" t="s">
        <v>1773</v>
      </c>
      <c r="B141" s="43" t="s">
        <v>1774</v>
      </c>
      <c r="C141" s="43" t="s">
        <v>1775</v>
      </c>
      <c r="D141" s="43"/>
    </row>
    <row r="142" spans="1:4">
      <c r="A142" s="43" t="s">
        <v>1776</v>
      </c>
      <c r="B142" s="43" t="s">
        <v>1777</v>
      </c>
      <c r="C142" s="43" t="s">
        <v>1778</v>
      </c>
      <c r="D142" s="43"/>
    </row>
    <row r="143" spans="1:4">
      <c r="A143" s="43" t="s">
        <v>1779</v>
      </c>
      <c r="B143" s="43" t="s">
        <v>1780</v>
      </c>
      <c r="C143" s="43" t="s">
        <v>1781</v>
      </c>
      <c r="D143" s="43"/>
    </row>
    <row r="144" spans="1:4">
      <c r="A144" s="43" t="s">
        <v>1782</v>
      </c>
      <c r="B144" s="43" t="s">
        <v>1783</v>
      </c>
      <c r="C144" s="43" t="s">
        <v>1784</v>
      </c>
      <c r="D144" s="43"/>
    </row>
    <row r="145" spans="1:4">
      <c r="A145" s="43" t="s">
        <v>1785</v>
      </c>
      <c r="B145" s="43" t="s">
        <v>1786</v>
      </c>
      <c r="C145" s="43" t="s">
        <v>1787</v>
      </c>
      <c r="D145" s="43"/>
    </row>
    <row r="146" spans="1:4">
      <c r="A146" s="43" t="s">
        <v>1788</v>
      </c>
      <c r="B146" s="43" t="s">
        <v>1789</v>
      </c>
      <c r="C146" s="43" t="s">
        <v>1790</v>
      </c>
      <c r="D146" s="43"/>
    </row>
    <row r="147" spans="1:4">
      <c r="A147" s="43" t="s">
        <v>1791</v>
      </c>
      <c r="B147" s="43" t="s">
        <v>1792</v>
      </c>
      <c r="C147" s="43" t="s">
        <v>1793</v>
      </c>
      <c r="D147" s="43"/>
    </row>
    <row r="148" spans="1:4">
      <c r="A148" s="43" t="s">
        <v>1794</v>
      </c>
      <c r="B148" s="43" t="s">
        <v>1795</v>
      </c>
      <c r="C148" s="43" t="s">
        <v>1796</v>
      </c>
      <c r="D148" s="43"/>
    </row>
    <row r="149" spans="1:4">
      <c r="A149" s="43" t="s">
        <v>1797</v>
      </c>
      <c r="B149" s="43" t="s">
        <v>1798</v>
      </c>
      <c r="C149" s="43" t="s">
        <v>1799</v>
      </c>
      <c r="D149" s="43"/>
    </row>
    <row r="150" spans="1:4">
      <c r="A150" s="43" t="s">
        <v>1800</v>
      </c>
      <c r="B150" s="43" t="s">
        <v>1801</v>
      </c>
      <c r="C150" s="43" t="s">
        <v>1802</v>
      </c>
      <c r="D150" s="43"/>
    </row>
    <row r="151" spans="1:4">
      <c r="A151" s="43" t="s">
        <v>1803</v>
      </c>
      <c r="B151" s="43" t="s">
        <v>1804</v>
      </c>
      <c r="C151" s="43" t="s">
        <v>1805</v>
      </c>
      <c r="D151" s="43"/>
    </row>
    <row r="152" spans="1:4">
      <c r="A152" s="43" t="s">
        <v>1806</v>
      </c>
      <c r="B152" s="43" t="s">
        <v>1807</v>
      </c>
      <c r="C152" s="43" t="s">
        <v>1808</v>
      </c>
      <c r="D152" s="43"/>
    </row>
    <row r="153" spans="1:4">
      <c r="A153" s="43" t="s">
        <v>1809</v>
      </c>
      <c r="B153" s="43" t="s">
        <v>1810</v>
      </c>
      <c r="C153" s="43" t="s">
        <v>1811</v>
      </c>
      <c r="D153" s="43"/>
    </row>
    <row r="154" spans="1:4">
      <c r="A154" s="43" t="s">
        <v>1812</v>
      </c>
      <c r="B154" s="43" t="s">
        <v>1813</v>
      </c>
      <c r="C154" s="43" t="s">
        <v>1814</v>
      </c>
      <c r="D154" s="43"/>
    </row>
    <row r="155" spans="1:4">
      <c r="A155" s="43" t="s">
        <v>1815</v>
      </c>
      <c r="B155" s="43" t="s">
        <v>1816</v>
      </c>
      <c r="C155" s="43" t="s">
        <v>1817</v>
      </c>
      <c r="D155" s="43"/>
    </row>
    <row r="156" spans="1:4">
      <c r="A156" s="43" t="s">
        <v>1818</v>
      </c>
      <c r="B156" s="43" t="s">
        <v>1819</v>
      </c>
      <c r="C156" s="43" t="s">
        <v>1820</v>
      </c>
      <c r="D156" s="43"/>
    </row>
    <row r="157" spans="1:4">
      <c r="A157" s="43" t="s">
        <v>1821</v>
      </c>
      <c r="B157" s="43" t="s">
        <v>1822</v>
      </c>
      <c r="C157" s="43" t="s">
        <v>1823</v>
      </c>
      <c r="D157" s="43"/>
    </row>
    <row r="158" spans="1:4">
      <c r="A158" s="43" t="s">
        <v>1824</v>
      </c>
      <c r="B158" s="43" t="s">
        <v>1825</v>
      </c>
      <c r="C158" s="43" t="s">
        <v>1826</v>
      </c>
      <c r="D158" s="43"/>
    </row>
    <row r="159" spans="1:4">
      <c r="A159" s="43" t="s">
        <v>1827</v>
      </c>
      <c r="B159" s="43" t="s">
        <v>1828</v>
      </c>
      <c r="C159" s="43" t="s">
        <v>1829</v>
      </c>
      <c r="D159" s="43"/>
    </row>
    <row r="160" spans="1:4">
      <c r="A160" s="43" t="s">
        <v>1830</v>
      </c>
      <c r="B160" s="43" t="s">
        <v>1831</v>
      </c>
      <c r="C160" s="43" t="s">
        <v>1832</v>
      </c>
      <c r="D160" s="43"/>
    </row>
    <row r="161" spans="1:4">
      <c r="A161" s="43" t="s">
        <v>1833</v>
      </c>
      <c r="B161" s="43" t="s">
        <v>1834</v>
      </c>
      <c r="C161" s="43" t="s">
        <v>1835</v>
      </c>
      <c r="D161" s="43"/>
    </row>
    <row r="162" spans="1:4">
      <c r="A162" s="43" t="s">
        <v>1836</v>
      </c>
      <c r="B162" s="43" t="s">
        <v>1837</v>
      </c>
      <c r="C162" s="43" t="s">
        <v>1838</v>
      </c>
      <c r="D162" s="43"/>
    </row>
    <row r="163" spans="1:4">
      <c r="A163" s="43" t="s">
        <v>1839</v>
      </c>
      <c r="B163" s="43" t="s">
        <v>1840</v>
      </c>
      <c r="C163" s="43" t="s">
        <v>1841</v>
      </c>
      <c r="D163" s="43"/>
    </row>
    <row r="164" spans="1:4">
      <c r="A164" s="43" t="s">
        <v>1842</v>
      </c>
      <c r="B164" s="43" t="s">
        <v>1843</v>
      </c>
      <c r="C164" s="43" t="s">
        <v>1844</v>
      </c>
      <c r="D164" s="43"/>
    </row>
    <row r="165" spans="1:4">
      <c r="A165" s="43" t="s">
        <v>1845</v>
      </c>
      <c r="B165" s="43" t="s">
        <v>1846</v>
      </c>
      <c r="C165" s="43" t="s">
        <v>1847</v>
      </c>
      <c r="D165" s="43"/>
    </row>
    <row r="166" spans="1:4">
      <c r="A166" s="43" t="s">
        <v>1848</v>
      </c>
      <c r="B166" s="43" t="s">
        <v>1849</v>
      </c>
      <c r="C166" s="43" t="s">
        <v>1850</v>
      </c>
      <c r="D166" s="43"/>
    </row>
    <row r="167" spans="1:4">
      <c r="A167" s="43" t="s">
        <v>1851</v>
      </c>
      <c r="B167" s="43" t="s">
        <v>1852</v>
      </c>
      <c r="C167" s="43" t="s">
        <v>1853</v>
      </c>
      <c r="D167" s="43"/>
    </row>
    <row r="168" spans="1:4">
      <c r="A168" s="43" t="s">
        <v>1854</v>
      </c>
      <c r="B168" s="43" t="s">
        <v>1855</v>
      </c>
      <c r="C168" s="43" t="s">
        <v>1856</v>
      </c>
      <c r="D168" s="43"/>
    </row>
    <row r="169" spans="1:4">
      <c r="A169" s="43" t="s">
        <v>1857</v>
      </c>
      <c r="B169" s="43" t="s">
        <v>1858</v>
      </c>
      <c r="C169" s="43" t="s">
        <v>1859</v>
      </c>
      <c r="D169" s="43"/>
    </row>
    <row r="170" spans="1:4">
      <c r="A170" s="43" t="s">
        <v>1860</v>
      </c>
      <c r="B170" s="43" t="s">
        <v>1861</v>
      </c>
      <c r="C170" s="43" t="s">
        <v>1862</v>
      </c>
      <c r="D170" s="43"/>
    </row>
    <row r="171" spans="1:4">
      <c r="A171" s="43" t="s">
        <v>1863</v>
      </c>
      <c r="B171" s="43" t="s">
        <v>1864</v>
      </c>
      <c r="C171" s="43" t="s">
        <v>1865</v>
      </c>
      <c r="D171" s="43"/>
    </row>
    <row r="172" spans="1:4">
      <c r="A172" s="43" t="s">
        <v>1866</v>
      </c>
      <c r="B172" s="43" t="s">
        <v>1867</v>
      </c>
      <c r="C172" s="43" t="s">
        <v>1868</v>
      </c>
      <c r="D172" s="43"/>
    </row>
    <row r="173" spans="1:4">
      <c r="A173" s="43" t="s">
        <v>1869</v>
      </c>
      <c r="B173" s="43" t="s">
        <v>1870</v>
      </c>
      <c r="C173" s="43" t="s">
        <v>1871</v>
      </c>
      <c r="D173" s="43"/>
    </row>
    <row r="174" spans="1:4">
      <c r="A174" s="43" t="s">
        <v>1872</v>
      </c>
      <c r="B174" s="43" t="s">
        <v>1873</v>
      </c>
      <c r="C174" s="43" t="s">
        <v>1874</v>
      </c>
      <c r="D174" s="43"/>
    </row>
    <row r="175" spans="1:4">
      <c r="A175" s="43" t="s">
        <v>1875</v>
      </c>
      <c r="B175" s="43" t="s">
        <v>1876</v>
      </c>
      <c r="C175" s="43" t="s">
        <v>1877</v>
      </c>
      <c r="D175" s="43"/>
    </row>
    <row r="176" spans="1:4">
      <c r="A176" s="43" t="s">
        <v>1878</v>
      </c>
      <c r="B176" s="43" t="s">
        <v>1879</v>
      </c>
      <c r="C176" s="43" t="s">
        <v>1880</v>
      </c>
      <c r="D176" s="43"/>
    </row>
    <row r="177" spans="1:4">
      <c r="A177" s="43" t="s">
        <v>1881</v>
      </c>
      <c r="B177" s="43" t="s">
        <v>1882</v>
      </c>
      <c r="C177" s="43" t="s">
        <v>1883</v>
      </c>
      <c r="D177" s="43"/>
    </row>
    <row r="178" spans="1:4">
      <c r="A178" s="43" t="s">
        <v>1884</v>
      </c>
      <c r="B178" s="43" t="s">
        <v>1885</v>
      </c>
      <c r="C178" s="43" t="s">
        <v>1886</v>
      </c>
      <c r="D178" s="43"/>
    </row>
    <row r="179" spans="1:4">
      <c r="A179" s="43" t="s">
        <v>1887</v>
      </c>
      <c r="B179" s="43" t="s">
        <v>1888</v>
      </c>
      <c r="C179" s="43" t="s">
        <v>1889</v>
      </c>
      <c r="D179" s="43"/>
    </row>
    <row r="180" spans="1:4">
      <c r="A180" s="43" t="s">
        <v>1890</v>
      </c>
      <c r="B180" s="43" t="s">
        <v>1891</v>
      </c>
      <c r="C180" s="43" t="s">
        <v>1892</v>
      </c>
      <c r="D180" s="43"/>
    </row>
    <row r="181" spans="1:4">
      <c r="A181" s="43" t="s">
        <v>1893</v>
      </c>
      <c r="B181" s="43" t="s">
        <v>1894</v>
      </c>
      <c r="C181" s="43" t="s">
        <v>1895</v>
      </c>
      <c r="D181" s="43"/>
    </row>
    <row r="182" spans="1:4">
      <c r="A182" s="43" t="s">
        <v>1896</v>
      </c>
      <c r="B182" s="43" t="s">
        <v>1897</v>
      </c>
      <c r="C182" s="43" t="s">
        <v>1898</v>
      </c>
      <c r="D182" s="43"/>
    </row>
    <row r="183" spans="1:4">
      <c r="A183" s="43" t="s">
        <v>1899</v>
      </c>
      <c r="B183" s="43" t="s">
        <v>1900</v>
      </c>
      <c r="C183" s="43" t="s">
        <v>1901</v>
      </c>
      <c r="D183" s="43"/>
    </row>
    <row r="184" spans="1:4">
      <c r="A184" s="43" t="s">
        <v>1902</v>
      </c>
      <c r="B184" s="43" t="s">
        <v>1903</v>
      </c>
      <c r="C184" s="43" t="s">
        <v>1904</v>
      </c>
      <c r="D184" s="43"/>
    </row>
    <row r="185" spans="1:4">
      <c r="A185" s="43" t="s">
        <v>1905</v>
      </c>
      <c r="B185" s="43" t="s">
        <v>1906</v>
      </c>
      <c r="C185" s="43" t="s">
        <v>1907</v>
      </c>
      <c r="D185" s="43"/>
    </row>
    <row r="186" spans="1:4">
      <c r="A186" s="43" t="s">
        <v>1908</v>
      </c>
      <c r="B186" s="43" t="s">
        <v>1909</v>
      </c>
      <c r="C186" s="43" t="s">
        <v>1910</v>
      </c>
      <c r="D186" s="43"/>
    </row>
    <row r="187" spans="1:4">
      <c r="A187" s="43" t="s">
        <v>1911</v>
      </c>
      <c r="B187" s="43" t="s">
        <v>1912</v>
      </c>
      <c r="C187" s="43" t="s">
        <v>1913</v>
      </c>
      <c r="D187" s="43"/>
    </row>
    <row r="188" spans="1:4">
      <c r="A188" s="43" t="s">
        <v>1914</v>
      </c>
      <c r="B188" s="43" t="s">
        <v>1915</v>
      </c>
      <c r="C188" s="43" t="s">
        <v>1916</v>
      </c>
      <c r="D188" s="43"/>
    </row>
    <row r="189" spans="1:4">
      <c r="A189" s="44" t="s">
        <v>1917</v>
      </c>
      <c r="B189" s="44" t="s">
        <v>1918</v>
      </c>
      <c r="C189" s="44" t="s">
        <v>1919</v>
      </c>
      <c r="D189" s="44"/>
    </row>
  </sheetData>
  <conditionalFormatting sqref="A1:A1048576">
    <cfRule type="duplicateValues" dxfId="2" priority="5"/>
  </conditionalFormatting>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35"/>
  <sheetViews>
    <sheetView zoomScaleNormal="100" workbookViewId="0">
      <selection activeCell="D7" sqref="D7:D35"/>
    </sheetView>
  </sheetViews>
  <sheetFormatPr baseColWidth="10" defaultColWidth="9.109375" defaultRowHeight="14.4"/>
  <cols>
    <col min="1" max="1" width="34.109375" customWidth="1"/>
    <col min="2" max="2" width="35.44140625" customWidth="1"/>
    <col min="3" max="3" width="29.88671875" customWidth="1"/>
    <col min="4" max="4" width="86.33203125" customWidth="1"/>
    <col min="5" max="5" width="24.6640625" customWidth="1"/>
  </cols>
  <sheetData>
    <row r="1" spans="1:5">
      <c r="A1" s="17" t="s">
        <v>0</v>
      </c>
      <c r="B1" s="18" t="s">
        <v>380</v>
      </c>
      <c r="C1" s="19"/>
    </row>
    <row r="2" spans="1:5">
      <c r="A2" s="17" t="s">
        <v>2</v>
      </c>
      <c r="B2" s="18" t="s">
        <v>1183</v>
      </c>
      <c r="C2" s="19"/>
    </row>
    <row r="3" spans="1:5">
      <c r="A3" s="17" t="s">
        <v>4</v>
      </c>
      <c r="B3" s="18" t="s">
        <v>1920</v>
      </c>
      <c r="C3" s="19"/>
    </row>
    <row r="4" spans="1:5">
      <c r="A4" s="17" t="s">
        <v>6</v>
      </c>
      <c r="B4" s="18" t="s">
        <v>1141</v>
      </c>
      <c r="C4" s="20"/>
    </row>
    <row r="5" spans="1:5">
      <c r="A5" s="17" t="s">
        <v>8</v>
      </c>
      <c r="B5" s="18" t="s">
        <v>1921</v>
      </c>
      <c r="C5" s="20"/>
    </row>
    <row r="6" spans="1:5">
      <c r="A6" s="21" t="s">
        <v>10</v>
      </c>
      <c r="B6" s="21" t="s">
        <v>11</v>
      </c>
      <c r="C6" s="21" t="s">
        <v>12</v>
      </c>
      <c r="D6" s="21" t="s">
        <v>8</v>
      </c>
      <c r="E6" s="21" t="s">
        <v>14</v>
      </c>
    </row>
    <row r="7" spans="1:5" s="25" customFormat="1" ht="30" customHeight="1">
      <c r="A7" s="25" t="s">
        <v>1922</v>
      </c>
      <c r="B7" s="25" t="s">
        <v>1923</v>
      </c>
      <c r="D7" s="22" t="s">
        <v>1924</v>
      </c>
      <c r="E7" s="23"/>
    </row>
    <row r="8" spans="1:5" s="25" customFormat="1" ht="45" customHeight="1">
      <c r="A8" s="25" t="s">
        <v>1925</v>
      </c>
      <c r="B8" s="25" t="s">
        <v>1926</v>
      </c>
      <c r="D8" s="22" t="s">
        <v>1927</v>
      </c>
      <c r="E8" s="23"/>
    </row>
    <row r="9" spans="1:5" s="25" customFormat="1" ht="30" customHeight="1">
      <c r="A9" s="25" t="s">
        <v>1928</v>
      </c>
      <c r="B9" s="25" t="s">
        <v>1929</v>
      </c>
      <c r="D9" s="22" t="s">
        <v>1930</v>
      </c>
      <c r="E9" s="23"/>
    </row>
    <row r="10" spans="1:5" s="25" customFormat="1" ht="30" customHeight="1">
      <c r="A10" s="25" t="s">
        <v>1931</v>
      </c>
      <c r="B10" s="25" t="s">
        <v>1932</v>
      </c>
      <c r="D10" s="22" t="s">
        <v>1933</v>
      </c>
      <c r="E10" s="23"/>
    </row>
    <row r="11" spans="1:5" s="25" customFormat="1" ht="30" customHeight="1">
      <c r="A11" s="25" t="s">
        <v>1934</v>
      </c>
      <c r="B11" s="25" t="s">
        <v>1935</v>
      </c>
      <c r="D11" s="22" t="s">
        <v>1936</v>
      </c>
      <c r="E11" s="23"/>
    </row>
    <row r="12" spans="1:5" s="25" customFormat="1" ht="30" customHeight="1">
      <c r="A12" s="25" t="s">
        <v>1937</v>
      </c>
      <c r="C12" s="25" t="s">
        <v>1938</v>
      </c>
      <c r="D12" s="22" t="s">
        <v>1939</v>
      </c>
      <c r="E12" s="23"/>
    </row>
    <row r="13" spans="1:5" s="25" customFormat="1">
      <c r="A13" s="25" t="s">
        <v>1940</v>
      </c>
      <c r="C13" s="25" t="s">
        <v>1941</v>
      </c>
      <c r="D13" s="22" t="s">
        <v>1942</v>
      </c>
      <c r="E13" s="23"/>
    </row>
    <row r="14" spans="1:5" s="25" customFormat="1" ht="30" customHeight="1">
      <c r="A14" s="25" t="s">
        <v>1943</v>
      </c>
      <c r="B14" s="25" t="s">
        <v>1944</v>
      </c>
      <c r="D14" s="22" t="s">
        <v>1945</v>
      </c>
      <c r="E14" s="23"/>
    </row>
    <row r="15" spans="1:5" s="25" customFormat="1" ht="30" customHeight="1">
      <c r="A15" s="25" t="s">
        <v>1946</v>
      </c>
      <c r="B15" s="25" t="s">
        <v>1947</v>
      </c>
      <c r="D15" s="22" t="s">
        <v>1948</v>
      </c>
      <c r="E15" s="23"/>
    </row>
    <row r="16" spans="1:5" s="25" customFormat="1" ht="30" customHeight="1">
      <c r="A16" s="25" t="s">
        <v>1949</v>
      </c>
      <c r="C16" s="25" t="s">
        <v>1950</v>
      </c>
      <c r="D16" s="22" t="s">
        <v>1951</v>
      </c>
      <c r="E16" s="23"/>
    </row>
    <row r="17" spans="1:5" s="25" customFormat="1" ht="45" customHeight="1">
      <c r="A17" s="25" t="s">
        <v>1952</v>
      </c>
      <c r="C17" s="25" t="s">
        <v>1953</v>
      </c>
      <c r="D17" s="22" t="s">
        <v>1954</v>
      </c>
      <c r="E17" s="23"/>
    </row>
    <row r="18" spans="1:5" s="25" customFormat="1" ht="60" customHeight="1">
      <c r="A18" s="25" t="s">
        <v>1955</v>
      </c>
      <c r="C18" s="25" t="s">
        <v>1956</v>
      </c>
      <c r="D18" s="22" t="s">
        <v>1957</v>
      </c>
      <c r="E18" s="23"/>
    </row>
    <row r="19" spans="1:5" s="25" customFormat="1" ht="45" customHeight="1">
      <c r="A19" s="25" t="s">
        <v>1958</v>
      </c>
      <c r="B19" s="25" t="s">
        <v>1959</v>
      </c>
      <c r="D19" s="22" t="s">
        <v>1960</v>
      </c>
      <c r="E19" s="23"/>
    </row>
    <row r="20" spans="1:5" s="25" customFormat="1" ht="30" customHeight="1">
      <c r="A20" s="25" t="s">
        <v>1961</v>
      </c>
      <c r="C20" s="25" t="s">
        <v>1962</v>
      </c>
      <c r="D20" s="22" t="s">
        <v>1963</v>
      </c>
      <c r="E20" s="23"/>
    </row>
    <row r="21" spans="1:5" s="25" customFormat="1" ht="30" customHeight="1">
      <c r="A21" s="25" t="s">
        <v>1964</v>
      </c>
      <c r="C21" s="25" t="s">
        <v>1965</v>
      </c>
      <c r="D21" s="22" t="s">
        <v>1966</v>
      </c>
      <c r="E21" s="23"/>
    </row>
    <row r="22" spans="1:5" s="25" customFormat="1" ht="30" customHeight="1">
      <c r="A22" s="25" t="s">
        <v>1967</v>
      </c>
      <c r="C22" s="25" t="s">
        <v>1968</v>
      </c>
      <c r="D22" s="22" t="s">
        <v>1969</v>
      </c>
      <c r="E22" s="23"/>
    </row>
    <row r="23" spans="1:5" s="25" customFormat="1" ht="30" customHeight="1">
      <c r="A23" s="25" t="s">
        <v>1970</v>
      </c>
      <c r="C23" s="25" t="s">
        <v>1971</v>
      </c>
      <c r="D23" s="22" t="s">
        <v>1972</v>
      </c>
      <c r="E23" s="23"/>
    </row>
    <row r="24" spans="1:5" s="25" customFormat="1" ht="30" customHeight="1">
      <c r="A24" s="25" t="s">
        <v>1973</v>
      </c>
      <c r="C24" s="25" t="s">
        <v>1974</v>
      </c>
      <c r="D24" s="22" t="s">
        <v>1975</v>
      </c>
      <c r="E24" s="23"/>
    </row>
    <row r="25" spans="1:5" s="25" customFormat="1" ht="30" customHeight="1">
      <c r="A25" s="25" t="s">
        <v>1976</v>
      </c>
      <c r="C25" s="25" t="s">
        <v>1977</v>
      </c>
      <c r="D25" s="22" t="s">
        <v>1978</v>
      </c>
      <c r="E25" s="23"/>
    </row>
    <row r="26" spans="1:5" s="25" customFormat="1" ht="30" customHeight="1">
      <c r="A26" s="25" t="s">
        <v>1979</v>
      </c>
      <c r="C26" s="25" t="s">
        <v>1980</v>
      </c>
      <c r="D26" s="22" t="s">
        <v>1981</v>
      </c>
      <c r="E26" s="23"/>
    </row>
    <row r="27" spans="1:5" s="25" customFormat="1" ht="30" customHeight="1">
      <c r="A27" s="25" t="s">
        <v>1982</v>
      </c>
      <c r="B27" s="25" t="s">
        <v>1983</v>
      </c>
      <c r="D27" s="22" t="s">
        <v>1984</v>
      </c>
      <c r="E27" s="23"/>
    </row>
    <row r="28" spans="1:5" s="25" customFormat="1">
      <c r="A28" s="25" t="s">
        <v>1985</v>
      </c>
      <c r="C28" s="25" t="s">
        <v>1986</v>
      </c>
      <c r="D28" s="22"/>
      <c r="E28" s="23"/>
    </row>
    <row r="29" spans="1:5" s="25" customFormat="1">
      <c r="A29" s="25" t="s">
        <v>1987</v>
      </c>
      <c r="C29" s="25" t="s">
        <v>1988</v>
      </c>
      <c r="D29" s="22"/>
      <c r="E29" s="23"/>
    </row>
    <row r="30" spans="1:5" s="25" customFormat="1">
      <c r="A30" s="25" t="s">
        <v>1989</v>
      </c>
      <c r="C30" s="25" t="s">
        <v>1990</v>
      </c>
      <c r="D30" s="22"/>
      <c r="E30" s="23"/>
    </row>
    <row r="31" spans="1:5" s="25" customFormat="1" ht="30" customHeight="1">
      <c r="A31" s="25" t="s">
        <v>1991</v>
      </c>
      <c r="B31" s="25" t="s">
        <v>1992</v>
      </c>
      <c r="D31" s="22" t="s">
        <v>1993</v>
      </c>
      <c r="E31" s="23"/>
    </row>
    <row r="32" spans="1:5" s="25" customFormat="1">
      <c r="A32" s="25" t="s">
        <v>1994</v>
      </c>
      <c r="B32" s="25" t="s">
        <v>1994</v>
      </c>
      <c r="D32" s="62" t="s">
        <v>1995</v>
      </c>
      <c r="E32" s="23"/>
    </row>
    <row r="33" spans="1:5" s="25" customFormat="1" ht="30" customHeight="1">
      <c r="A33" s="25" t="s">
        <v>1996</v>
      </c>
      <c r="B33" s="25" t="s">
        <v>1997</v>
      </c>
      <c r="D33" s="22" t="s">
        <v>1998</v>
      </c>
      <c r="E33" s="23"/>
    </row>
    <row r="34" spans="1:5" s="25" customFormat="1">
      <c r="A34" s="25" t="s">
        <v>511</v>
      </c>
      <c r="B34" s="25" t="s">
        <v>1999</v>
      </c>
      <c r="D34" s="22" t="s">
        <v>2000</v>
      </c>
      <c r="E34" s="23"/>
    </row>
    <row r="35" spans="1:5" s="25" customFormat="1">
      <c r="A35" s="25" t="s">
        <v>1174</v>
      </c>
      <c r="B35" s="25" t="s">
        <v>2001</v>
      </c>
      <c r="D35" s="22" t="s">
        <v>2002</v>
      </c>
      <c r="E35" s="23"/>
    </row>
  </sheetData>
  <pageMargins left="0.7" right="0.7" top="0.75" bottom="0.75" header="0.511811023622047" footer="0.511811023622047"/>
  <pageSetup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7"/>
  <sheetViews>
    <sheetView zoomScaleNormal="100" workbookViewId="0">
      <selection activeCell="B7" sqref="B7:E15"/>
    </sheetView>
  </sheetViews>
  <sheetFormatPr baseColWidth="10" defaultColWidth="9.109375" defaultRowHeight="14.4"/>
  <cols>
    <col min="1" max="1" width="34.109375" customWidth="1"/>
    <col min="2" max="4" width="26.33203125" customWidth="1"/>
    <col min="5" max="5" width="89" customWidth="1"/>
    <col min="6" max="6" width="24.6640625" customWidth="1"/>
  </cols>
  <sheetData>
    <row r="1" spans="1:6">
      <c r="A1" s="17" t="s">
        <v>0</v>
      </c>
      <c r="B1" s="18" t="s">
        <v>382</v>
      </c>
      <c r="C1" s="19"/>
      <c r="D1" s="19"/>
    </row>
    <row r="2" spans="1:6">
      <c r="A2" s="17" t="s">
        <v>2</v>
      </c>
      <c r="B2" s="18" t="s">
        <v>1183</v>
      </c>
      <c r="C2" s="19"/>
      <c r="D2" s="19"/>
    </row>
    <row r="3" spans="1:6">
      <c r="A3" s="17" t="s">
        <v>4</v>
      </c>
      <c r="B3" s="18" t="s">
        <v>2003</v>
      </c>
      <c r="C3" s="19"/>
      <c r="D3" s="19"/>
    </row>
    <row r="4" spans="1:6">
      <c r="A4" s="17" t="s">
        <v>6</v>
      </c>
      <c r="B4" s="18" t="s">
        <v>429</v>
      </c>
      <c r="C4" s="20"/>
      <c r="D4" s="20"/>
    </row>
    <row r="5" spans="1:6">
      <c r="A5" s="17" t="s">
        <v>8</v>
      </c>
      <c r="B5" s="18" t="s">
        <v>2004</v>
      </c>
      <c r="C5" s="20"/>
      <c r="D5" s="20"/>
    </row>
    <row r="6" spans="1:6">
      <c r="A6" s="21" t="s">
        <v>10</v>
      </c>
      <c r="B6" s="21" t="s">
        <v>11</v>
      </c>
      <c r="C6" s="21" t="s">
        <v>12</v>
      </c>
      <c r="D6" s="21" t="s">
        <v>13</v>
      </c>
      <c r="E6" s="21" t="s">
        <v>8</v>
      </c>
      <c r="F6" s="21" t="s">
        <v>14</v>
      </c>
    </row>
    <row r="7" spans="1:6" ht="30" customHeight="1">
      <c r="A7" s="38" t="s">
        <v>2005</v>
      </c>
      <c r="B7" s="38" t="s">
        <v>2006</v>
      </c>
      <c r="C7" s="38"/>
      <c r="D7" s="38"/>
      <c r="E7" s="45" t="s">
        <v>2007</v>
      </c>
    </row>
    <row r="8" spans="1:6" ht="45" customHeight="1">
      <c r="A8" s="38" t="s">
        <v>2008</v>
      </c>
      <c r="B8" s="38" t="s">
        <v>2009</v>
      </c>
      <c r="C8" s="38"/>
      <c r="D8" s="38"/>
      <c r="E8" s="45" t="s">
        <v>2010</v>
      </c>
    </row>
    <row r="9" spans="1:6" ht="45" customHeight="1">
      <c r="A9" s="38" t="s">
        <v>2011</v>
      </c>
      <c r="B9" s="38" t="s">
        <v>2012</v>
      </c>
      <c r="C9" s="38"/>
      <c r="D9" s="38"/>
      <c r="E9" s="45" t="s">
        <v>2013</v>
      </c>
    </row>
    <row r="10" spans="1:6" ht="30" customHeight="1">
      <c r="A10" s="38" t="s">
        <v>1369</v>
      </c>
      <c r="B10" s="38" t="s">
        <v>2014</v>
      </c>
      <c r="C10" s="38"/>
      <c r="D10" s="38"/>
      <c r="E10" s="45" t="s">
        <v>2015</v>
      </c>
    </row>
    <row r="11" spans="1:6" ht="45" customHeight="1">
      <c r="A11" s="38" t="s">
        <v>2016</v>
      </c>
      <c r="B11" s="38" t="s">
        <v>2017</v>
      </c>
      <c r="C11" s="38"/>
      <c r="D11" s="38"/>
      <c r="E11" s="45" t="s">
        <v>2018</v>
      </c>
    </row>
    <row r="12" spans="1:6" ht="30" customHeight="1">
      <c r="A12" s="38" t="s">
        <v>2019</v>
      </c>
      <c r="B12" s="38" t="s">
        <v>2020</v>
      </c>
      <c r="C12" s="38"/>
      <c r="D12" s="38"/>
      <c r="E12" s="45" t="s">
        <v>2021</v>
      </c>
    </row>
    <row r="13" spans="1:6" ht="30" customHeight="1">
      <c r="A13" s="38" t="s">
        <v>2022</v>
      </c>
      <c r="B13" s="38" t="s">
        <v>2023</v>
      </c>
      <c r="C13" s="38"/>
      <c r="D13" s="38"/>
      <c r="E13" s="45" t="s">
        <v>2024</v>
      </c>
    </row>
    <row r="14" spans="1:6" ht="45" customHeight="1">
      <c r="A14" s="38" t="s">
        <v>511</v>
      </c>
      <c r="B14" s="38" t="s">
        <v>2025</v>
      </c>
      <c r="C14" s="38"/>
      <c r="D14" s="38"/>
      <c r="E14" s="45" t="s">
        <v>2026</v>
      </c>
    </row>
    <row r="15" spans="1:6" ht="30" customHeight="1">
      <c r="A15" s="38" t="s">
        <v>2027</v>
      </c>
      <c r="B15" s="38" t="s">
        <v>2028</v>
      </c>
      <c r="C15" s="38"/>
      <c r="D15" s="38"/>
      <c r="E15" s="45" t="s">
        <v>2029</v>
      </c>
    </row>
    <row r="16" spans="1:6">
      <c r="A16" s="46"/>
      <c r="B16" s="46"/>
      <c r="C16" s="46"/>
      <c r="D16" s="46"/>
      <c r="E16" s="24"/>
    </row>
    <row r="17" spans="1:5">
      <c r="A17" s="46"/>
      <c r="B17" s="46"/>
      <c r="C17" s="46"/>
      <c r="D17" s="46"/>
      <c r="E17" s="24"/>
    </row>
    <row r="18" spans="1:5">
      <c r="A18" s="46"/>
      <c r="B18" s="46"/>
      <c r="C18" s="46"/>
      <c r="D18" s="46"/>
      <c r="E18" s="24"/>
    </row>
    <row r="19" spans="1:5">
      <c r="A19" s="46"/>
      <c r="B19" s="46"/>
      <c r="C19" s="46"/>
      <c r="D19" s="46"/>
      <c r="E19" s="24"/>
    </row>
    <row r="20" spans="1:5">
      <c r="A20" s="46"/>
      <c r="B20" s="46"/>
      <c r="C20" s="46"/>
      <c r="D20" s="46"/>
      <c r="E20" s="24"/>
    </row>
    <row r="21" spans="1:5">
      <c r="A21" s="46"/>
      <c r="B21" s="46"/>
      <c r="C21" s="46"/>
      <c r="D21" s="46"/>
      <c r="E21" s="24"/>
    </row>
    <row r="22" spans="1:5">
      <c r="A22" s="46"/>
      <c r="B22" s="46"/>
      <c r="C22" s="46"/>
      <c r="D22" s="46"/>
      <c r="E22" s="24"/>
    </row>
    <row r="23" spans="1:5">
      <c r="A23" s="46"/>
      <c r="B23" s="46"/>
      <c r="C23" s="46"/>
      <c r="D23" s="46"/>
      <c r="E23" s="24"/>
    </row>
    <row r="24" spans="1:5">
      <c r="A24" s="46"/>
      <c r="B24" s="46"/>
      <c r="C24" s="46"/>
      <c r="D24" s="46"/>
      <c r="E24" s="24"/>
    </row>
    <row r="25" spans="1:5">
      <c r="A25" s="46"/>
      <c r="B25" s="46"/>
      <c r="C25" s="46"/>
      <c r="D25" s="46"/>
      <c r="E25" s="24"/>
    </row>
    <row r="26" spans="1:5">
      <c r="A26" s="46"/>
      <c r="B26" s="46"/>
      <c r="C26" s="46"/>
      <c r="D26" s="46"/>
      <c r="E26" s="24"/>
    </row>
    <row r="27" spans="1:5">
      <c r="A27" s="46"/>
      <c r="B27" s="46"/>
      <c r="C27" s="46"/>
      <c r="D27" s="46"/>
      <c r="E27" s="24"/>
    </row>
  </sheetData>
  <pageMargins left="0.7" right="0.7" top="0.75" bottom="0.75" header="0.511811023622047" footer="0.511811023622047"/>
  <pageSetup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8"/>
  <sheetViews>
    <sheetView zoomScaleNormal="100" workbookViewId="0">
      <selection activeCell="D7" sqref="D7:D11"/>
    </sheetView>
  </sheetViews>
  <sheetFormatPr baseColWidth="10" defaultColWidth="8.6640625" defaultRowHeight="14.4"/>
  <cols>
    <col min="1" max="1" width="21.44140625" customWidth="1"/>
    <col min="2" max="3" width="15.44140625" customWidth="1"/>
    <col min="4" max="4" width="12.109375" customWidth="1"/>
    <col min="5" max="5" width="42.44140625" customWidth="1"/>
  </cols>
  <sheetData>
    <row r="1" spans="1:5">
      <c r="A1" s="17" t="s">
        <v>0</v>
      </c>
      <c r="B1" s="18" t="s">
        <v>384</v>
      </c>
      <c r="C1" s="19"/>
    </row>
    <row r="2" spans="1:5">
      <c r="A2" s="17" t="s">
        <v>2</v>
      </c>
      <c r="B2" s="18" t="s">
        <v>427</v>
      </c>
      <c r="C2" s="19"/>
    </row>
    <row r="3" spans="1:5">
      <c r="A3" s="17" t="s">
        <v>4</v>
      </c>
      <c r="B3" s="18" t="s">
        <v>2030</v>
      </c>
      <c r="C3" s="19"/>
    </row>
    <row r="4" spans="1:5">
      <c r="A4" s="17" t="s">
        <v>6</v>
      </c>
      <c r="B4" s="18" t="s">
        <v>429</v>
      </c>
      <c r="C4" s="20"/>
    </row>
    <row r="5" spans="1:5">
      <c r="A5" s="17" t="s">
        <v>8</v>
      </c>
      <c r="B5" s="18" t="s">
        <v>2031</v>
      </c>
      <c r="C5" s="20"/>
    </row>
    <row r="6" spans="1:5">
      <c r="A6" s="21" t="s">
        <v>10</v>
      </c>
      <c r="B6" s="21" t="s">
        <v>11</v>
      </c>
      <c r="C6" s="21" t="s">
        <v>12</v>
      </c>
      <c r="D6" s="21" t="s">
        <v>8</v>
      </c>
      <c r="E6" s="21" t="s">
        <v>14</v>
      </c>
    </row>
    <row r="7" spans="1:5" s="25" customFormat="1">
      <c r="A7" t="s">
        <v>2032</v>
      </c>
      <c r="B7" t="s">
        <v>2032</v>
      </c>
      <c r="C7" s="23"/>
      <c r="D7" s="38" t="s">
        <v>2033</v>
      </c>
    </row>
    <row r="8" spans="1:5" s="25" customFormat="1">
      <c r="A8" t="s">
        <v>2034</v>
      </c>
      <c r="B8" t="s">
        <v>2034</v>
      </c>
      <c r="C8" s="23"/>
      <c r="D8" s="38" t="s">
        <v>2035</v>
      </c>
    </row>
    <row r="9" spans="1:5" s="25" customFormat="1">
      <c r="A9" t="s">
        <v>2036</v>
      </c>
      <c r="B9" t="s">
        <v>2036</v>
      </c>
      <c r="C9" s="23"/>
      <c r="D9" s="38" t="s">
        <v>2037</v>
      </c>
    </row>
    <row r="10" spans="1:5" s="25" customFormat="1">
      <c r="A10" t="s">
        <v>2038</v>
      </c>
      <c r="B10" t="s">
        <v>2038</v>
      </c>
      <c r="C10" s="23"/>
      <c r="D10" s="38" t="s">
        <v>2039</v>
      </c>
    </row>
    <row r="11" spans="1:5" s="25" customFormat="1">
      <c r="A11" t="s">
        <v>511</v>
      </c>
      <c r="B11" t="s">
        <v>511</v>
      </c>
      <c r="C11" s="23"/>
      <c r="D11" s="38" t="s">
        <v>2040</v>
      </c>
    </row>
    <row r="12" spans="1:5" s="25" customFormat="1">
      <c r="C12" s="23"/>
    </row>
    <row r="13" spans="1:5" s="25" customFormat="1">
      <c r="C13" s="23"/>
    </row>
    <row r="14" spans="1:5" s="25" customFormat="1">
      <c r="C14" s="23"/>
    </row>
    <row r="15" spans="1:5" s="25" customFormat="1">
      <c r="C15" s="23"/>
    </row>
    <row r="18" s="30" customFormat="1"/>
  </sheetData>
  <pageMargins left="0.7" right="0.7" top="0.75" bottom="0.75" header="0.511811023622047" footer="0.511811023622047"/>
  <pageSetup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0"/>
  <sheetViews>
    <sheetView zoomScaleNormal="100" workbookViewId="0">
      <selection activeCell="E7" sqref="E7:E10"/>
    </sheetView>
  </sheetViews>
  <sheetFormatPr baseColWidth="10" defaultColWidth="11.44140625" defaultRowHeight="14.4"/>
  <cols>
    <col min="1" max="1" width="21.44140625" customWidth="1"/>
    <col min="2" max="2" width="30.44140625" customWidth="1"/>
    <col min="3" max="4" width="13.33203125" customWidth="1"/>
    <col min="5" max="5" width="53.33203125" customWidth="1"/>
    <col min="6" max="6" width="61.88671875" customWidth="1"/>
  </cols>
  <sheetData>
    <row r="1" spans="1:6">
      <c r="A1" s="17" t="s">
        <v>0</v>
      </c>
      <c r="B1" s="18" t="s">
        <v>387</v>
      </c>
      <c r="C1" s="19"/>
      <c r="D1" s="19"/>
    </row>
    <row r="2" spans="1:6">
      <c r="A2" s="17" t="s">
        <v>2</v>
      </c>
      <c r="B2" s="18" t="s">
        <v>2041</v>
      </c>
      <c r="C2" s="19"/>
      <c r="D2" s="19"/>
    </row>
    <row r="3" spans="1:6">
      <c r="A3" s="17" t="s">
        <v>4</v>
      </c>
      <c r="B3" s="18" t="s">
        <v>2042</v>
      </c>
      <c r="C3" s="19"/>
      <c r="D3" s="19"/>
    </row>
    <row r="4" spans="1:6">
      <c r="A4" s="17" t="s">
        <v>6</v>
      </c>
      <c r="B4" s="18" t="s">
        <v>429</v>
      </c>
      <c r="C4" s="20"/>
      <c r="D4" s="20"/>
    </row>
    <row r="5" spans="1:6">
      <c r="A5" s="17" t="s">
        <v>8</v>
      </c>
      <c r="B5" s="18" t="s">
        <v>2043</v>
      </c>
      <c r="C5" s="20"/>
      <c r="D5" s="20"/>
    </row>
    <row r="6" spans="1:6">
      <c r="A6" s="21" t="s">
        <v>10</v>
      </c>
      <c r="B6" s="21" t="s">
        <v>11</v>
      </c>
      <c r="C6" s="21" t="s">
        <v>12</v>
      </c>
      <c r="D6" s="21" t="s">
        <v>13</v>
      </c>
      <c r="E6" s="21" t="s">
        <v>8</v>
      </c>
      <c r="F6" s="21" t="s">
        <v>14</v>
      </c>
    </row>
    <row r="7" spans="1:6">
      <c r="A7" s="2" t="s">
        <v>2044</v>
      </c>
      <c r="B7" s="2" t="s">
        <v>2045</v>
      </c>
      <c r="E7" s="2" t="s">
        <v>2046</v>
      </c>
    </row>
    <row r="8" spans="1:6">
      <c r="A8" s="2" t="s">
        <v>2047</v>
      </c>
      <c r="B8" s="2" t="s">
        <v>2048</v>
      </c>
      <c r="E8" s="2" t="s">
        <v>2049</v>
      </c>
    </row>
    <row r="9" spans="1:6">
      <c r="A9" s="2" t="s">
        <v>2050</v>
      </c>
      <c r="B9" s="2" t="s">
        <v>2051</v>
      </c>
      <c r="E9" s="2" t="s">
        <v>2052</v>
      </c>
    </row>
    <row r="10" spans="1:6">
      <c r="A10" s="2" t="s">
        <v>2053</v>
      </c>
      <c r="B10" s="2" t="s">
        <v>2054</v>
      </c>
      <c r="E10" s="2" t="s">
        <v>2055</v>
      </c>
    </row>
  </sheetData>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2"/>
  <sheetViews>
    <sheetView zoomScaleNormal="100" workbookViewId="0">
      <selection activeCell="B7" sqref="B7:E10"/>
    </sheetView>
  </sheetViews>
  <sheetFormatPr baseColWidth="10" defaultColWidth="8.6640625" defaultRowHeight="14.4"/>
  <cols>
    <col min="1" max="1" width="21.44140625" customWidth="1"/>
    <col min="2" max="2" width="18.109375" customWidth="1"/>
    <col min="3" max="3" width="18.33203125" customWidth="1"/>
    <col min="4" max="4" width="13.33203125" customWidth="1"/>
    <col min="5" max="5" width="170.6640625" customWidth="1"/>
    <col min="6" max="6" width="26.109375" customWidth="1"/>
  </cols>
  <sheetData>
    <row r="1" spans="1:6">
      <c r="A1" s="17" t="s">
        <v>0</v>
      </c>
      <c r="B1" s="18" t="s">
        <v>389</v>
      </c>
      <c r="C1" s="19"/>
      <c r="D1" s="19"/>
    </row>
    <row r="2" spans="1:6">
      <c r="A2" s="17" t="s">
        <v>2</v>
      </c>
      <c r="B2" s="18" t="s">
        <v>1183</v>
      </c>
      <c r="C2" s="19"/>
      <c r="D2" s="19"/>
    </row>
    <row r="3" spans="1:6">
      <c r="A3" s="17" t="s">
        <v>4</v>
      </c>
      <c r="B3" s="18" t="s">
        <v>2056</v>
      </c>
      <c r="C3" s="19"/>
      <c r="D3" s="19"/>
    </row>
    <row r="4" spans="1:6">
      <c r="A4" s="17" t="s">
        <v>6</v>
      </c>
      <c r="B4" s="18" t="s">
        <v>429</v>
      </c>
      <c r="C4" s="20"/>
      <c r="D4" s="20"/>
    </row>
    <row r="5" spans="1:6">
      <c r="A5" s="17" t="s">
        <v>8</v>
      </c>
      <c r="B5" s="18" t="s">
        <v>2057</v>
      </c>
      <c r="C5" s="20"/>
      <c r="D5" s="20"/>
    </row>
    <row r="6" spans="1:6">
      <c r="A6" s="21" t="s">
        <v>10</v>
      </c>
      <c r="B6" s="21" t="s">
        <v>11</v>
      </c>
      <c r="C6" s="21" t="s">
        <v>12</v>
      </c>
      <c r="D6" s="21" t="s">
        <v>13</v>
      </c>
      <c r="E6" s="21" t="s">
        <v>8</v>
      </c>
      <c r="F6" s="21" t="s">
        <v>14</v>
      </c>
    </row>
    <row r="7" spans="1:6">
      <c r="A7" s="38" t="s">
        <v>2058</v>
      </c>
      <c r="B7" s="26" t="s">
        <v>2059</v>
      </c>
      <c r="C7" s="38"/>
      <c r="D7" s="38"/>
      <c r="E7" s="2" t="s">
        <v>2060</v>
      </c>
      <c r="F7" s="38"/>
    </row>
    <row r="8" spans="1:6">
      <c r="A8" s="38" t="s">
        <v>2061</v>
      </c>
      <c r="B8" s="26" t="s">
        <v>2062</v>
      </c>
      <c r="C8" s="38"/>
      <c r="D8" s="38"/>
      <c r="E8" s="2" t="s">
        <v>2063</v>
      </c>
      <c r="F8" s="38"/>
    </row>
    <row r="9" spans="1:6">
      <c r="A9" s="38" t="s">
        <v>2064</v>
      </c>
      <c r="B9" s="26" t="s">
        <v>2065</v>
      </c>
      <c r="C9" s="38"/>
      <c r="D9" s="38"/>
      <c r="E9" s="2" t="s">
        <v>2066</v>
      </c>
      <c r="F9" s="38"/>
    </row>
    <row r="10" spans="1:6">
      <c r="A10" s="38" t="s">
        <v>2067</v>
      </c>
      <c r="B10" s="26" t="s">
        <v>2068</v>
      </c>
      <c r="C10" s="38"/>
      <c r="D10" s="38"/>
      <c r="E10" s="2" t="s">
        <v>2069</v>
      </c>
      <c r="F10" s="38"/>
    </row>
    <row r="11" spans="1:6">
      <c r="A11" s="38"/>
      <c r="B11" s="38"/>
      <c r="C11" s="38"/>
      <c r="D11" s="38"/>
      <c r="E11" s="38"/>
      <c r="F11" s="38"/>
    </row>
    <row r="12" spans="1:6">
      <c r="A12" s="38"/>
      <c r="B12" s="38"/>
      <c r="C12" s="38"/>
      <c r="D12" s="38"/>
      <c r="E12" s="38"/>
      <c r="F12" s="38"/>
    </row>
    <row r="13" spans="1:6">
      <c r="A13" s="38"/>
      <c r="B13" s="38"/>
      <c r="C13" s="38"/>
      <c r="D13" s="38"/>
      <c r="E13" s="38"/>
      <c r="F13" s="38"/>
    </row>
    <row r="14" spans="1:6">
      <c r="A14" s="38"/>
      <c r="B14" s="38"/>
      <c r="C14" s="38"/>
      <c r="D14" s="38"/>
      <c r="E14" s="38"/>
      <c r="F14" s="38"/>
    </row>
    <row r="15" spans="1:6">
      <c r="A15" s="38"/>
      <c r="B15" s="38"/>
      <c r="C15" s="38"/>
      <c r="D15" s="38"/>
      <c r="E15" s="38"/>
      <c r="F15" s="38"/>
    </row>
    <row r="16" spans="1:6">
      <c r="A16" s="38"/>
      <c r="B16" s="38"/>
      <c r="C16" s="38"/>
      <c r="D16" s="38"/>
      <c r="E16" s="38"/>
      <c r="F16" s="38"/>
    </row>
    <row r="17" spans="1:6">
      <c r="A17" s="38"/>
      <c r="B17" s="38"/>
      <c r="C17" s="38"/>
      <c r="D17" s="38"/>
      <c r="E17" s="38"/>
      <c r="F17" s="38"/>
    </row>
    <row r="18" spans="1:6">
      <c r="A18" s="38"/>
      <c r="B18" s="38"/>
      <c r="C18" s="38"/>
      <c r="D18" s="38"/>
      <c r="E18" s="38"/>
      <c r="F18" s="38"/>
    </row>
    <row r="19" spans="1:6">
      <c r="A19" s="38"/>
      <c r="B19" s="38"/>
      <c r="C19" s="38"/>
      <c r="D19" s="38"/>
      <c r="E19" s="38"/>
      <c r="F19" s="38"/>
    </row>
    <row r="20" spans="1:6">
      <c r="A20" s="38"/>
      <c r="B20" s="38"/>
      <c r="C20" s="38"/>
      <c r="D20" s="38"/>
      <c r="E20" s="38"/>
      <c r="F20" s="38"/>
    </row>
    <row r="21" spans="1:6">
      <c r="A21" s="38"/>
      <c r="B21" s="38"/>
      <c r="C21" s="38"/>
      <c r="D21" s="38"/>
      <c r="E21" s="38"/>
      <c r="F21" s="38"/>
    </row>
    <row r="22" spans="1:6">
      <c r="A22" s="38"/>
      <c r="B22" s="38"/>
      <c r="C22" s="38"/>
      <c r="D22" s="38"/>
      <c r="E22" s="38"/>
      <c r="F22" s="38"/>
    </row>
    <row r="23" spans="1:6">
      <c r="A23" s="38"/>
      <c r="B23" s="38"/>
      <c r="C23" s="38"/>
      <c r="D23" s="38"/>
      <c r="E23" s="38"/>
      <c r="F23" s="38"/>
    </row>
    <row r="24" spans="1:6">
      <c r="A24" s="38"/>
      <c r="B24" s="38"/>
      <c r="C24" s="38"/>
      <c r="D24" s="38"/>
      <c r="E24" s="38"/>
      <c r="F24" s="38"/>
    </row>
    <row r="25" spans="1:6">
      <c r="A25" s="38"/>
      <c r="B25" s="38"/>
      <c r="C25" s="38"/>
      <c r="D25" s="38"/>
      <c r="E25" s="38"/>
      <c r="F25" s="38"/>
    </row>
    <row r="26" spans="1:6">
      <c r="A26" s="38"/>
      <c r="B26" s="38"/>
      <c r="C26" s="38"/>
      <c r="D26" s="38"/>
      <c r="E26" s="38"/>
      <c r="F26" s="38"/>
    </row>
    <row r="27" spans="1:6">
      <c r="A27" s="38"/>
      <c r="B27" s="38"/>
      <c r="C27" s="38"/>
      <c r="D27" s="38"/>
      <c r="E27" s="38"/>
      <c r="F27" s="38"/>
    </row>
    <row r="28" spans="1:6">
      <c r="A28" s="38"/>
      <c r="B28" s="38"/>
      <c r="C28" s="38"/>
      <c r="D28" s="38"/>
      <c r="E28" s="38"/>
      <c r="F28" s="38"/>
    </row>
    <row r="29" spans="1:6">
      <c r="A29" s="38"/>
      <c r="B29" s="38"/>
      <c r="C29" s="38"/>
      <c r="D29" s="38"/>
      <c r="E29" s="38"/>
      <c r="F29" s="38"/>
    </row>
    <row r="30" spans="1:6">
      <c r="A30" s="38"/>
      <c r="B30" s="38"/>
      <c r="C30" s="38"/>
      <c r="D30" s="38"/>
      <c r="E30" s="38"/>
      <c r="F30" s="38"/>
    </row>
    <row r="31" spans="1:6">
      <c r="A31" s="38"/>
      <c r="B31" s="38"/>
      <c r="C31" s="38"/>
      <c r="D31" s="38"/>
      <c r="E31" s="38"/>
      <c r="F31" s="38"/>
    </row>
    <row r="32" spans="1:6">
      <c r="A32" s="38"/>
      <c r="B32" s="38"/>
      <c r="C32" s="38"/>
      <c r="D32" s="38"/>
      <c r="E32" s="38"/>
      <c r="F32" s="38"/>
    </row>
    <row r="33" spans="1:6">
      <c r="A33" s="38"/>
      <c r="B33" s="38"/>
      <c r="C33" s="38"/>
      <c r="D33" s="38"/>
      <c r="E33" s="38"/>
      <c r="F33" s="38"/>
    </row>
    <row r="34" spans="1:6">
      <c r="A34" s="38"/>
      <c r="B34" s="38"/>
      <c r="C34" s="38"/>
      <c r="D34" s="38"/>
      <c r="E34" s="38"/>
      <c r="F34" s="38"/>
    </row>
    <row r="35" spans="1:6">
      <c r="A35" s="38"/>
      <c r="B35" s="38"/>
      <c r="C35" s="38"/>
      <c r="D35" s="38"/>
      <c r="E35" s="38"/>
      <c r="F35" s="38"/>
    </row>
    <row r="36" spans="1:6">
      <c r="A36" s="38"/>
      <c r="B36" s="38"/>
      <c r="C36" s="38"/>
      <c r="D36" s="38"/>
      <c r="E36" s="38"/>
      <c r="F36" s="38"/>
    </row>
    <row r="37" spans="1:6">
      <c r="A37" s="38"/>
      <c r="B37" s="38"/>
      <c r="C37" s="38"/>
      <c r="D37" s="38"/>
      <c r="E37" s="38"/>
      <c r="F37" s="38"/>
    </row>
    <row r="38" spans="1:6">
      <c r="A38" s="38"/>
      <c r="B38" s="38"/>
      <c r="C38" s="38"/>
      <c r="D38" s="38"/>
      <c r="E38" s="38"/>
      <c r="F38" s="38"/>
    </row>
    <row r="39" spans="1:6">
      <c r="A39" s="38"/>
      <c r="B39" s="38"/>
      <c r="C39" s="38"/>
      <c r="D39" s="38"/>
      <c r="E39" s="38"/>
      <c r="F39" s="38"/>
    </row>
    <row r="40" spans="1:6">
      <c r="A40" s="38"/>
      <c r="B40" s="38"/>
      <c r="C40" s="38"/>
      <c r="D40" s="38"/>
      <c r="E40" s="38"/>
      <c r="F40" s="38"/>
    </row>
    <row r="41" spans="1:6">
      <c r="A41" s="38"/>
      <c r="B41" s="38"/>
      <c r="C41" s="38"/>
      <c r="D41" s="38"/>
      <c r="E41" s="38"/>
      <c r="F41" s="38"/>
    </row>
    <row r="42" spans="1:6">
      <c r="A42" s="38"/>
      <c r="B42" s="38"/>
      <c r="C42" s="38"/>
      <c r="D42" s="38"/>
      <c r="E42" s="38"/>
      <c r="F42" s="38"/>
    </row>
  </sheetData>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31"/>
  <sheetViews>
    <sheetView zoomScale="92" zoomScaleNormal="130" workbookViewId="0">
      <selection activeCell="D7" sqref="D7:D14"/>
    </sheetView>
  </sheetViews>
  <sheetFormatPr baseColWidth="10" defaultColWidth="8.6640625" defaultRowHeight="14.4"/>
  <cols>
    <col min="1" max="1" width="21.44140625" customWidth="1"/>
    <col min="2" max="3" width="15.44140625" customWidth="1"/>
    <col min="4" max="4" width="79.6640625" customWidth="1"/>
    <col min="5" max="5" width="14.109375" customWidth="1"/>
  </cols>
  <sheetData>
    <row r="1" spans="1:5">
      <c r="A1" s="17" t="s">
        <v>0</v>
      </c>
      <c r="B1" s="18" t="s">
        <v>392</v>
      </c>
      <c r="C1" s="19"/>
    </row>
    <row r="2" spans="1:5">
      <c r="A2" s="17" t="s">
        <v>2</v>
      </c>
      <c r="B2" s="18" t="s">
        <v>427</v>
      </c>
      <c r="C2" s="19"/>
    </row>
    <row r="3" spans="1:5">
      <c r="A3" s="17" t="s">
        <v>4</v>
      </c>
      <c r="B3" s="18" t="s">
        <v>2070</v>
      </c>
      <c r="C3" s="19"/>
    </row>
    <row r="4" spans="1:5">
      <c r="A4" s="17" t="s">
        <v>6</v>
      </c>
      <c r="B4" s="18" t="s">
        <v>429</v>
      </c>
      <c r="C4" s="20"/>
    </row>
    <row r="5" spans="1:5">
      <c r="A5" s="17" t="s">
        <v>8</v>
      </c>
      <c r="B5" s="18" t="s">
        <v>2071</v>
      </c>
      <c r="C5" s="20"/>
    </row>
    <row r="6" spans="1:5">
      <c r="A6" s="21" t="s">
        <v>10</v>
      </c>
      <c r="B6" s="21" t="s">
        <v>11</v>
      </c>
      <c r="C6" s="21" t="s">
        <v>12</v>
      </c>
      <c r="D6" s="21" t="s">
        <v>8</v>
      </c>
      <c r="E6" s="21" t="s">
        <v>14</v>
      </c>
    </row>
    <row r="7" spans="1:5" s="25" customFormat="1">
      <c r="A7" s="47" t="s">
        <v>2072</v>
      </c>
      <c r="B7" s="47" t="s">
        <v>2073</v>
      </c>
      <c r="C7" s="23"/>
      <c r="D7" t="s">
        <v>2074</v>
      </c>
    </row>
    <row r="8" spans="1:5" s="25" customFormat="1">
      <c r="A8" s="35" t="s">
        <v>2075</v>
      </c>
      <c r="B8" s="35" t="s">
        <v>2075</v>
      </c>
      <c r="C8" s="23"/>
      <c r="D8" t="s">
        <v>2076</v>
      </c>
    </row>
    <row r="9" spans="1:5" s="25" customFormat="1">
      <c r="A9" s="35" t="s">
        <v>2077</v>
      </c>
      <c r="B9" s="35" t="s">
        <v>1962</v>
      </c>
      <c r="C9" s="23"/>
      <c r="D9" t="s">
        <v>2078</v>
      </c>
    </row>
    <row r="10" spans="1:5" s="25" customFormat="1">
      <c r="A10" s="35" t="s">
        <v>2079</v>
      </c>
      <c r="B10" s="35" t="s">
        <v>1947</v>
      </c>
      <c r="C10" s="23"/>
      <c r="D10" t="s">
        <v>2080</v>
      </c>
    </row>
    <row r="11" spans="1:5" s="25" customFormat="1">
      <c r="A11" t="s">
        <v>2081</v>
      </c>
      <c r="B11" t="s">
        <v>2082</v>
      </c>
      <c r="D11" t="s">
        <v>2083</v>
      </c>
    </row>
    <row r="12" spans="1:5" s="25" customFormat="1">
      <c r="A12" t="s">
        <v>2084</v>
      </c>
      <c r="B12" t="s">
        <v>2085</v>
      </c>
      <c r="C12" s="23"/>
      <c r="D12" t="s">
        <v>2086</v>
      </c>
    </row>
    <row r="13" spans="1:5" s="25" customFormat="1">
      <c r="A13" s="35" t="s">
        <v>511</v>
      </c>
      <c r="B13" s="35" t="s">
        <v>2087</v>
      </c>
      <c r="C13" s="23"/>
      <c r="D13" t="s">
        <v>2088</v>
      </c>
    </row>
    <row r="14" spans="1:5" s="25" customFormat="1">
      <c r="A14" s="35" t="s">
        <v>1174</v>
      </c>
      <c r="B14" s="35" t="s">
        <v>2054</v>
      </c>
      <c r="C14" s="23"/>
      <c r="D14" t="s">
        <v>2089</v>
      </c>
    </row>
    <row r="15" spans="1:5" s="25" customFormat="1">
      <c r="C15" s="23"/>
    </row>
    <row r="17" spans="1:5">
      <c r="A17" s="26"/>
      <c r="B17" s="26"/>
      <c r="E17" s="27"/>
    </row>
    <row r="18" spans="1:5" s="30" customFormat="1">
      <c r="A18" s="28"/>
      <c r="B18" s="26"/>
      <c r="C18" s="26"/>
      <c r="D18" s="29"/>
      <c r="E18" s="28"/>
    </row>
    <row r="19" spans="1:5">
      <c r="B19" s="28"/>
      <c r="C19" s="28"/>
    </row>
    <row r="22" spans="1:5">
      <c r="B22" s="26"/>
      <c r="C22" s="26"/>
    </row>
    <row r="23" spans="1:5">
      <c r="B23" s="28"/>
      <c r="C23" s="28"/>
    </row>
    <row r="26" spans="1:5">
      <c r="B26" s="26"/>
      <c r="C26" s="26"/>
    </row>
    <row r="27" spans="1:5">
      <c r="B27" s="28"/>
      <c r="C27" s="28"/>
    </row>
    <row r="30" spans="1:5">
      <c r="B30" s="26"/>
      <c r="C30" s="26"/>
    </row>
    <row r="31" spans="1:5">
      <c r="B31" s="28"/>
      <c r="C31" s="28"/>
    </row>
  </sheetData>
  <pageMargins left="0.7" right="0.7" top="0.75" bottom="0.75" header="0.511811023622047" footer="0.511811023622047"/>
  <pageSetup orientation="portrait" horizontalDpi="300" verticalDpi="300"/>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2"/>
  <sheetViews>
    <sheetView zoomScaleNormal="100" workbookViewId="0">
      <selection activeCell="E7" sqref="E7:E11"/>
    </sheetView>
  </sheetViews>
  <sheetFormatPr baseColWidth="10" defaultColWidth="8.6640625" defaultRowHeight="14.4"/>
  <cols>
    <col min="1" max="1" width="21.44140625" customWidth="1"/>
    <col min="2" max="2" width="41.44140625" customWidth="1"/>
    <col min="3" max="3" width="22.33203125" customWidth="1"/>
    <col min="4" max="4" width="13.33203125" customWidth="1"/>
    <col min="5" max="5" width="170.6640625" customWidth="1"/>
    <col min="6" max="6" width="26.109375" customWidth="1"/>
  </cols>
  <sheetData>
    <row r="1" spans="1:6">
      <c r="A1" s="17" t="s">
        <v>0</v>
      </c>
      <c r="B1" s="18" t="s">
        <v>395</v>
      </c>
      <c r="C1" s="19"/>
      <c r="D1" s="19"/>
    </row>
    <row r="2" spans="1:6">
      <c r="A2" s="17" t="s">
        <v>2</v>
      </c>
      <c r="B2" s="18" t="s">
        <v>1183</v>
      </c>
      <c r="C2" s="19"/>
      <c r="D2" s="19"/>
    </row>
    <row r="3" spans="1:6">
      <c r="A3" s="17" t="s">
        <v>4</v>
      </c>
      <c r="B3" s="18" t="s">
        <v>2090</v>
      </c>
      <c r="C3" s="19"/>
      <c r="D3" s="19"/>
    </row>
    <row r="4" spans="1:6">
      <c r="A4" s="17" t="s">
        <v>6</v>
      </c>
      <c r="B4" s="18" t="s">
        <v>1141</v>
      </c>
      <c r="C4" s="20"/>
      <c r="D4" s="20"/>
    </row>
    <row r="5" spans="1:6">
      <c r="A5" s="17" t="s">
        <v>8</v>
      </c>
      <c r="B5" s="18" t="s">
        <v>2091</v>
      </c>
      <c r="C5" s="20"/>
      <c r="D5" s="20"/>
    </row>
    <row r="6" spans="1:6">
      <c r="A6" s="21" t="s">
        <v>10</v>
      </c>
      <c r="B6" s="21" t="s">
        <v>11</v>
      </c>
      <c r="C6" s="21" t="s">
        <v>12</v>
      </c>
      <c r="D6" s="21" t="s">
        <v>13</v>
      </c>
      <c r="E6" s="21" t="s">
        <v>8</v>
      </c>
      <c r="F6" s="21" t="s">
        <v>14</v>
      </c>
    </row>
    <row r="7" spans="1:6">
      <c r="A7" s="38" t="s">
        <v>2092</v>
      </c>
      <c r="B7" s="38" t="s">
        <v>2093</v>
      </c>
      <c r="C7" s="38" t="s">
        <v>2094</v>
      </c>
      <c r="D7" s="38"/>
      <c r="E7" s="38" t="s">
        <v>2095</v>
      </c>
      <c r="F7" s="38"/>
    </row>
    <row r="8" spans="1:6">
      <c r="A8" s="38" t="s">
        <v>2096</v>
      </c>
      <c r="B8" s="38" t="s">
        <v>2097</v>
      </c>
      <c r="C8" s="38" t="s">
        <v>2098</v>
      </c>
      <c r="D8" s="38"/>
      <c r="E8" s="38" t="s">
        <v>2099</v>
      </c>
      <c r="F8" s="38"/>
    </row>
    <row r="9" spans="1:6">
      <c r="A9" s="38" t="s">
        <v>2100</v>
      </c>
      <c r="B9" s="38" t="s">
        <v>2101</v>
      </c>
      <c r="C9" s="38" t="s">
        <v>2102</v>
      </c>
      <c r="D9" s="38"/>
      <c r="E9" s="38" t="s">
        <v>2103</v>
      </c>
      <c r="F9" s="38"/>
    </row>
    <row r="10" spans="1:6">
      <c r="A10" s="38" t="s">
        <v>2104</v>
      </c>
      <c r="B10" s="38" t="s">
        <v>2105</v>
      </c>
      <c r="C10" s="38" t="s">
        <v>2106</v>
      </c>
      <c r="D10" s="38"/>
      <c r="E10" s="38" t="s">
        <v>2107</v>
      </c>
      <c r="F10" s="38"/>
    </row>
    <row r="11" spans="1:6">
      <c r="A11" s="38" t="s">
        <v>2108</v>
      </c>
      <c r="B11" s="38" t="s">
        <v>2109</v>
      </c>
      <c r="C11" s="38" t="s">
        <v>2110</v>
      </c>
      <c r="D11" s="38"/>
      <c r="E11" s="38" t="s">
        <v>2111</v>
      </c>
      <c r="F11" s="38"/>
    </row>
    <row r="12" spans="1:6">
      <c r="A12" s="38"/>
      <c r="B12" s="38"/>
      <c r="C12" s="38"/>
      <c r="D12" s="38"/>
      <c r="E12" s="38"/>
      <c r="F12" s="38"/>
    </row>
    <row r="13" spans="1:6">
      <c r="A13" s="38"/>
      <c r="B13" s="38"/>
      <c r="C13" s="38"/>
      <c r="D13" s="38"/>
      <c r="E13" s="38"/>
      <c r="F13" s="38"/>
    </row>
    <row r="14" spans="1:6">
      <c r="A14" s="38"/>
      <c r="B14" s="38"/>
      <c r="C14" s="38"/>
      <c r="D14" s="38"/>
      <c r="E14" s="38"/>
      <c r="F14" s="38"/>
    </row>
    <row r="15" spans="1:6">
      <c r="A15" s="38"/>
      <c r="B15" s="38"/>
      <c r="C15" s="38"/>
      <c r="D15" s="38"/>
      <c r="E15" s="38"/>
      <c r="F15" s="38"/>
    </row>
    <row r="16" spans="1:6">
      <c r="A16" s="38"/>
      <c r="B16" s="38"/>
      <c r="C16" s="38"/>
      <c r="D16" s="38"/>
      <c r="E16" s="38"/>
      <c r="F16" s="38"/>
    </row>
    <row r="17" spans="1:6">
      <c r="A17" s="38"/>
      <c r="B17" s="38"/>
      <c r="C17" s="38"/>
      <c r="D17" s="38"/>
      <c r="E17" s="38"/>
      <c r="F17" s="38"/>
    </row>
    <row r="18" spans="1:6">
      <c r="A18" s="38"/>
      <c r="B18" s="38"/>
      <c r="C18" s="38"/>
      <c r="D18" s="38"/>
      <c r="E18" s="38"/>
      <c r="F18" s="38"/>
    </row>
    <row r="19" spans="1:6">
      <c r="A19" s="38"/>
      <c r="B19" s="38"/>
      <c r="C19" s="38"/>
      <c r="D19" s="38"/>
      <c r="E19" s="38"/>
      <c r="F19" s="38"/>
    </row>
    <row r="20" spans="1:6">
      <c r="A20" s="38"/>
      <c r="B20" s="38"/>
      <c r="C20" s="38"/>
      <c r="D20" s="38"/>
      <c r="E20" s="38"/>
      <c r="F20" s="38"/>
    </row>
    <row r="21" spans="1:6">
      <c r="A21" s="38"/>
      <c r="B21" s="38"/>
      <c r="C21" s="38"/>
      <c r="D21" s="38"/>
      <c r="E21" s="38"/>
      <c r="F21" s="38"/>
    </row>
    <row r="22" spans="1:6">
      <c r="A22" s="38"/>
      <c r="B22" s="38"/>
      <c r="C22" s="38"/>
      <c r="D22" s="38"/>
      <c r="E22" s="38"/>
      <c r="F22" s="38"/>
    </row>
    <row r="23" spans="1:6">
      <c r="A23" s="38"/>
      <c r="B23" s="38"/>
      <c r="C23" s="38"/>
      <c r="D23" s="38"/>
      <c r="E23" s="38"/>
      <c r="F23" s="38"/>
    </row>
    <row r="24" spans="1:6">
      <c r="A24" s="38"/>
      <c r="B24" s="38"/>
      <c r="C24" s="38"/>
      <c r="D24" s="38"/>
      <c r="E24" s="38"/>
      <c r="F24" s="38"/>
    </row>
    <row r="25" spans="1:6">
      <c r="A25" s="38"/>
      <c r="B25" s="38"/>
      <c r="C25" s="38"/>
      <c r="D25" s="38"/>
      <c r="E25" s="38"/>
      <c r="F25" s="38"/>
    </row>
    <row r="26" spans="1:6">
      <c r="A26" s="38"/>
      <c r="B26" s="38"/>
      <c r="C26" s="38"/>
      <c r="D26" s="38"/>
      <c r="E26" s="38"/>
      <c r="F26" s="38"/>
    </row>
    <row r="27" spans="1:6">
      <c r="A27" s="38"/>
      <c r="B27" s="38"/>
      <c r="C27" s="38"/>
      <c r="D27" s="38"/>
      <c r="E27" s="38"/>
      <c r="F27" s="38"/>
    </row>
    <row r="28" spans="1:6">
      <c r="A28" s="38"/>
      <c r="B28" s="38"/>
      <c r="C28" s="38"/>
      <c r="D28" s="38"/>
      <c r="E28" s="38"/>
      <c r="F28" s="38"/>
    </row>
    <row r="29" spans="1:6">
      <c r="A29" s="38"/>
      <c r="B29" s="38"/>
      <c r="C29" s="38"/>
      <c r="D29" s="38"/>
      <c r="E29" s="38"/>
      <c r="F29" s="38"/>
    </row>
    <row r="30" spans="1:6">
      <c r="A30" s="38"/>
      <c r="B30" s="38"/>
      <c r="C30" s="38"/>
      <c r="D30" s="38"/>
      <c r="E30" s="38"/>
      <c r="F30" s="38"/>
    </row>
    <row r="31" spans="1:6">
      <c r="A31" s="38"/>
      <c r="B31" s="38"/>
      <c r="C31" s="38"/>
      <c r="D31" s="38"/>
      <c r="E31" s="38"/>
      <c r="F31" s="38"/>
    </row>
    <row r="32" spans="1:6">
      <c r="A32" s="38"/>
      <c r="B32" s="38"/>
      <c r="C32" s="38"/>
      <c r="D32" s="38"/>
      <c r="E32" s="38"/>
      <c r="F32" s="38"/>
    </row>
    <row r="33" spans="1:6">
      <c r="A33" s="38"/>
      <c r="B33" s="38"/>
      <c r="C33" s="38"/>
      <c r="D33" s="38"/>
      <c r="E33" s="38"/>
      <c r="F33" s="38"/>
    </row>
    <row r="34" spans="1:6">
      <c r="A34" s="38"/>
      <c r="B34" s="38"/>
      <c r="C34" s="38"/>
      <c r="D34" s="38"/>
      <c r="E34" s="38"/>
      <c r="F34" s="38"/>
    </row>
    <row r="35" spans="1:6">
      <c r="A35" s="38"/>
      <c r="B35" s="38"/>
      <c r="C35" s="38"/>
      <c r="D35" s="38"/>
      <c r="E35" s="38"/>
      <c r="F35" s="38"/>
    </row>
    <row r="36" spans="1:6">
      <c r="A36" s="38"/>
      <c r="B36" s="38"/>
      <c r="C36" s="38"/>
      <c r="D36" s="38"/>
      <c r="E36" s="38"/>
      <c r="F36" s="38"/>
    </row>
    <row r="37" spans="1:6">
      <c r="A37" s="38"/>
      <c r="B37" s="38"/>
      <c r="C37" s="38"/>
      <c r="D37" s="38"/>
      <c r="E37" s="38"/>
      <c r="F37" s="38"/>
    </row>
    <row r="38" spans="1:6">
      <c r="A38" s="38"/>
      <c r="B38" s="38"/>
      <c r="C38" s="38"/>
      <c r="D38" s="38"/>
      <c r="E38" s="38"/>
      <c r="F38" s="38"/>
    </row>
    <row r="39" spans="1:6">
      <c r="A39" s="38"/>
      <c r="B39" s="38"/>
      <c r="C39" s="38"/>
      <c r="D39" s="38"/>
      <c r="E39" s="38"/>
      <c r="F39" s="38"/>
    </row>
    <row r="40" spans="1:6">
      <c r="A40" s="38"/>
      <c r="B40" s="38"/>
      <c r="C40" s="38"/>
      <c r="D40" s="38"/>
      <c r="E40" s="38"/>
      <c r="F40" s="38"/>
    </row>
    <row r="41" spans="1:6">
      <c r="A41" s="38"/>
      <c r="B41" s="38"/>
      <c r="C41" s="38"/>
      <c r="D41" s="38"/>
      <c r="E41" s="38"/>
      <c r="F41" s="38"/>
    </row>
    <row r="42" spans="1:6">
      <c r="A42" s="38"/>
      <c r="B42" s="38"/>
      <c r="C42" s="38"/>
      <c r="D42" s="38"/>
      <c r="E42" s="38"/>
      <c r="F42" s="38"/>
    </row>
  </sheetData>
  <pageMargins left="0.7" right="0.7" top="0.75" bottom="0.75" header="0.511811023622047" footer="0.511811023622047"/>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55"/>
  <sheetViews>
    <sheetView zoomScaleNormal="100" workbookViewId="0">
      <selection activeCell="B7" sqref="B7:F40"/>
    </sheetView>
  </sheetViews>
  <sheetFormatPr baseColWidth="10" defaultColWidth="8.6640625" defaultRowHeight="14.4"/>
  <cols>
    <col min="1" max="1" width="21.44140625" customWidth="1"/>
    <col min="2" max="2" width="49.6640625" customWidth="1"/>
    <col min="3" max="3" width="48" customWidth="1"/>
    <col min="4" max="4" width="13.33203125" customWidth="1"/>
    <col min="5" max="5" width="80.6640625" customWidth="1"/>
    <col min="6" max="6" width="69.109375" customWidth="1"/>
  </cols>
  <sheetData>
    <row r="1" spans="1:6">
      <c r="A1" s="17" t="s">
        <v>0</v>
      </c>
      <c r="B1" s="18" t="s">
        <v>398</v>
      </c>
      <c r="C1" s="19"/>
      <c r="D1" s="19"/>
    </row>
    <row r="2" spans="1:6">
      <c r="A2" s="17" t="s">
        <v>2</v>
      </c>
      <c r="B2" s="18" t="s">
        <v>1183</v>
      </c>
      <c r="C2" s="19"/>
      <c r="D2" s="19"/>
    </row>
    <row r="3" spans="1:6">
      <c r="A3" s="17" t="s">
        <v>4</v>
      </c>
      <c r="B3" s="18" t="s">
        <v>2112</v>
      </c>
      <c r="C3" s="19" t="s">
        <v>2113</v>
      </c>
      <c r="D3" s="19"/>
    </row>
    <row r="4" spans="1:6">
      <c r="A4" s="17" t="s">
        <v>6</v>
      </c>
      <c r="B4" s="18" t="s">
        <v>1141</v>
      </c>
      <c r="C4" s="20"/>
      <c r="D4" s="20"/>
    </row>
    <row r="5" spans="1:6">
      <c r="A5" s="48" t="s">
        <v>8</v>
      </c>
      <c r="B5" s="18" t="s">
        <v>2114</v>
      </c>
      <c r="C5" s="20"/>
      <c r="D5" s="20"/>
      <c r="E5" s="49"/>
    </row>
    <row r="6" spans="1:6">
      <c r="A6" s="21" t="s">
        <v>10</v>
      </c>
      <c r="B6" s="21" t="s">
        <v>11</v>
      </c>
      <c r="C6" s="21" t="s">
        <v>12</v>
      </c>
      <c r="D6" s="21" t="s">
        <v>13</v>
      </c>
      <c r="E6" s="21" t="s">
        <v>8</v>
      </c>
      <c r="F6" s="21" t="s">
        <v>14</v>
      </c>
    </row>
    <row r="7" spans="1:6" ht="15.75" customHeight="1">
      <c r="A7" s="25" t="s">
        <v>2115</v>
      </c>
      <c r="B7" s="25" t="s">
        <v>2116</v>
      </c>
      <c r="D7" s="38"/>
      <c r="E7" s="25" t="s">
        <v>2117</v>
      </c>
      <c r="F7" s="38"/>
    </row>
    <row r="8" spans="1:6" ht="15.75" customHeight="1">
      <c r="A8" s="25" t="s">
        <v>2118</v>
      </c>
      <c r="B8" s="25"/>
      <c r="C8" s="25" t="s">
        <v>2119</v>
      </c>
      <c r="D8" s="38"/>
      <c r="E8" s="25"/>
      <c r="F8" s="38" t="s">
        <v>2120</v>
      </c>
    </row>
    <row r="9" spans="1:6" ht="15.75" customHeight="1">
      <c r="A9" s="25" t="s">
        <v>2121</v>
      </c>
      <c r="B9" s="25"/>
      <c r="C9" s="25" t="s">
        <v>2122</v>
      </c>
      <c r="D9" s="38"/>
      <c r="E9" s="25"/>
      <c r="F9" s="38" t="s">
        <v>2123</v>
      </c>
    </row>
    <row r="10" spans="1:6" ht="15.75" customHeight="1">
      <c r="A10" s="25" t="s">
        <v>2124</v>
      </c>
      <c r="B10" s="25"/>
      <c r="C10" t="s">
        <v>2125</v>
      </c>
      <c r="D10" s="38"/>
      <c r="E10" s="25" t="s">
        <v>2126</v>
      </c>
      <c r="F10" s="38" t="s">
        <v>2127</v>
      </c>
    </row>
    <row r="11" spans="1:6" ht="15.75" customHeight="1">
      <c r="A11" s="25" t="s">
        <v>2128</v>
      </c>
      <c r="B11" s="25"/>
      <c r="C11" t="s">
        <v>2129</v>
      </c>
      <c r="D11" s="38"/>
      <c r="E11" s="25"/>
      <c r="F11" s="38" t="s">
        <v>2130</v>
      </c>
    </row>
    <row r="12" spans="1:6" s="25" customFormat="1" ht="15.75" customHeight="1">
      <c r="A12" s="25" t="s">
        <v>2131</v>
      </c>
      <c r="B12" s="25" t="s">
        <v>2132</v>
      </c>
      <c r="E12" s="25" t="s">
        <v>2133</v>
      </c>
    </row>
    <row r="13" spans="1:6" s="25" customFormat="1" ht="15.75" customHeight="1">
      <c r="A13" s="25" t="s">
        <v>2134</v>
      </c>
      <c r="B13" s="25" t="s">
        <v>2135</v>
      </c>
      <c r="E13" s="25" t="s">
        <v>2136</v>
      </c>
    </row>
    <row r="14" spans="1:6" s="25" customFormat="1" ht="15.75" customHeight="1">
      <c r="A14" s="25" t="s">
        <v>2137</v>
      </c>
      <c r="C14" s="25" t="s">
        <v>2138</v>
      </c>
    </row>
    <row r="15" spans="1:6" s="25" customFormat="1" ht="15.75" customHeight="1">
      <c r="A15" s="25" t="s">
        <v>2139</v>
      </c>
      <c r="C15" s="25" t="s">
        <v>1974</v>
      </c>
    </row>
    <row r="16" spans="1:6" s="25" customFormat="1" ht="15.75" customHeight="1">
      <c r="A16" s="25" t="s">
        <v>2140</v>
      </c>
      <c r="C16" s="25" t="s">
        <v>1962</v>
      </c>
    </row>
    <row r="17" spans="1:6" s="25" customFormat="1" ht="15.75" customHeight="1">
      <c r="A17" s="25" t="s">
        <v>2141</v>
      </c>
      <c r="C17" s="25" t="s">
        <v>2142</v>
      </c>
    </row>
    <row r="18" spans="1:6" ht="15.75" customHeight="1">
      <c r="A18" s="25" t="s">
        <v>2143</v>
      </c>
      <c r="B18" s="25"/>
      <c r="C18" t="s">
        <v>2144</v>
      </c>
      <c r="D18" s="38"/>
      <c r="E18" s="25"/>
      <c r="F18" s="38"/>
    </row>
    <row r="19" spans="1:6" s="25" customFormat="1" ht="15.75" customHeight="1">
      <c r="A19" s="25" t="s">
        <v>2145</v>
      </c>
      <c r="C19" s="25" t="s">
        <v>2146</v>
      </c>
    </row>
    <row r="20" spans="1:6" s="25" customFormat="1" ht="15.75" customHeight="1">
      <c r="A20" s="25" t="s">
        <v>2147</v>
      </c>
      <c r="C20" s="25" t="s">
        <v>2148</v>
      </c>
    </row>
    <row r="21" spans="1:6" s="25" customFormat="1" ht="15.75" customHeight="1">
      <c r="A21" s="25" t="s">
        <v>2149</v>
      </c>
      <c r="C21" s="25" t="s">
        <v>2150</v>
      </c>
    </row>
    <row r="22" spans="1:6" s="25" customFormat="1" ht="15.75" customHeight="1">
      <c r="A22" s="25" t="s">
        <v>2151</v>
      </c>
      <c r="C22" s="25" t="s">
        <v>2152</v>
      </c>
    </row>
    <row r="23" spans="1:6" s="25" customFormat="1" ht="15.75" customHeight="1">
      <c r="A23" s="25" t="s">
        <v>2153</v>
      </c>
      <c r="C23" s="25" t="s">
        <v>1977</v>
      </c>
    </row>
    <row r="24" spans="1:6" ht="15.75" customHeight="1">
      <c r="A24" s="25" t="s">
        <v>2154</v>
      </c>
      <c r="B24" s="25"/>
      <c r="C24" t="s">
        <v>2155</v>
      </c>
      <c r="D24" s="38"/>
      <c r="E24" s="25"/>
      <c r="F24" s="38"/>
    </row>
    <row r="25" spans="1:6" s="25" customFormat="1" ht="15.75" customHeight="1">
      <c r="A25" s="25" t="s">
        <v>2156</v>
      </c>
      <c r="C25" s="25" t="s">
        <v>2157</v>
      </c>
    </row>
    <row r="26" spans="1:6" s="25" customFormat="1" ht="15.75" customHeight="1">
      <c r="A26" s="25" t="s">
        <v>2158</v>
      </c>
      <c r="B26" s="25" t="s">
        <v>2159</v>
      </c>
      <c r="E26" s="25" t="s">
        <v>2160</v>
      </c>
    </row>
    <row r="27" spans="1:6" s="25" customFormat="1" ht="15.75" customHeight="1">
      <c r="A27" s="25" t="s">
        <v>2161</v>
      </c>
      <c r="B27" s="25" t="s">
        <v>2162</v>
      </c>
      <c r="E27" s="25" t="s">
        <v>2163</v>
      </c>
    </row>
    <row r="28" spans="1:6" s="25" customFormat="1" ht="15.75" customHeight="1">
      <c r="A28" s="25" t="s">
        <v>2164</v>
      </c>
      <c r="C28" s="25" t="s">
        <v>2165</v>
      </c>
    </row>
    <row r="29" spans="1:6" ht="15.75" customHeight="1">
      <c r="A29" s="25" t="s">
        <v>2166</v>
      </c>
      <c r="B29" s="25"/>
      <c r="C29" t="s">
        <v>2167</v>
      </c>
      <c r="D29" s="38"/>
      <c r="E29" s="25"/>
      <c r="F29" s="38"/>
    </row>
    <row r="30" spans="1:6" ht="15.75" customHeight="1">
      <c r="A30" s="25" t="s">
        <v>2168</v>
      </c>
      <c r="B30" s="25"/>
      <c r="C30" s="25" t="s">
        <v>2169</v>
      </c>
      <c r="D30" s="25"/>
      <c r="E30" s="25"/>
      <c r="F30" s="38"/>
    </row>
    <row r="31" spans="1:6" ht="15.75" customHeight="1">
      <c r="A31" s="25" t="s">
        <v>2170</v>
      </c>
      <c r="B31" s="25" t="s">
        <v>2171</v>
      </c>
      <c r="C31" s="25"/>
      <c r="D31" s="25"/>
      <c r="E31" s="25" t="s">
        <v>2172</v>
      </c>
      <c r="F31" s="38"/>
    </row>
    <row r="32" spans="1:6" ht="15.75" customHeight="1">
      <c r="A32" s="25" t="s">
        <v>491</v>
      </c>
      <c r="B32" s="25" t="s">
        <v>2173</v>
      </c>
      <c r="C32" s="25"/>
      <c r="D32" s="25"/>
      <c r="E32" s="25" t="s">
        <v>2174</v>
      </c>
      <c r="F32" s="38"/>
    </row>
    <row r="33" spans="1:6" ht="15.75" customHeight="1">
      <c r="A33" s="38" t="s">
        <v>2175</v>
      </c>
      <c r="B33" s="38"/>
      <c r="C33" s="38" t="s">
        <v>2176</v>
      </c>
      <c r="D33" s="38"/>
      <c r="E33" s="38"/>
      <c r="F33" s="38"/>
    </row>
    <row r="34" spans="1:6" ht="15.75" customHeight="1">
      <c r="A34" s="38" t="s">
        <v>2177</v>
      </c>
      <c r="B34" s="38"/>
      <c r="C34" s="38" t="s">
        <v>2178</v>
      </c>
      <c r="D34" s="38"/>
      <c r="E34" s="38"/>
      <c r="F34" s="38"/>
    </row>
    <row r="35" spans="1:6" ht="15.75" customHeight="1">
      <c r="A35" s="38" t="s">
        <v>2179</v>
      </c>
      <c r="B35" s="38"/>
      <c r="C35" s="38" t="s">
        <v>2180</v>
      </c>
      <c r="D35" s="38"/>
      <c r="E35" s="38"/>
      <c r="F35" s="38"/>
    </row>
    <row r="36" spans="1:6" ht="15.75" customHeight="1">
      <c r="A36" s="38" t="s">
        <v>2181</v>
      </c>
      <c r="B36" s="38"/>
      <c r="C36" s="38" t="s">
        <v>2182</v>
      </c>
      <c r="D36" s="38"/>
      <c r="E36" s="38"/>
      <c r="F36" s="38"/>
    </row>
    <row r="37" spans="1:6" ht="15.75" customHeight="1">
      <c r="A37" s="38" t="s">
        <v>511</v>
      </c>
      <c r="B37" s="38" t="s">
        <v>2183</v>
      </c>
      <c r="C37" s="38"/>
      <c r="D37" s="38"/>
      <c r="E37" s="38" t="s">
        <v>2184</v>
      </c>
      <c r="F37" s="38"/>
    </row>
    <row r="38" spans="1:6" ht="15.75" customHeight="1">
      <c r="A38" s="38" t="s">
        <v>2185</v>
      </c>
      <c r="B38" s="38"/>
      <c r="C38" s="38" t="s">
        <v>2186</v>
      </c>
      <c r="D38" s="38"/>
      <c r="E38" s="38"/>
      <c r="F38" s="38"/>
    </row>
    <row r="39" spans="1:6" ht="15.75" customHeight="1">
      <c r="A39" s="38" t="s">
        <v>2187</v>
      </c>
      <c r="B39" s="38"/>
      <c r="C39" s="38" t="s">
        <v>2188</v>
      </c>
      <c r="D39" s="38"/>
      <c r="E39" s="38"/>
      <c r="F39" s="38"/>
    </row>
    <row r="40" spans="1:6" ht="15.75" customHeight="1">
      <c r="A40" s="38" t="s">
        <v>2189</v>
      </c>
      <c r="B40" s="38"/>
      <c r="C40" s="38" t="s">
        <v>2190</v>
      </c>
      <c r="D40" s="38"/>
      <c r="E40" s="38"/>
      <c r="F40" s="38"/>
    </row>
    <row r="41" spans="1:6">
      <c r="A41" s="38"/>
      <c r="B41" s="38"/>
      <c r="C41" s="38"/>
      <c r="D41" s="38"/>
      <c r="E41" s="38"/>
      <c r="F41" s="38"/>
    </row>
    <row r="42" spans="1:6">
      <c r="A42" s="38"/>
      <c r="B42" s="38"/>
      <c r="C42" s="38"/>
      <c r="D42" s="38"/>
      <c r="E42" s="38"/>
      <c r="F42" s="38"/>
    </row>
    <row r="43" spans="1:6">
      <c r="A43" s="38"/>
      <c r="B43" s="38"/>
      <c r="C43" s="38"/>
      <c r="D43" s="38"/>
      <c r="E43" s="38"/>
      <c r="F43" s="38"/>
    </row>
    <row r="44" spans="1:6">
      <c r="A44" s="38"/>
      <c r="B44" s="38"/>
      <c r="C44" s="38"/>
      <c r="D44" s="38"/>
      <c r="E44" s="38"/>
      <c r="F44" s="38"/>
    </row>
    <row r="45" spans="1:6">
      <c r="A45" s="38"/>
      <c r="B45" s="38"/>
      <c r="C45" s="38"/>
      <c r="D45" s="38"/>
      <c r="E45" s="38"/>
      <c r="F45" s="38"/>
    </row>
    <row r="46" spans="1:6">
      <c r="A46" s="38"/>
      <c r="B46" s="38"/>
      <c r="C46" s="38"/>
      <c r="D46" s="38"/>
      <c r="E46" s="38"/>
      <c r="F46" s="38"/>
    </row>
    <row r="47" spans="1:6">
      <c r="A47" s="38"/>
      <c r="B47" s="38"/>
      <c r="C47" s="38"/>
      <c r="D47" s="38"/>
      <c r="E47" s="38"/>
      <c r="F47" s="38"/>
    </row>
    <row r="48" spans="1:6">
      <c r="A48" s="38"/>
      <c r="B48" s="38"/>
      <c r="C48" s="38"/>
      <c r="D48" s="38"/>
      <c r="E48" s="38"/>
      <c r="F48" s="38"/>
    </row>
    <row r="49" spans="1:6">
      <c r="A49" s="38"/>
      <c r="B49" s="38"/>
      <c r="C49" s="38"/>
      <c r="D49" s="38"/>
      <c r="E49" s="38"/>
      <c r="F49" s="38"/>
    </row>
    <row r="50" spans="1:6">
      <c r="A50" s="38"/>
      <c r="B50" s="38"/>
      <c r="C50" s="38"/>
      <c r="D50" s="38"/>
      <c r="E50" s="38"/>
      <c r="F50" s="38"/>
    </row>
    <row r="51" spans="1:6">
      <c r="A51" s="38"/>
      <c r="B51" s="38"/>
      <c r="C51" s="38"/>
      <c r="D51" s="38"/>
      <c r="E51" s="38"/>
      <c r="F51" s="38"/>
    </row>
    <row r="52" spans="1:6">
      <c r="A52" s="38"/>
      <c r="B52" s="38"/>
      <c r="C52" s="38"/>
      <c r="D52" s="38"/>
      <c r="E52" s="38"/>
      <c r="F52" s="38"/>
    </row>
    <row r="53" spans="1:6">
      <c r="A53" s="38"/>
      <c r="B53" s="38"/>
      <c r="C53" s="38"/>
      <c r="D53" s="38"/>
      <c r="E53" s="38"/>
      <c r="F53" s="38"/>
    </row>
    <row r="54" spans="1:6">
      <c r="A54" s="38"/>
      <c r="B54" s="38"/>
      <c r="C54" s="38"/>
      <c r="D54" s="38"/>
      <c r="E54" s="38"/>
      <c r="F54" s="38"/>
    </row>
    <row r="55" spans="1:6">
      <c r="A55" s="38"/>
      <c r="B55" s="38"/>
      <c r="C55" s="38"/>
      <c r="D55" s="38"/>
      <c r="E55" s="38"/>
      <c r="F55" s="38"/>
    </row>
  </sheetData>
  <pageMargins left="0.7" right="0.7" top="0.75" bottom="0.75" header="0.511811023622047" footer="0.511811023622047"/>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9"/>
  <sheetViews>
    <sheetView topLeftCell="A47" zoomScaleNormal="100" workbookViewId="0">
      <selection activeCell="B7" sqref="B7:F69"/>
    </sheetView>
  </sheetViews>
  <sheetFormatPr baseColWidth="10" defaultColWidth="11.44140625" defaultRowHeight="14.4"/>
  <cols>
    <col min="1" max="1" width="21.44140625" style="25" customWidth="1"/>
    <col min="2" max="2" width="20.44140625" style="25" customWidth="1"/>
    <col min="3" max="3" width="56" style="25" customWidth="1"/>
    <col min="4" max="4" width="17.6640625" style="25" customWidth="1"/>
    <col min="5" max="5" width="24.33203125" style="25" customWidth="1"/>
    <col min="6" max="6" width="27.6640625" style="25" customWidth="1"/>
    <col min="7" max="7" width="11.44140625" style="25" customWidth="1"/>
    <col min="8" max="16384" width="11.44140625" style="25"/>
  </cols>
  <sheetData>
    <row r="1" spans="1:6">
      <c r="A1" s="17" t="s">
        <v>0</v>
      </c>
      <c r="B1" s="18" t="s">
        <v>401</v>
      </c>
      <c r="C1" s="19"/>
      <c r="D1" s="19"/>
    </row>
    <row r="2" spans="1:6">
      <c r="A2" s="17" t="s">
        <v>2</v>
      </c>
      <c r="B2" s="18" t="s">
        <v>1183</v>
      </c>
      <c r="C2" s="19"/>
      <c r="D2" s="19"/>
    </row>
    <row r="3" spans="1:6">
      <c r="A3" s="17" t="s">
        <v>4</v>
      </c>
      <c r="B3" s="18" t="s">
        <v>2191</v>
      </c>
      <c r="C3" s="19"/>
      <c r="D3" s="19"/>
    </row>
    <row r="4" spans="1:6">
      <c r="A4" s="17" t="s">
        <v>6</v>
      </c>
      <c r="B4" s="18" t="s">
        <v>1141</v>
      </c>
      <c r="C4" s="20"/>
      <c r="D4" s="20"/>
    </row>
    <row r="5" spans="1:6">
      <c r="A5" s="17" t="s">
        <v>8</v>
      </c>
      <c r="B5" s="18" t="s">
        <v>2192</v>
      </c>
      <c r="C5" s="20"/>
      <c r="D5" s="20"/>
    </row>
    <row r="6" spans="1:6">
      <c r="A6" s="21" t="s">
        <v>10</v>
      </c>
      <c r="B6" s="21" t="s">
        <v>11</v>
      </c>
      <c r="C6" s="21" t="s">
        <v>12</v>
      </c>
      <c r="D6" s="21" t="s">
        <v>13</v>
      </c>
      <c r="E6" s="21" t="s">
        <v>8</v>
      </c>
      <c r="F6" s="21" t="s">
        <v>14</v>
      </c>
    </row>
    <row r="7" spans="1:6">
      <c r="A7" s="25" t="s">
        <v>2170</v>
      </c>
      <c r="B7" s="25" t="s">
        <v>2170</v>
      </c>
    </row>
    <row r="8" spans="1:6">
      <c r="A8" s="25" t="s">
        <v>2193</v>
      </c>
      <c r="C8" s="25" t="s">
        <v>2194</v>
      </c>
      <c r="E8" s="25" t="s">
        <v>2195</v>
      </c>
    </row>
    <row r="9" spans="1:6">
      <c r="A9" s="25" t="s">
        <v>2196</v>
      </c>
      <c r="C9" s="25" t="s">
        <v>2197</v>
      </c>
      <c r="E9" s="25" t="s">
        <v>2198</v>
      </c>
    </row>
    <row r="10" spans="1:6">
      <c r="A10" s="25" t="s">
        <v>2199</v>
      </c>
      <c r="C10" s="25" t="s">
        <v>2200</v>
      </c>
      <c r="E10" s="25" t="s">
        <v>2195</v>
      </c>
    </row>
    <row r="11" spans="1:6">
      <c r="A11" s="25" t="s">
        <v>2201</v>
      </c>
      <c r="B11" s="25" t="s">
        <v>511</v>
      </c>
    </row>
    <row r="12" spans="1:6">
      <c r="A12" s="25" t="s">
        <v>2202</v>
      </c>
      <c r="C12" s="25" t="s">
        <v>2203</v>
      </c>
      <c r="E12" s="25" t="s">
        <v>2198</v>
      </c>
    </row>
    <row r="13" spans="1:6">
      <c r="A13" s="25" t="s">
        <v>2204</v>
      </c>
      <c r="C13" s="25" t="s">
        <v>2205</v>
      </c>
      <c r="E13" s="25" t="s">
        <v>2198</v>
      </c>
    </row>
    <row r="14" spans="1:6">
      <c r="A14" s="25" t="s">
        <v>2206</v>
      </c>
      <c r="C14" s="25" t="s">
        <v>2207</v>
      </c>
      <c r="E14" s="25" t="s">
        <v>2198</v>
      </c>
    </row>
    <row r="15" spans="1:6">
      <c r="A15" s="25" t="s">
        <v>2208</v>
      </c>
      <c r="C15" s="25" t="s">
        <v>2209</v>
      </c>
      <c r="E15" s="25" t="s">
        <v>2198</v>
      </c>
    </row>
    <row r="16" spans="1:6">
      <c r="A16" s="25" t="s">
        <v>2210</v>
      </c>
      <c r="C16" s="25" t="s">
        <v>2211</v>
      </c>
      <c r="E16" s="25" t="s">
        <v>2198</v>
      </c>
    </row>
    <row r="17" spans="1:5">
      <c r="A17" s="25" t="s">
        <v>2212</v>
      </c>
      <c r="C17" s="25" t="s">
        <v>2213</v>
      </c>
      <c r="E17" s="25" t="s">
        <v>2198</v>
      </c>
    </row>
    <row r="18" spans="1:5">
      <c r="A18" s="25" t="s">
        <v>2214</v>
      </c>
      <c r="C18" s="25" t="s">
        <v>2215</v>
      </c>
      <c r="E18" s="25" t="s">
        <v>2216</v>
      </c>
    </row>
    <row r="19" spans="1:5">
      <c r="A19" s="25" t="s">
        <v>2217</v>
      </c>
      <c r="C19" s="25" t="s">
        <v>2218</v>
      </c>
      <c r="E19" s="25" t="s">
        <v>2198</v>
      </c>
    </row>
    <row r="20" spans="1:5">
      <c r="A20" s="25" t="s">
        <v>2219</v>
      </c>
      <c r="B20" s="25" t="s">
        <v>2219</v>
      </c>
    </row>
    <row r="21" spans="1:5">
      <c r="A21" s="25" t="s">
        <v>2220</v>
      </c>
      <c r="C21" s="25" t="s">
        <v>2221</v>
      </c>
      <c r="E21" s="25" t="s">
        <v>2195</v>
      </c>
    </row>
    <row r="22" spans="1:5">
      <c r="A22" s="25" t="s">
        <v>2222</v>
      </c>
      <c r="C22" s="25" t="s">
        <v>2223</v>
      </c>
      <c r="E22" s="25" t="s">
        <v>2195</v>
      </c>
    </row>
    <row r="23" spans="1:5">
      <c r="A23" s="25" t="s">
        <v>2224</v>
      </c>
      <c r="C23" s="25" t="s">
        <v>2225</v>
      </c>
      <c r="E23" s="25" t="s">
        <v>2195</v>
      </c>
    </row>
    <row r="24" spans="1:5">
      <c r="A24" s="25" t="s">
        <v>2226</v>
      </c>
      <c r="C24" s="25" t="s">
        <v>2227</v>
      </c>
      <c r="E24" s="25" t="s">
        <v>2195</v>
      </c>
    </row>
    <row r="25" spans="1:5">
      <c r="A25" s="25" t="s">
        <v>2228</v>
      </c>
      <c r="B25" s="25" t="s">
        <v>2228</v>
      </c>
    </row>
    <row r="26" spans="1:5">
      <c r="A26" s="25" t="s">
        <v>2229</v>
      </c>
      <c r="C26" s="25" t="s">
        <v>1947</v>
      </c>
      <c r="E26" s="25" t="s">
        <v>2216</v>
      </c>
    </row>
    <row r="27" spans="1:5">
      <c r="A27" s="25" t="s">
        <v>2230</v>
      </c>
      <c r="C27" s="25" t="s">
        <v>1962</v>
      </c>
      <c r="E27" s="25" t="s">
        <v>2216</v>
      </c>
    </row>
    <row r="28" spans="1:5">
      <c r="A28" s="25" t="s">
        <v>2231</v>
      </c>
      <c r="C28" s="25" t="s">
        <v>2157</v>
      </c>
      <c r="E28" s="25" t="s">
        <v>2216</v>
      </c>
    </row>
    <row r="29" spans="1:5">
      <c r="A29" s="25" t="s">
        <v>2161</v>
      </c>
      <c r="B29" s="25" t="s">
        <v>2161</v>
      </c>
    </row>
    <row r="30" spans="1:5">
      <c r="A30" s="25" t="s">
        <v>2232</v>
      </c>
      <c r="C30" s="25" t="s">
        <v>2233</v>
      </c>
      <c r="E30" s="25" t="s">
        <v>2198</v>
      </c>
    </row>
    <row r="31" spans="1:5">
      <c r="A31" s="25" t="s">
        <v>2234</v>
      </c>
      <c r="C31" s="25" t="s">
        <v>2235</v>
      </c>
      <c r="E31" s="25" t="s">
        <v>2198</v>
      </c>
    </row>
    <row r="32" spans="1:5">
      <c r="A32" s="25" t="s">
        <v>2236</v>
      </c>
      <c r="C32" s="25" t="s">
        <v>2237</v>
      </c>
      <c r="E32" s="25" t="s">
        <v>2216</v>
      </c>
    </row>
    <row r="33" spans="1:5">
      <c r="A33" s="25" t="s">
        <v>2238</v>
      </c>
      <c r="C33" s="25" t="s">
        <v>2239</v>
      </c>
      <c r="E33" s="25" t="s">
        <v>2216</v>
      </c>
    </row>
    <row r="34" spans="1:5">
      <c r="A34" s="25" t="s">
        <v>2240</v>
      </c>
      <c r="C34" s="25" t="s">
        <v>2241</v>
      </c>
      <c r="E34" s="25" t="s">
        <v>2195</v>
      </c>
    </row>
    <row r="35" spans="1:5">
      <c r="A35" s="25" t="s">
        <v>2242</v>
      </c>
      <c r="C35" s="25" t="s">
        <v>2243</v>
      </c>
      <c r="E35" s="25" t="s">
        <v>2216</v>
      </c>
    </row>
    <row r="36" spans="1:5">
      <c r="A36" s="25" t="s">
        <v>2244</v>
      </c>
      <c r="C36" s="25" t="s">
        <v>2245</v>
      </c>
      <c r="E36" s="25" t="s">
        <v>2216</v>
      </c>
    </row>
    <row r="37" spans="1:5">
      <c r="A37" s="25" t="s">
        <v>2246</v>
      </c>
      <c r="C37" s="25" t="s">
        <v>2247</v>
      </c>
      <c r="E37" s="25" t="s">
        <v>2216</v>
      </c>
    </row>
    <row r="38" spans="1:5">
      <c r="A38" s="25" t="s">
        <v>2248</v>
      </c>
      <c r="C38" s="25" t="s">
        <v>2249</v>
      </c>
      <c r="E38" s="25" t="s">
        <v>2216</v>
      </c>
    </row>
    <row r="39" spans="1:5">
      <c r="A39" s="25" t="s">
        <v>2250</v>
      </c>
      <c r="C39" s="25" t="s">
        <v>2251</v>
      </c>
      <c r="E39" s="25" t="s">
        <v>2216</v>
      </c>
    </row>
    <row r="40" spans="1:5">
      <c r="A40" s="25" t="s">
        <v>2252</v>
      </c>
      <c r="C40" s="25" t="s">
        <v>2253</v>
      </c>
      <c r="E40" s="25" t="s">
        <v>2216</v>
      </c>
    </row>
    <row r="41" spans="1:5">
      <c r="A41" s="25" t="s">
        <v>2254</v>
      </c>
      <c r="C41" s="25" t="s">
        <v>2255</v>
      </c>
      <c r="E41" s="25" t="s">
        <v>2216</v>
      </c>
    </row>
    <row r="42" spans="1:5">
      <c r="A42" s="25" t="s">
        <v>2256</v>
      </c>
      <c r="C42" s="25" t="s">
        <v>2257</v>
      </c>
      <c r="E42" s="25" t="s">
        <v>2216</v>
      </c>
    </row>
    <row r="43" spans="1:5">
      <c r="A43" s="25" t="s">
        <v>2258</v>
      </c>
      <c r="C43" s="25" t="s">
        <v>2259</v>
      </c>
      <c r="E43" s="25" t="s">
        <v>2216</v>
      </c>
    </row>
    <row r="44" spans="1:5">
      <c r="A44" s="25" t="s">
        <v>2260</v>
      </c>
      <c r="C44" s="25" t="s">
        <v>2261</v>
      </c>
      <c r="E44" s="25" t="s">
        <v>2216</v>
      </c>
    </row>
    <row r="45" spans="1:5">
      <c r="A45" s="25" t="s">
        <v>2262</v>
      </c>
      <c r="C45" s="25" t="s">
        <v>2263</v>
      </c>
      <c r="E45" s="25" t="s">
        <v>2198</v>
      </c>
    </row>
    <row r="46" spans="1:5">
      <c r="A46" s="25" t="s">
        <v>2264</v>
      </c>
      <c r="C46" s="25" t="s">
        <v>2265</v>
      </c>
      <c r="E46" s="25" t="s">
        <v>2195</v>
      </c>
    </row>
    <row r="47" spans="1:5">
      <c r="A47" s="25" t="s">
        <v>2266</v>
      </c>
      <c r="C47" s="25" t="s">
        <v>2267</v>
      </c>
      <c r="E47" s="25" t="s">
        <v>2195</v>
      </c>
    </row>
    <row r="48" spans="1:5">
      <c r="A48" s="25" t="s">
        <v>2115</v>
      </c>
      <c r="B48" s="25" t="s">
        <v>2115</v>
      </c>
    </row>
    <row r="49" spans="1:5" ht="15.75" customHeight="1">
      <c r="A49" s="25" t="s">
        <v>2268</v>
      </c>
      <c r="B49" s="50"/>
      <c r="C49" s="25" t="s">
        <v>2269</v>
      </c>
      <c r="E49" s="25" t="s">
        <v>2216</v>
      </c>
    </row>
    <row r="50" spans="1:5" ht="15.75" customHeight="1">
      <c r="A50" s="25" t="s">
        <v>2270</v>
      </c>
      <c r="B50" s="50"/>
      <c r="C50" s="25" t="s">
        <v>2271</v>
      </c>
      <c r="E50" s="25" t="s">
        <v>2216</v>
      </c>
    </row>
    <row r="51" spans="1:5" ht="15.75" customHeight="1">
      <c r="A51" s="25" t="s">
        <v>2272</v>
      </c>
      <c r="B51" s="50"/>
      <c r="C51" s="25" t="s">
        <v>2273</v>
      </c>
      <c r="E51" s="25" t="s">
        <v>2216</v>
      </c>
    </row>
    <row r="52" spans="1:5" ht="15.75" customHeight="1">
      <c r="A52" s="25" t="s">
        <v>2274</v>
      </c>
      <c r="B52" s="50"/>
      <c r="C52" s="25" t="s">
        <v>2275</v>
      </c>
      <c r="E52" s="25" t="s">
        <v>2216</v>
      </c>
    </row>
    <row r="53" spans="1:5" ht="15.75" customHeight="1">
      <c r="A53" s="25" t="s">
        <v>2276</v>
      </c>
      <c r="B53" s="50"/>
      <c r="C53" s="25" t="s">
        <v>2277</v>
      </c>
      <c r="E53" s="25" t="s">
        <v>2216</v>
      </c>
    </row>
    <row r="54" spans="1:5" ht="15.75" customHeight="1">
      <c r="A54" s="25" t="s">
        <v>2278</v>
      </c>
      <c r="B54" s="50"/>
      <c r="C54" s="25" t="s">
        <v>2279</v>
      </c>
      <c r="E54" s="25" t="s">
        <v>2216</v>
      </c>
    </row>
    <row r="55" spans="1:5" ht="15.75" customHeight="1">
      <c r="A55" s="25" t="s">
        <v>2280</v>
      </c>
      <c r="B55" s="50"/>
      <c r="C55" s="25" t="s">
        <v>2281</v>
      </c>
      <c r="E55" s="25" t="s">
        <v>2216</v>
      </c>
    </row>
    <row r="56" spans="1:5" ht="15.75" customHeight="1">
      <c r="A56" s="25" t="s">
        <v>2282</v>
      </c>
      <c r="B56" s="50"/>
      <c r="C56" s="25" t="s">
        <v>2283</v>
      </c>
      <c r="E56" s="25" t="s">
        <v>2198</v>
      </c>
    </row>
    <row r="57" spans="1:5" ht="15.75" customHeight="1">
      <c r="A57" s="25" t="s">
        <v>2284</v>
      </c>
      <c r="B57" s="50"/>
      <c r="C57" s="25" t="s">
        <v>2285</v>
      </c>
      <c r="E57" s="25" t="s">
        <v>2198</v>
      </c>
    </row>
    <row r="58" spans="1:5" ht="15.75" customHeight="1">
      <c r="A58" s="25" t="s">
        <v>2286</v>
      </c>
      <c r="B58" s="50"/>
      <c r="C58" s="25" t="s">
        <v>2287</v>
      </c>
      <c r="E58" s="25" t="s">
        <v>2198</v>
      </c>
    </row>
    <row r="59" spans="1:5" ht="15.75" customHeight="1">
      <c r="A59" s="25" t="s">
        <v>2288</v>
      </c>
      <c r="B59" s="50"/>
      <c r="C59" s="25" t="s">
        <v>2289</v>
      </c>
      <c r="E59" s="25" t="s">
        <v>2198</v>
      </c>
    </row>
    <row r="60" spans="1:5" ht="15.75" customHeight="1">
      <c r="A60" s="25" t="s">
        <v>2290</v>
      </c>
      <c r="B60" s="50"/>
      <c r="C60" s="25" t="s">
        <v>2291</v>
      </c>
      <c r="E60" s="25" t="s">
        <v>2198</v>
      </c>
    </row>
    <row r="61" spans="1:5" ht="15.75" customHeight="1">
      <c r="A61" s="25" t="s">
        <v>2292</v>
      </c>
      <c r="B61" s="50"/>
      <c r="C61" s="25" t="s">
        <v>2293</v>
      </c>
      <c r="E61" s="25" t="s">
        <v>2198</v>
      </c>
    </row>
    <row r="62" spans="1:5" ht="15.75" customHeight="1">
      <c r="A62" s="25" t="s">
        <v>2294</v>
      </c>
      <c r="B62" s="50"/>
      <c r="C62" s="25" t="s">
        <v>2295</v>
      </c>
      <c r="E62" s="25" t="s">
        <v>2198</v>
      </c>
    </row>
    <row r="63" spans="1:5" ht="15.75" customHeight="1">
      <c r="A63" s="25" t="s">
        <v>2296</v>
      </c>
      <c r="B63" s="50"/>
      <c r="C63" s="25" t="s">
        <v>2297</v>
      </c>
      <c r="E63" s="25" t="s">
        <v>2198</v>
      </c>
    </row>
    <row r="64" spans="1:5">
      <c r="A64" s="25" t="s">
        <v>2158</v>
      </c>
      <c r="B64" s="25" t="s">
        <v>2158</v>
      </c>
    </row>
    <row r="65" spans="1:5">
      <c r="A65" s="25" t="s">
        <v>2298</v>
      </c>
      <c r="C65" s="25" t="s">
        <v>2299</v>
      </c>
      <c r="E65" s="25" t="s">
        <v>2198</v>
      </c>
    </row>
    <row r="66" spans="1:5">
      <c r="A66" s="25" t="s">
        <v>2300</v>
      </c>
      <c r="C66" s="25" t="s">
        <v>2301</v>
      </c>
      <c r="E66" s="25" t="s">
        <v>2198</v>
      </c>
    </row>
    <row r="67" spans="1:5">
      <c r="A67" s="25" t="s">
        <v>2302</v>
      </c>
      <c r="C67" s="25" t="s">
        <v>2303</v>
      </c>
      <c r="E67" s="25" t="s">
        <v>2198</v>
      </c>
    </row>
    <row r="68" spans="1:5">
      <c r="A68" s="25" t="s">
        <v>2304</v>
      </c>
      <c r="C68" s="25" t="s">
        <v>2305</v>
      </c>
      <c r="E68" s="25" t="s">
        <v>2198</v>
      </c>
    </row>
    <row r="69" spans="1:5">
      <c r="A69" s="25" t="s">
        <v>2306</v>
      </c>
      <c r="C69" s="25" t="s">
        <v>2307</v>
      </c>
      <c r="E69" s="25" t="s">
        <v>2198</v>
      </c>
    </row>
  </sheetData>
  <pageMargins left="0.7" right="0.7" top="0.75" bottom="0.75" header="0.511811023622047" footer="0.511811023622047"/>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42"/>
  <sheetViews>
    <sheetView topLeftCell="E1" zoomScaleNormal="100" workbookViewId="0">
      <selection activeCell="B7" sqref="B7:F10"/>
    </sheetView>
  </sheetViews>
  <sheetFormatPr baseColWidth="10" defaultColWidth="8.6640625" defaultRowHeight="14.4"/>
  <cols>
    <col min="1" max="1" width="21.44140625" customWidth="1"/>
    <col min="2" max="2" width="13.6640625" customWidth="1"/>
    <col min="3" max="4" width="13.33203125" customWidth="1"/>
    <col min="5" max="5" width="80.6640625" customWidth="1"/>
    <col min="6" max="6" width="26.109375" customWidth="1"/>
  </cols>
  <sheetData>
    <row r="1" spans="1:6">
      <c r="A1" s="17" t="s">
        <v>0</v>
      </c>
      <c r="B1" s="18" t="s">
        <v>403</v>
      </c>
      <c r="C1" s="19"/>
      <c r="D1" s="19"/>
    </row>
    <row r="2" spans="1:6">
      <c r="A2" s="17" t="s">
        <v>2</v>
      </c>
      <c r="B2" s="18" t="s">
        <v>1183</v>
      </c>
      <c r="C2" s="19"/>
      <c r="D2" s="19"/>
    </row>
    <row r="3" spans="1:6">
      <c r="A3" s="17" t="s">
        <v>4</v>
      </c>
      <c r="B3" s="18" t="s">
        <v>2308</v>
      </c>
      <c r="C3" s="19"/>
      <c r="D3" s="19"/>
    </row>
    <row r="4" spans="1:6">
      <c r="A4" s="17" t="s">
        <v>6</v>
      </c>
      <c r="B4" s="18" t="s">
        <v>429</v>
      </c>
      <c r="C4" s="20"/>
      <c r="D4" s="20"/>
    </row>
    <row r="5" spans="1:6">
      <c r="A5" s="17" t="s">
        <v>8</v>
      </c>
      <c r="B5" s="18" t="s">
        <v>2309</v>
      </c>
      <c r="C5" s="20"/>
      <c r="D5" s="20"/>
    </row>
    <row r="6" spans="1:6">
      <c r="A6" s="21" t="s">
        <v>10</v>
      </c>
      <c r="B6" s="21" t="s">
        <v>11</v>
      </c>
      <c r="C6" s="21" t="s">
        <v>12</v>
      </c>
      <c r="D6" s="21" t="s">
        <v>13</v>
      </c>
      <c r="E6" s="21" t="s">
        <v>8</v>
      </c>
      <c r="F6" s="21" t="s">
        <v>14</v>
      </c>
    </row>
    <row r="7" spans="1:6">
      <c r="A7" s="26" t="s">
        <v>1946</v>
      </c>
      <c r="B7" s="26" t="s">
        <v>2310</v>
      </c>
      <c r="C7" s="38"/>
      <c r="D7" s="38"/>
      <c r="E7" s="26" t="s">
        <v>2311</v>
      </c>
      <c r="F7" s="38"/>
    </row>
    <row r="8" spans="1:6">
      <c r="A8" s="26" t="s">
        <v>2312</v>
      </c>
      <c r="B8" s="26" t="s">
        <v>2313</v>
      </c>
      <c r="C8" s="38"/>
      <c r="D8" s="38"/>
      <c r="E8" s="26" t="s">
        <v>2314</v>
      </c>
      <c r="F8" s="38"/>
    </row>
    <row r="9" spans="1:6">
      <c r="A9" s="26" t="s">
        <v>2315</v>
      </c>
      <c r="B9" s="26" t="s">
        <v>2169</v>
      </c>
      <c r="C9" s="38"/>
      <c r="D9" s="38"/>
      <c r="E9" s="26" t="s">
        <v>2316</v>
      </c>
      <c r="F9" s="38"/>
    </row>
    <row r="10" spans="1:6">
      <c r="A10" s="26" t="s">
        <v>2317</v>
      </c>
      <c r="B10" s="26" t="s">
        <v>2318</v>
      </c>
      <c r="C10" s="26"/>
      <c r="D10" s="26"/>
      <c r="E10" s="26" t="s">
        <v>2319</v>
      </c>
      <c r="F10" s="38"/>
    </row>
    <row r="11" spans="1:6">
      <c r="A11" s="38"/>
      <c r="B11" s="38"/>
      <c r="C11" s="38"/>
      <c r="D11" s="38"/>
      <c r="E11" s="38"/>
      <c r="F11" s="38"/>
    </row>
    <row r="12" spans="1:6">
      <c r="A12" s="38"/>
      <c r="B12" s="38"/>
      <c r="C12" s="38"/>
      <c r="D12" s="38"/>
      <c r="E12" s="38"/>
      <c r="F12" s="38"/>
    </row>
    <row r="13" spans="1:6">
      <c r="A13" s="38"/>
      <c r="B13" s="38"/>
      <c r="C13" s="38"/>
      <c r="D13" s="38"/>
      <c r="E13" s="38"/>
      <c r="F13" s="38"/>
    </row>
    <row r="14" spans="1:6">
      <c r="A14" s="38"/>
      <c r="B14" s="38"/>
      <c r="C14" s="38"/>
      <c r="D14" s="38"/>
      <c r="E14" s="38"/>
      <c r="F14" s="38"/>
    </row>
    <row r="15" spans="1:6">
      <c r="A15" s="38"/>
      <c r="B15" s="38"/>
      <c r="C15" s="38"/>
      <c r="D15" s="38"/>
      <c r="E15" s="38"/>
      <c r="F15" s="38"/>
    </row>
    <row r="16" spans="1:6">
      <c r="A16" s="38"/>
      <c r="B16" s="38"/>
      <c r="C16" s="38"/>
      <c r="D16" s="38"/>
      <c r="E16" s="38"/>
      <c r="F16" s="38"/>
    </row>
    <row r="17" spans="1:6">
      <c r="A17" s="38"/>
      <c r="B17" s="38"/>
      <c r="C17" s="38"/>
      <c r="D17" s="38"/>
      <c r="E17" s="38"/>
      <c r="F17" s="38"/>
    </row>
    <row r="18" spans="1:6">
      <c r="A18" s="38"/>
      <c r="B18" s="38"/>
      <c r="C18" s="38"/>
      <c r="D18" s="38"/>
      <c r="E18" s="38"/>
      <c r="F18" s="38"/>
    </row>
    <row r="19" spans="1:6">
      <c r="A19" s="38"/>
      <c r="B19" s="38"/>
      <c r="C19" s="38"/>
      <c r="D19" s="38"/>
      <c r="E19" s="38"/>
      <c r="F19" s="38"/>
    </row>
    <row r="20" spans="1:6">
      <c r="A20" s="38"/>
      <c r="B20" s="38"/>
      <c r="C20" s="38"/>
      <c r="D20" s="38"/>
      <c r="E20" s="38"/>
      <c r="F20" s="38"/>
    </row>
    <row r="21" spans="1:6">
      <c r="A21" s="38"/>
      <c r="B21" s="38"/>
      <c r="C21" s="38"/>
      <c r="D21" s="38"/>
      <c r="E21" s="38"/>
      <c r="F21" s="38"/>
    </row>
    <row r="22" spans="1:6">
      <c r="A22" s="38"/>
      <c r="B22" s="38"/>
      <c r="C22" s="38"/>
      <c r="D22" s="38"/>
      <c r="E22" s="38"/>
      <c r="F22" s="38"/>
    </row>
    <row r="23" spans="1:6">
      <c r="A23" s="38"/>
      <c r="B23" s="38"/>
      <c r="C23" s="38"/>
      <c r="D23" s="38"/>
      <c r="E23" s="38"/>
      <c r="F23" s="38"/>
    </row>
    <row r="24" spans="1:6">
      <c r="A24" s="38"/>
      <c r="B24" s="38"/>
      <c r="C24" s="38"/>
      <c r="D24" s="38"/>
      <c r="E24" s="38"/>
      <c r="F24" s="38"/>
    </row>
    <row r="25" spans="1:6">
      <c r="A25" s="38"/>
      <c r="B25" s="38"/>
      <c r="C25" s="38"/>
      <c r="D25" s="38"/>
      <c r="E25" s="38"/>
      <c r="F25" s="38"/>
    </row>
    <row r="26" spans="1:6">
      <c r="A26" s="38"/>
      <c r="B26" s="38"/>
      <c r="C26" s="38"/>
      <c r="D26" s="38"/>
      <c r="E26" s="38"/>
      <c r="F26" s="38"/>
    </row>
    <row r="27" spans="1:6">
      <c r="A27" s="38"/>
      <c r="B27" s="38"/>
      <c r="C27" s="38"/>
      <c r="D27" s="38"/>
      <c r="E27" s="38"/>
      <c r="F27" s="38"/>
    </row>
    <row r="28" spans="1:6">
      <c r="A28" s="38"/>
      <c r="B28" s="38"/>
      <c r="C28" s="38"/>
      <c r="D28" s="38"/>
      <c r="E28" s="38"/>
      <c r="F28" s="38"/>
    </row>
    <row r="29" spans="1:6">
      <c r="A29" s="38"/>
      <c r="B29" s="38"/>
      <c r="C29" s="38"/>
      <c r="D29" s="38"/>
      <c r="E29" s="38"/>
      <c r="F29" s="38"/>
    </row>
    <row r="30" spans="1:6">
      <c r="A30" s="38"/>
      <c r="B30" s="38"/>
      <c r="C30" s="38"/>
      <c r="D30" s="38"/>
      <c r="E30" s="38"/>
      <c r="F30" s="38"/>
    </row>
    <row r="31" spans="1:6">
      <c r="A31" s="38"/>
      <c r="B31" s="38"/>
      <c r="C31" s="38"/>
      <c r="D31" s="38"/>
      <c r="E31" s="38"/>
      <c r="F31" s="38"/>
    </row>
    <row r="32" spans="1:6">
      <c r="A32" s="38"/>
      <c r="B32" s="38"/>
      <c r="C32" s="38"/>
      <c r="D32" s="38"/>
      <c r="E32" s="38"/>
      <c r="F32" s="38"/>
    </row>
    <row r="33" spans="1:6">
      <c r="A33" s="38"/>
      <c r="B33" s="38"/>
      <c r="C33" s="38"/>
      <c r="D33" s="38"/>
      <c r="E33" s="38"/>
      <c r="F33" s="38"/>
    </row>
    <row r="34" spans="1:6">
      <c r="A34" s="38"/>
      <c r="B34" s="38"/>
      <c r="C34" s="38"/>
      <c r="D34" s="38"/>
      <c r="E34" s="38"/>
      <c r="F34" s="38"/>
    </row>
    <row r="35" spans="1:6">
      <c r="A35" s="38"/>
      <c r="B35" s="38"/>
      <c r="C35" s="38"/>
      <c r="D35" s="38"/>
      <c r="E35" s="38"/>
      <c r="F35" s="38"/>
    </row>
    <row r="36" spans="1:6">
      <c r="A36" s="38"/>
      <c r="B36" s="38"/>
      <c r="C36" s="38"/>
      <c r="D36" s="38"/>
      <c r="E36" s="38"/>
      <c r="F36" s="38"/>
    </row>
    <row r="37" spans="1:6">
      <c r="A37" s="38"/>
      <c r="B37" s="38"/>
      <c r="C37" s="38"/>
      <c r="D37" s="38"/>
      <c r="E37" s="38"/>
      <c r="F37" s="38"/>
    </row>
    <row r="38" spans="1:6">
      <c r="A38" s="38"/>
      <c r="B38" s="38"/>
      <c r="C38" s="38"/>
      <c r="D38" s="38"/>
      <c r="E38" s="38"/>
      <c r="F38" s="38"/>
    </row>
    <row r="39" spans="1:6">
      <c r="A39" s="38"/>
      <c r="B39" s="38"/>
      <c r="C39" s="38"/>
      <c r="D39" s="38"/>
      <c r="E39" s="38"/>
      <c r="F39" s="38"/>
    </row>
    <row r="40" spans="1:6">
      <c r="A40" s="38"/>
      <c r="B40" s="38"/>
      <c r="C40" s="38"/>
      <c r="D40" s="38"/>
      <c r="E40" s="38"/>
      <c r="F40" s="38"/>
    </row>
    <row r="41" spans="1:6">
      <c r="A41" s="38"/>
      <c r="B41" s="38"/>
      <c r="C41" s="38"/>
      <c r="D41" s="38"/>
      <c r="E41" s="38"/>
      <c r="F41" s="38"/>
    </row>
    <row r="42" spans="1:6">
      <c r="A42" s="38"/>
      <c r="B42" s="38"/>
      <c r="C42" s="38"/>
      <c r="D42" s="38"/>
      <c r="E42" s="38"/>
      <c r="F42" s="38"/>
    </row>
  </sheetData>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8"/>
  <sheetViews>
    <sheetView zoomScaleNormal="100" workbookViewId="0">
      <selection activeCell="B7" sqref="B7:B13"/>
    </sheetView>
  </sheetViews>
  <sheetFormatPr baseColWidth="10" defaultColWidth="8.6640625" defaultRowHeight="14.4"/>
  <cols>
    <col min="1" max="1" width="21.44140625" customWidth="1"/>
    <col min="2" max="2" width="45.6640625" customWidth="1"/>
    <col min="3" max="3" width="15.44140625" customWidth="1"/>
    <col min="4" max="4" width="38.44140625" customWidth="1"/>
    <col min="5" max="5" width="14.109375" customWidth="1"/>
  </cols>
  <sheetData>
    <row r="1" spans="1:5">
      <c r="A1" s="17" t="s">
        <v>0</v>
      </c>
      <c r="B1" s="18" t="s">
        <v>406</v>
      </c>
      <c r="C1" s="19"/>
    </row>
    <row r="2" spans="1:5">
      <c r="A2" s="17" t="s">
        <v>2</v>
      </c>
      <c r="B2" s="18" t="s">
        <v>427</v>
      </c>
      <c r="C2" s="19"/>
    </row>
    <row r="3" spans="1:5">
      <c r="A3" s="17" t="s">
        <v>4</v>
      </c>
      <c r="B3" s="18" t="s">
        <v>2320</v>
      </c>
      <c r="C3" s="19"/>
    </row>
    <row r="4" spans="1:5">
      <c r="A4" s="17" t="s">
        <v>6</v>
      </c>
      <c r="B4" s="18" t="s">
        <v>429</v>
      </c>
      <c r="C4" s="20"/>
    </row>
    <row r="5" spans="1:5">
      <c r="A5" s="17" t="s">
        <v>8</v>
      </c>
      <c r="B5" s="18" t="s">
        <v>430</v>
      </c>
      <c r="C5" s="20"/>
    </row>
    <row r="6" spans="1:5">
      <c r="A6" s="21" t="s">
        <v>10</v>
      </c>
      <c r="B6" s="21" t="s">
        <v>11</v>
      </c>
      <c r="C6" s="21" t="s">
        <v>12</v>
      </c>
      <c r="D6" s="21" t="s">
        <v>8</v>
      </c>
      <c r="E6" s="21" t="s">
        <v>14</v>
      </c>
    </row>
    <row r="7" spans="1:5" s="25" customFormat="1">
      <c r="A7" s="22" t="s">
        <v>2321</v>
      </c>
      <c r="B7" s="51" t="s">
        <v>2322</v>
      </c>
      <c r="C7" s="23"/>
    </row>
    <row r="8" spans="1:5" s="25" customFormat="1">
      <c r="A8" s="22" t="s">
        <v>2323</v>
      </c>
      <c r="B8" s="51" t="s">
        <v>2324</v>
      </c>
      <c r="C8" s="23"/>
    </row>
    <row r="9" spans="1:5" s="25" customFormat="1">
      <c r="A9" t="s">
        <v>1958</v>
      </c>
      <c r="B9" s="51" t="s">
        <v>2325</v>
      </c>
      <c r="C9" s="23"/>
    </row>
    <row r="10" spans="1:5" s="25" customFormat="1">
      <c r="A10" t="s">
        <v>2326</v>
      </c>
      <c r="B10" s="51" t="s">
        <v>2327</v>
      </c>
      <c r="C10" s="23"/>
    </row>
    <row r="11" spans="1:5" s="25" customFormat="1">
      <c r="A11" t="s">
        <v>2328</v>
      </c>
      <c r="B11" s="51" t="s">
        <v>16</v>
      </c>
      <c r="C11" s="23"/>
    </row>
    <row r="12" spans="1:5" s="25" customFormat="1">
      <c r="A12" t="s">
        <v>2329</v>
      </c>
      <c r="B12" s="51" t="s">
        <v>2330</v>
      </c>
      <c r="C12" s="23"/>
    </row>
    <row r="13" spans="1:5" s="25" customFormat="1">
      <c r="A13" t="s">
        <v>511</v>
      </c>
      <c r="B13" s="51" t="s">
        <v>2087</v>
      </c>
      <c r="C13" s="23"/>
    </row>
    <row r="14" spans="1:5" s="25" customFormat="1">
      <c r="C14" s="23"/>
    </row>
    <row r="15" spans="1:5" s="25" customFormat="1">
      <c r="C15" s="23"/>
    </row>
    <row r="16" spans="1:5" s="25" customFormat="1">
      <c r="C16" s="23"/>
    </row>
    <row r="17" spans="1:5" s="25" customFormat="1">
      <c r="C17" s="23"/>
    </row>
    <row r="19" spans="1:5">
      <c r="E19" s="27"/>
    </row>
    <row r="20" spans="1:5" s="30" customFormat="1">
      <c r="D20" s="29"/>
      <c r="E20" s="28"/>
    </row>
    <row r="22" spans="1:5">
      <c r="A22" s="29"/>
      <c r="B22" s="29"/>
      <c r="C22" s="29"/>
    </row>
    <row r="28" spans="1:5">
      <c r="A28" s="29"/>
      <c r="B28" s="29"/>
      <c r="C28" s="29"/>
    </row>
  </sheetData>
  <pageMargins left="0.7" right="0.7" top="0.75" bottom="0.75" header="0.511811023622047" footer="0.511811023622047"/>
  <pageSetup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28"/>
  <sheetViews>
    <sheetView topLeftCell="A5" zoomScaleNormal="100" workbookViewId="0">
      <selection activeCell="E23" sqref="E23"/>
    </sheetView>
  </sheetViews>
  <sheetFormatPr baseColWidth="10" defaultColWidth="8.6640625" defaultRowHeight="14.4"/>
  <cols>
    <col min="1" max="1" width="26.109375" customWidth="1"/>
    <col min="2" max="2" width="56.109375" customWidth="1"/>
    <col min="3" max="3" width="41.44140625" customWidth="1"/>
    <col min="4" max="4" width="61.44140625" customWidth="1"/>
    <col min="5" max="5" width="26.109375" customWidth="1"/>
  </cols>
  <sheetData>
    <row r="1" spans="1:5">
      <c r="A1" s="17" t="s">
        <v>0</v>
      </c>
      <c r="B1" s="18" t="s">
        <v>408</v>
      </c>
      <c r="C1" s="19"/>
    </row>
    <row r="2" spans="1:5">
      <c r="A2" s="17" t="s">
        <v>2</v>
      </c>
      <c r="B2" s="18" t="s">
        <v>3</v>
      </c>
      <c r="C2" s="19"/>
    </row>
    <row r="3" spans="1:5">
      <c r="A3" s="17" t="s">
        <v>4</v>
      </c>
      <c r="B3" s="18" t="s">
        <v>2331</v>
      </c>
      <c r="C3" s="19"/>
    </row>
    <row r="4" spans="1:5">
      <c r="A4" s="17" t="s">
        <v>6</v>
      </c>
      <c r="B4" s="18" t="s">
        <v>1141</v>
      </c>
      <c r="C4" s="20"/>
    </row>
    <row r="5" spans="1:5">
      <c r="A5" s="17" t="s">
        <v>8</v>
      </c>
      <c r="B5" s="18" t="s">
        <v>2332</v>
      </c>
      <c r="C5" s="20"/>
    </row>
    <row r="6" spans="1:5">
      <c r="A6" s="21" t="s">
        <v>10</v>
      </c>
      <c r="B6" s="21" t="s">
        <v>11</v>
      </c>
      <c r="C6" s="21" t="s">
        <v>12</v>
      </c>
      <c r="D6" s="21" t="s">
        <v>8</v>
      </c>
      <c r="E6" s="21" t="s">
        <v>14</v>
      </c>
    </row>
    <row r="7" spans="1:5">
      <c r="A7" s="52" t="s">
        <v>2333</v>
      </c>
      <c r="B7" s="53" t="s">
        <v>2334</v>
      </c>
      <c r="C7" s="32"/>
      <c r="D7" s="53" t="s">
        <v>2335</v>
      </c>
    </row>
    <row r="8" spans="1:5">
      <c r="A8" s="73" t="s">
        <v>2336</v>
      </c>
      <c r="B8" s="53" t="s">
        <v>2337</v>
      </c>
      <c r="C8" s="32"/>
      <c r="D8" s="53" t="s">
        <v>2338</v>
      </c>
    </row>
    <row r="9" spans="1:5">
      <c r="A9" s="52" t="s">
        <v>2130</v>
      </c>
      <c r="B9" s="53" t="s">
        <v>2339</v>
      </c>
      <c r="C9" s="32"/>
      <c r="D9" s="53" t="s">
        <v>2340</v>
      </c>
    </row>
    <row r="10" spans="1:5">
      <c r="A10" s="52" t="s">
        <v>2115</v>
      </c>
      <c r="B10" s="53" t="s">
        <v>2341</v>
      </c>
      <c r="C10" s="32"/>
      <c r="D10" s="53" t="s">
        <v>2342</v>
      </c>
    </row>
    <row r="11" spans="1:5">
      <c r="A11" s="52" t="s">
        <v>2343</v>
      </c>
      <c r="B11" s="53" t="s">
        <v>2344</v>
      </c>
      <c r="C11" s="32"/>
      <c r="D11" s="53" t="s">
        <v>2345</v>
      </c>
    </row>
    <row r="12" spans="1:5">
      <c r="A12" s="52" t="s">
        <v>2312</v>
      </c>
      <c r="B12" s="53" t="s">
        <v>2346</v>
      </c>
      <c r="C12" s="32"/>
      <c r="D12" s="53" t="s">
        <v>2347</v>
      </c>
    </row>
    <row r="13" spans="1:5">
      <c r="A13" s="52" t="s">
        <v>2348</v>
      </c>
      <c r="B13" s="53" t="s">
        <v>2349</v>
      </c>
      <c r="C13" s="32"/>
      <c r="D13" s="53" t="s">
        <v>2350</v>
      </c>
    </row>
    <row r="14" spans="1:5">
      <c r="A14" s="52" t="s">
        <v>2351</v>
      </c>
      <c r="B14" s="53" t="s">
        <v>2352</v>
      </c>
      <c r="C14" s="32"/>
      <c r="D14" s="53" t="s">
        <v>2352</v>
      </c>
    </row>
    <row r="15" spans="1:5">
      <c r="A15" s="74" t="s">
        <v>2353</v>
      </c>
      <c r="B15" s="53" t="s">
        <v>2354</v>
      </c>
      <c r="C15" s="32"/>
      <c r="D15" s="53" t="s">
        <v>2354</v>
      </c>
    </row>
    <row r="16" spans="1:5">
      <c r="A16" s="52" t="s">
        <v>2355</v>
      </c>
      <c r="B16" s="53" t="s">
        <v>2356</v>
      </c>
      <c r="C16" s="32"/>
      <c r="D16" s="53" t="s">
        <v>2356</v>
      </c>
    </row>
    <row r="17" spans="1:5">
      <c r="A17" s="52" t="s">
        <v>2357</v>
      </c>
      <c r="B17" s="32" t="s">
        <v>2358</v>
      </c>
      <c r="C17" s="32"/>
      <c r="D17" s="53" t="s">
        <v>2358</v>
      </c>
    </row>
    <row r="18" spans="1:5">
      <c r="A18" s="52" t="s">
        <v>2359</v>
      </c>
      <c r="B18" s="32" t="s">
        <v>2360</v>
      </c>
      <c r="C18" s="32"/>
      <c r="D18" s="53" t="s">
        <v>2360</v>
      </c>
    </row>
    <row r="19" spans="1:5">
      <c r="B19" s="32"/>
      <c r="C19" s="32"/>
      <c r="D19" s="32"/>
    </row>
    <row r="20" spans="1:5">
      <c r="B20" s="52"/>
      <c r="C20" s="52"/>
      <c r="D20" s="52"/>
      <c r="E20" s="53"/>
    </row>
    <row r="21" spans="1:5">
      <c r="B21" s="73"/>
      <c r="C21" s="73"/>
      <c r="D21" s="73"/>
      <c r="E21" s="53"/>
    </row>
    <row r="22" spans="1:5">
      <c r="B22" s="52"/>
      <c r="C22" s="52"/>
      <c r="D22" s="52"/>
      <c r="E22" s="53"/>
    </row>
    <row r="23" spans="1:5">
      <c r="B23" s="52"/>
      <c r="C23" s="32"/>
      <c r="D23" s="32"/>
      <c r="E23" s="53"/>
    </row>
    <row r="24" spans="1:5">
      <c r="B24" s="52"/>
      <c r="C24" s="52"/>
      <c r="D24" s="52"/>
      <c r="E24" s="53"/>
    </row>
    <row r="25" spans="1:5">
      <c r="B25" s="52"/>
      <c r="C25" s="53"/>
      <c r="D25" s="52"/>
      <c r="E25" s="53"/>
    </row>
    <row r="26" spans="1:5">
      <c r="B26" s="52"/>
      <c r="C26" s="53"/>
      <c r="D26" s="52"/>
      <c r="E26" s="53"/>
    </row>
    <row r="27" spans="1:5">
      <c r="B27" s="52"/>
      <c r="C27" s="53"/>
      <c r="D27" s="52"/>
      <c r="E27" s="53"/>
    </row>
    <row r="28" spans="1:5">
      <c r="B28" s="74"/>
      <c r="C28" s="53"/>
      <c r="D28" s="74"/>
      <c r="E28" s="53"/>
    </row>
  </sheetData>
  <pageMargins left="0.7" right="0.7" top="0.75" bottom="0.75" header="0.511811023622047" footer="0.511811023622047"/>
  <pageSetup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16"/>
  <sheetViews>
    <sheetView topLeftCell="B1" zoomScale="115" zoomScaleNormal="115" workbookViewId="0">
      <selection activeCell="B1" sqref="B1:B5"/>
    </sheetView>
  </sheetViews>
  <sheetFormatPr baseColWidth="10" defaultColWidth="11.44140625" defaultRowHeight="14.4"/>
  <cols>
    <col min="1" max="1" width="28.44140625" customWidth="1"/>
    <col min="2" max="2" width="23.44140625" customWidth="1"/>
    <col min="3" max="3" width="13.33203125" customWidth="1"/>
    <col min="4" max="4" width="11.6640625" customWidth="1"/>
    <col min="5" max="5" width="163.33203125" customWidth="1"/>
  </cols>
  <sheetData>
    <row r="1" spans="1:6">
      <c r="A1" s="39" t="s">
        <v>0</v>
      </c>
      <c r="B1" s="18" t="s">
        <v>411</v>
      </c>
      <c r="C1" s="40"/>
      <c r="D1" s="40"/>
    </row>
    <row r="2" spans="1:6">
      <c r="A2" s="39" t="s">
        <v>2</v>
      </c>
      <c r="B2" s="18" t="s">
        <v>3</v>
      </c>
      <c r="C2" s="40"/>
      <c r="D2" s="40"/>
    </row>
    <row r="3" spans="1:6">
      <c r="A3" s="39" t="s">
        <v>4</v>
      </c>
      <c r="B3" s="18" t="s">
        <v>2361</v>
      </c>
      <c r="C3" s="40"/>
      <c r="D3" s="40"/>
    </row>
    <row r="4" spans="1:6">
      <c r="A4" s="39" t="s">
        <v>6</v>
      </c>
      <c r="B4" s="18" t="s">
        <v>429</v>
      </c>
      <c r="C4" s="41"/>
      <c r="D4" s="41"/>
    </row>
    <row r="5" spans="1:6">
      <c r="A5" s="39" t="s">
        <v>8</v>
      </c>
      <c r="B5" s="18" t="s">
        <v>2362</v>
      </c>
      <c r="C5" s="41"/>
      <c r="D5" s="41"/>
    </row>
    <row r="6" spans="1:6">
      <c r="A6" s="42" t="s">
        <v>10</v>
      </c>
      <c r="B6" s="42" t="s">
        <v>11</v>
      </c>
      <c r="C6" s="42" t="s">
        <v>12</v>
      </c>
      <c r="D6" s="42" t="s">
        <v>13</v>
      </c>
      <c r="E6" s="42" t="s">
        <v>8</v>
      </c>
      <c r="F6" s="42" t="s">
        <v>14</v>
      </c>
    </row>
    <row r="7" spans="1:6">
      <c r="A7" t="s">
        <v>2363</v>
      </c>
      <c r="B7" t="s">
        <v>2364</v>
      </c>
      <c r="E7" t="s">
        <v>2365</v>
      </c>
    </row>
    <row r="8" spans="1:6">
      <c r="A8" t="s">
        <v>2366</v>
      </c>
      <c r="B8" t="s">
        <v>2367</v>
      </c>
      <c r="E8" t="s">
        <v>2368</v>
      </c>
    </row>
    <row r="9" spans="1:6">
      <c r="A9" t="s">
        <v>2369</v>
      </c>
      <c r="B9" t="s">
        <v>2370</v>
      </c>
      <c r="E9" t="s">
        <v>2371</v>
      </c>
    </row>
    <row r="10" spans="1:6">
      <c r="A10" t="s">
        <v>2372</v>
      </c>
      <c r="B10" t="s">
        <v>2373</v>
      </c>
      <c r="E10" t="s">
        <v>2374</v>
      </c>
    </row>
    <row r="11" spans="1:6">
      <c r="A11" t="s">
        <v>2375</v>
      </c>
      <c r="B11" t="s">
        <v>2376</v>
      </c>
      <c r="E11" t="s">
        <v>2377</v>
      </c>
    </row>
    <row r="12" spans="1:6">
      <c r="A12" t="s">
        <v>2378</v>
      </c>
      <c r="B12" t="s">
        <v>2379</v>
      </c>
      <c r="E12" t="s">
        <v>2380</v>
      </c>
    </row>
    <row r="13" spans="1:6">
      <c r="A13" t="s">
        <v>2381</v>
      </c>
      <c r="B13" t="s">
        <v>2382</v>
      </c>
      <c r="E13" t="s">
        <v>2383</v>
      </c>
    </row>
    <row r="14" spans="1:6">
      <c r="A14" t="s">
        <v>2384</v>
      </c>
      <c r="B14" t="s">
        <v>2385</v>
      </c>
      <c r="E14" t="s">
        <v>2386</v>
      </c>
    </row>
    <row r="15" spans="1:6">
      <c r="A15" t="s">
        <v>2387</v>
      </c>
      <c r="B15" t="s">
        <v>2388</v>
      </c>
      <c r="E15" t="s">
        <v>2386</v>
      </c>
    </row>
    <row r="16" spans="1:6">
      <c r="A16" t="s">
        <v>2389</v>
      </c>
      <c r="B16" t="s">
        <v>2390</v>
      </c>
      <c r="E16" t="s">
        <v>2386</v>
      </c>
    </row>
  </sheetData>
  <pageMargins left="0.7" right="0.7" top="0.75" bottom="0.75" header="0.511811023622047" footer="0.511811023622047"/>
  <pageSetup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FF"/>
  </sheetPr>
  <dimension ref="A1:E19"/>
  <sheetViews>
    <sheetView zoomScaleNormal="100" workbookViewId="0">
      <selection activeCell="D7" sqref="D7:E17"/>
    </sheetView>
  </sheetViews>
  <sheetFormatPr baseColWidth="10" defaultColWidth="8.6640625" defaultRowHeight="14.4"/>
  <cols>
    <col min="1" max="1" width="26.109375" customWidth="1"/>
    <col min="2" max="2" width="23.33203125" customWidth="1"/>
    <col min="3" max="3" width="12.88671875" customWidth="1"/>
    <col min="4" max="4" width="154.88671875" customWidth="1"/>
    <col min="5" max="5" width="11" customWidth="1"/>
  </cols>
  <sheetData>
    <row r="1" spans="1:5">
      <c r="A1" s="17" t="s">
        <v>0</v>
      </c>
      <c r="B1" s="18" t="s">
        <v>413</v>
      </c>
      <c r="C1" s="19"/>
    </row>
    <row r="2" spans="1:5">
      <c r="A2" s="17" t="s">
        <v>2</v>
      </c>
      <c r="B2" s="18" t="s">
        <v>1183</v>
      </c>
      <c r="C2" s="19"/>
    </row>
    <row r="3" spans="1:5">
      <c r="A3" s="17" t="s">
        <v>4</v>
      </c>
      <c r="B3" s="18" t="s">
        <v>2391</v>
      </c>
      <c r="C3" s="19"/>
    </row>
    <row r="4" spans="1:5">
      <c r="A4" s="17" t="s">
        <v>6</v>
      </c>
      <c r="B4" s="18" t="s">
        <v>429</v>
      </c>
      <c r="C4" s="20"/>
    </row>
    <row r="5" spans="1:5">
      <c r="A5" s="17" t="s">
        <v>8</v>
      </c>
      <c r="B5" s="18" t="s">
        <v>2392</v>
      </c>
      <c r="C5" s="20"/>
    </row>
    <row r="6" spans="1:5">
      <c r="A6" s="21" t="s">
        <v>10</v>
      </c>
      <c r="B6" s="21" t="s">
        <v>11</v>
      </c>
      <c r="C6" s="21" t="s">
        <v>12</v>
      </c>
      <c r="D6" s="21" t="s">
        <v>8</v>
      </c>
      <c r="E6" s="21" t="s">
        <v>14</v>
      </c>
    </row>
    <row r="7" spans="1:5" s="25" customFormat="1">
      <c r="A7" s="54" t="s">
        <v>2393</v>
      </c>
      <c r="B7" t="s">
        <v>2394</v>
      </c>
      <c r="C7" s="23"/>
      <c r="D7" t="s">
        <v>2395</v>
      </c>
      <c r="E7">
        <v>1</v>
      </c>
    </row>
    <row r="8" spans="1:5" s="25" customFormat="1">
      <c r="A8" t="s">
        <v>2396</v>
      </c>
      <c r="B8" t="s">
        <v>2397</v>
      </c>
      <c r="C8" s="23"/>
      <c r="D8" t="s">
        <v>2398</v>
      </c>
      <c r="E8">
        <v>2</v>
      </c>
    </row>
    <row r="9" spans="1:5" s="25" customFormat="1">
      <c r="A9" t="s">
        <v>2399</v>
      </c>
      <c r="B9" t="s">
        <v>2400</v>
      </c>
      <c r="C9" s="23"/>
      <c r="D9" t="s">
        <v>2401</v>
      </c>
      <c r="E9">
        <v>3</v>
      </c>
    </row>
    <row r="10" spans="1:5" s="25" customFormat="1">
      <c r="A10" t="s">
        <v>2402</v>
      </c>
      <c r="B10" t="s">
        <v>2403</v>
      </c>
      <c r="C10" s="23"/>
      <c r="D10" t="s">
        <v>2404</v>
      </c>
      <c r="E10">
        <v>4</v>
      </c>
    </row>
    <row r="11" spans="1:5" s="25" customFormat="1">
      <c r="A11" t="s">
        <v>2405</v>
      </c>
      <c r="B11" t="s">
        <v>2406</v>
      </c>
      <c r="C11" s="23"/>
      <c r="D11" t="s">
        <v>2407</v>
      </c>
      <c r="E11">
        <v>5</v>
      </c>
    </row>
    <row r="12" spans="1:5" s="25" customFormat="1">
      <c r="A12" t="s">
        <v>2408</v>
      </c>
      <c r="B12" t="s">
        <v>2409</v>
      </c>
      <c r="C12" s="23"/>
      <c r="D12" t="s">
        <v>2410</v>
      </c>
      <c r="E12">
        <v>6</v>
      </c>
    </row>
    <row r="13" spans="1:5" s="25" customFormat="1">
      <c r="A13" t="s">
        <v>2411</v>
      </c>
      <c r="B13" t="s">
        <v>2412</v>
      </c>
      <c r="C13" s="23"/>
      <c r="D13" t="s">
        <v>2413</v>
      </c>
      <c r="E13">
        <v>7</v>
      </c>
    </row>
    <row r="14" spans="1:5" s="25" customFormat="1">
      <c r="A14" t="s">
        <v>2414</v>
      </c>
      <c r="B14" t="s">
        <v>2415</v>
      </c>
      <c r="C14" s="23"/>
      <c r="D14" t="s">
        <v>2416</v>
      </c>
      <c r="E14">
        <v>8</v>
      </c>
    </row>
    <row r="15" spans="1:5" s="25" customFormat="1">
      <c r="A15" t="s">
        <v>2417</v>
      </c>
      <c r="B15" t="s">
        <v>2418</v>
      </c>
      <c r="C15" s="23"/>
      <c r="D15" t="s">
        <v>2419</v>
      </c>
      <c r="E15">
        <v>9</v>
      </c>
    </row>
    <row r="16" spans="1:5" s="25" customFormat="1">
      <c r="A16" t="s">
        <v>2420</v>
      </c>
      <c r="B16" t="s">
        <v>2421</v>
      </c>
      <c r="C16" s="23"/>
      <c r="D16" t="s">
        <v>2422</v>
      </c>
      <c r="E16">
        <v>10</v>
      </c>
    </row>
    <row r="17" spans="1:5">
      <c r="A17" t="s">
        <v>2423</v>
      </c>
      <c r="B17" t="s">
        <v>2424</v>
      </c>
      <c r="D17" t="s">
        <v>2425</v>
      </c>
      <c r="E17">
        <v>11</v>
      </c>
    </row>
    <row r="18" spans="1:5">
      <c r="A18" s="26"/>
      <c r="B18" s="26"/>
      <c r="E18" s="27"/>
    </row>
    <row r="19" spans="1:5" s="30" customFormat="1">
      <c r="D19" s="29"/>
      <c r="E19" s="28"/>
    </row>
  </sheetData>
  <pageMargins left="0.7" right="0.7" top="0.75" bottom="0.75" header="0.511811023622047" footer="0.511811023622047"/>
  <pageSetup orientation="portrait" horizontalDpi="300" verticalDpi="300"/>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52"/>
  <sheetViews>
    <sheetView topLeftCell="C1" zoomScaleNormal="100" workbookViewId="0">
      <selection activeCell="F13" sqref="F13"/>
    </sheetView>
  </sheetViews>
  <sheetFormatPr baseColWidth="10" defaultColWidth="11.44140625" defaultRowHeight="14.4"/>
  <cols>
    <col min="1" max="1" width="21.44140625" customWidth="1"/>
    <col min="2" max="2" width="37" customWidth="1"/>
    <col min="3" max="3" width="26.6640625" customWidth="1"/>
    <col min="4" max="4" width="52.88671875" customWidth="1"/>
    <col min="5" max="5" width="14.109375" customWidth="1"/>
  </cols>
  <sheetData>
    <row r="1" spans="1:5">
      <c r="A1" s="17" t="s">
        <v>0</v>
      </c>
      <c r="B1" s="18" t="s">
        <v>415</v>
      </c>
      <c r="C1" s="19"/>
    </row>
    <row r="2" spans="1:5">
      <c r="A2" s="17" t="s">
        <v>2</v>
      </c>
      <c r="B2" s="18" t="s">
        <v>427</v>
      </c>
      <c r="C2" s="19"/>
    </row>
    <row r="3" spans="1:5">
      <c r="A3" s="17" t="s">
        <v>4</v>
      </c>
      <c r="B3" s="18" t="s">
        <v>2426</v>
      </c>
      <c r="C3" s="19"/>
    </row>
    <row r="4" spans="1:5">
      <c r="A4" s="17" t="s">
        <v>6</v>
      </c>
      <c r="B4" s="18" t="s">
        <v>429</v>
      </c>
      <c r="C4" s="20"/>
    </row>
    <row r="5" spans="1:5">
      <c r="A5" s="17" t="s">
        <v>8</v>
      </c>
      <c r="B5" s="18" t="s">
        <v>2427</v>
      </c>
      <c r="C5" s="20"/>
    </row>
    <row r="6" spans="1:5">
      <c r="A6" s="21" t="s">
        <v>10</v>
      </c>
      <c r="B6" s="21" t="s">
        <v>11</v>
      </c>
      <c r="C6" s="21" t="s">
        <v>12</v>
      </c>
      <c r="D6" s="21" t="s">
        <v>8</v>
      </c>
      <c r="E6" s="21" t="s">
        <v>14</v>
      </c>
    </row>
    <row r="7" spans="1:5" s="25" customFormat="1">
      <c r="A7" s="22" t="s">
        <v>2428</v>
      </c>
      <c r="B7" t="s">
        <v>2429</v>
      </c>
      <c r="C7" s="23"/>
      <c r="D7" t="s">
        <v>2430</v>
      </c>
    </row>
    <row r="8" spans="1:5" s="25" customFormat="1">
      <c r="C8" s="23"/>
    </row>
    <row r="9" spans="1:5" s="25" customFormat="1">
      <c r="C9" s="23"/>
    </row>
    <row r="10" spans="1:5" s="25" customFormat="1">
      <c r="C10" s="23"/>
    </row>
    <row r="11" spans="1:5" s="25" customFormat="1">
      <c r="C11" s="23"/>
    </row>
    <row r="12" spans="1:5" s="25" customFormat="1">
      <c r="C12" s="23"/>
    </row>
    <row r="13" spans="1:5" s="25" customFormat="1">
      <c r="C13" s="23"/>
    </row>
    <row r="14" spans="1:5" s="25" customFormat="1">
      <c r="C14" s="23"/>
    </row>
    <row r="15" spans="1:5" s="25" customFormat="1">
      <c r="C15" s="23"/>
    </row>
    <row r="16" spans="1:5" s="25" customFormat="1">
      <c r="C16" s="23"/>
    </row>
    <row r="18" spans="1:5">
      <c r="A18" s="26"/>
      <c r="B18" s="26"/>
      <c r="E18" s="27"/>
    </row>
    <row r="19" spans="1:5" s="30" customFormat="1">
      <c r="A19" s="28"/>
      <c r="B19" s="28"/>
      <c r="C19" s="29"/>
      <c r="D19" s="29"/>
      <c r="E19" s="28"/>
    </row>
    <row r="20" spans="1:5">
      <c r="C20" s="23"/>
    </row>
    <row r="21" spans="1:5">
      <c r="C21" s="23"/>
    </row>
    <row r="22" spans="1:5">
      <c r="C22" s="23"/>
    </row>
    <row r="24" spans="1:5">
      <c r="A24" s="26"/>
      <c r="B24" s="26"/>
      <c r="E24" s="26"/>
    </row>
    <row r="25" spans="1:5">
      <c r="C25" s="23"/>
    </row>
    <row r="26" spans="1:5">
      <c r="C26" s="23"/>
    </row>
    <row r="27" spans="1:5">
      <c r="C27" s="23"/>
    </row>
    <row r="29" spans="1:5">
      <c r="A29" s="26"/>
      <c r="B29" s="26"/>
      <c r="E29" s="26"/>
    </row>
    <row r="30" spans="1:5">
      <c r="C30" s="23"/>
    </row>
    <row r="31" spans="1:5">
      <c r="C31" s="23"/>
    </row>
    <row r="32" spans="1:5">
      <c r="C32" s="23"/>
    </row>
    <row r="34" spans="1:5">
      <c r="A34" s="26"/>
      <c r="B34" s="26"/>
      <c r="E34" s="26"/>
    </row>
    <row r="35" spans="1:5">
      <c r="C35" s="23"/>
    </row>
    <row r="36" spans="1:5">
      <c r="C36" s="23"/>
    </row>
    <row r="37" spans="1:5">
      <c r="C37" s="23"/>
    </row>
    <row r="39" spans="1:5">
      <c r="A39" s="26"/>
      <c r="B39" s="26"/>
      <c r="E39" s="26"/>
    </row>
    <row r="40" spans="1:5">
      <c r="C40" s="23"/>
    </row>
    <row r="41" spans="1:5">
      <c r="C41" s="23"/>
    </row>
    <row r="42" spans="1:5">
      <c r="C42" s="23"/>
    </row>
    <row r="44" spans="1:5">
      <c r="A44" s="26"/>
      <c r="B44" s="26"/>
      <c r="E44" s="26"/>
    </row>
    <row r="45" spans="1:5">
      <c r="C45" s="23"/>
    </row>
    <row r="46" spans="1:5">
      <c r="C46" s="23"/>
    </row>
    <row r="47" spans="1:5">
      <c r="C47" s="23"/>
    </row>
    <row r="49" spans="1:5">
      <c r="A49" s="26"/>
      <c r="B49" s="26"/>
      <c r="E49" s="26"/>
    </row>
    <row r="50" spans="1:5">
      <c r="C50" s="23"/>
    </row>
    <row r="51" spans="1:5">
      <c r="C51" s="23"/>
    </row>
    <row r="52" spans="1:5">
      <c r="C52" s="23"/>
    </row>
  </sheetData>
  <pageMargins left="0.7" right="0.7" top="0.75" bottom="0.75" header="0.511811023622047" footer="0.511811023622047"/>
  <pageSetup orientation="portrait" horizontalDpi="300" verticalDpi="30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42"/>
  <sheetViews>
    <sheetView zoomScaleNormal="100" workbookViewId="0"/>
  </sheetViews>
  <sheetFormatPr baseColWidth="10" defaultColWidth="8.6640625" defaultRowHeight="14.4"/>
  <cols>
    <col min="1" max="1" width="21.44140625" customWidth="1"/>
    <col min="2" max="2" width="13.6640625" customWidth="1"/>
    <col min="3" max="4" width="13.33203125" customWidth="1"/>
    <col min="5" max="5" width="74" customWidth="1"/>
    <col min="6" max="6" width="26.109375" customWidth="1"/>
  </cols>
  <sheetData>
    <row r="1" spans="1:6">
      <c r="A1" s="17" t="s">
        <v>0</v>
      </c>
      <c r="B1" s="18" t="s">
        <v>418</v>
      </c>
      <c r="C1" s="18"/>
      <c r="D1" s="19"/>
    </row>
    <row r="2" spans="1:6">
      <c r="A2" s="17" t="s">
        <v>2</v>
      </c>
      <c r="B2" s="18" t="s">
        <v>427</v>
      </c>
      <c r="C2" s="18"/>
      <c r="D2" s="19"/>
    </row>
    <row r="3" spans="1:6">
      <c r="A3" s="17" t="s">
        <v>4</v>
      </c>
      <c r="B3" s="18" t="s">
        <v>2431</v>
      </c>
      <c r="C3" s="18"/>
      <c r="D3" s="19"/>
    </row>
    <row r="4" spans="1:6">
      <c r="A4" s="17" t="s">
        <v>6</v>
      </c>
      <c r="B4" s="18" t="s">
        <v>429</v>
      </c>
      <c r="C4" s="18"/>
      <c r="D4" s="20"/>
    </row>
    <row r="5" spans="1:6">
      <c r="A5" s="17" t="s">
        <v>8</v>
      </c>
      <c r="B5" s="18" t="s">
        <v>2432</v>
      </c>
      <c r="C5" s="18"/>
      <c r="D5" s="20"/>
    </row>
    <row r="6" spans="1:6">
      <c r="A6" s="21" t="s">
        <v>10</v>
      </c>
      <c r="B6" s="21" t="s">
        <v>11</v>
      </c>
      <c r="C6" s="21" t="s">
        <v>12</v>
      </c>
      <c r="D6" s="21" t="s">
        <v>13</v>
      </c>
      <c r="E6" s="21" t="s">
        <v>8</v>
      </c>
      <c r="F6" s="21" t="s">
        <v>14</v>
      </c>
    </row>
    <row r="7" spans="1:6">
      <c r="A7" s="55" t="s">
        <v>2433</v>
      </c>
      <c r="B7" s="55" t="s">
        <v>2433</v>
      </c>
      <c r="C7" s="38"/>
      <c r="D7" s="38"/>
      <c r="E7" s="26" t="s">
        <v>2434</v>
      </c>
      <c r="F7" s="38"/>
    </row>
    <row r="8" spans="1:6">
      <c r="A8" s="52" t="s">
        <v>2435</v>
      </c>
      <c r="B8" s="52" t="s">
        <v>2435</v>
      </c>
      <c r="C8" s="38"/>
      <c r="D8" s="38"/>
      <c r="E8" s="26" t="s">
        <v>2436</v>
      </c>
      <c r="F8" s="38"/>
    </row>
    <row r="9" spans="1:6">
      <c r="A9" s="52" t="s">
        <v>2437</v>
      </c>
      <c r="B9" s="52" t="s">
        <v>2437</v>
      </c>
      <c r="C9" s="38"/>
      <c r="D9" s="38"/>
      <c r="E9" s="26" t="s">
        <v>2438</v>
      </c>
      <c r="F9" s="38"/>
    </row>
    <row r="10" spans="1:6">
      <c r="A10" s="52" t="s">
        <v>2439</v>
      </c>
      <c r="B10" s="52" t="s">
        <v>2439</v>
      </c>
      <c r="C10" s="38"/>
      <c r="D10" s="38"/>
      <c r="E10" s="26" t="s">
        <v>2440</v>
      </c>
      <c r="F10" s="38"/>
    </row>
    <row r="11" spans="1:6">
      <c r="A11" s="55"/>
      <c r="B11" s="38"/>
      <c r="C11" s="38"/>
      <c r="D11" s="38"/>
      <c r="E11" s="38"/>
      <c r="F11" s="38"/>
    </row>
    <row r="12" spans="1:6">
      <c r="A12" s="38"/>
      <c r="B12" s="38"/>
      <c r="C12" s="38"/>
      <c r="D12" s="38"/>
      <c r="E12" s="38"/>
      <c r="F12" s="38"/>
    </row>
    <row r="13" spans="1:6">
      <c r="A13" s="38"/>
      <c r="B13" s="38"/>
      <c r="C13" s="38"/>
      <c r="D13" s="38"/>
      <c r="E13" s="38"/>
      <c r="F13" s="38"/>
    </row>
    <row r="14" spans="1:6">
      <c r="A14" s="38"/>
      <c r="B14" s="38"/>
      <c r="C14" s="38"/>
      <c r="D14" s="38"/>
      <c r="E14" s="38"/>
      <c r="F14" s="38"/>
    </row>
    <row r="15" spans="1:6">
      <c r="A15" s="38"/>
      <c r="B15" s="38"/>
      <c r="C15" s="38"/>
      <c r="D15" s="38"/>
      <c r="E15" s="38"/>
      <c r="F15" s="38"/>
    </row>
    <row r="16" spans="1:6">
      <c r="A16" s="38"/>
      <c r="B16" s="38"/>
      <c r="C16" s="38"/>
      <c r="D16" s="38"/>
      <c r="E16" s="38"/>
      <c r="F16" s="38"/>
    </row>
    <row r="17" spans="1:6">
      <c r="A17" s="38"/>
      <c r="B17" s="38"/>
      <c r="C17" s="38"/>
      <c r="D17" s="38"/>
      <c r="E17" s="38"/>
      <c r="F17" s="38"/>
    </row>
    <row r="18" spans="1:6">
      <c r="A18" s="38"/>
      <c r="B18" s="38"/>
      <c r="C18" s="38"/>
      <c r="D18" s="38"/>
      <c r="E18" s="38"/>
      <c r="F18" s="38"/>
    </row>
    <row r="19" spans="1:6">
      <c r="A19" s="38"/>
      <c r="B19" s="38"/>
      <c r="C19" s="38"/>
      <c r="D19" s="38"/>
      <c r="E19" s="38"/>
      <c r="F19" s="38"/>
    </row>
    <row r="20" spans="1:6">
      <c r="A20" s="38"/>
      <c r="B20" s="38"/>
      <c r="C20" s="38"/>
      <c r="D20" s="38"/>
      <c r="E20" s="38"/>
      <c r="F20" s="38"/>
    </row>
    <row r="21" spans="1:6">
      <c r="A21" s="38"/>
      <c r="B21" s="38"/>
      <c r="C21" s="38"/>
      <c r="D21" s="38"/>
      <c r="E21" s="38"/>
      <c r="F21" s="38"/>
    </row>
    <row r="22" spans="1:6">
      <c r="A22" s="38"/>
      <c r="B22" s="38"/>
      <c r="C22" s="38"/>
      <c r="D22" s="38"/>
      <c r="E22" s="38"/>
      <c r="F22" s="38"/>
    </row>
    <row r="23" spans="1:6">
      <c r="A23" s="38"/>
      <c r="B23" s="38"/>
      <c r="C23" s="38"/>
      <c r="D23" s="38"/>
      <c r="E23" s="38"/>
      <c r="F23" s="38"/>
    </row>
    <row r="24" spans="1:6">
      <c r="A24" s="38"/>
      <c r="B24" s="38"/>
      <c r="C24" s="38"/>
      <c r="D24" s="38"/>
      <c r="E24" s="38"/>
      <c r="F24" s="38"/>
    </row>
    <row r="25" spans="1:6">
      <c r="A25" s="38"/>
      <c r="B25" s="38"/>
      <c r="C25" s="38"/>
      <c r="D25" s="38"/>
      <c r="E25" s="38"/>
      <c r="F25" s="38"/>
    </row>
    <row r="26" spans="1:6">
      <c r="A26" s="38"/>
      <c r="B26" s="38"/>
      <c r="C26" s="38"/>
      <c r="D26" s="38"/>
      <c r="E26" s="38"/>
      <c r="F26" s="38"/>
    </row>
    <row r="27" spans="1:6">
      <c r="A27" s="38"/>
      <c r="B27" s="38"/>
      <c r="C27" s="38"/>
      <c r="D27" s="38"/>
      <c r="E27" s="38"/>
      <c r="F27" s="38"/>
    </row>
    <row r="28" spans="1:6">
      <c r="A28" s="38"/>
      <c r="B28" s="38"/>
      <c r="C28" s="38"/>
      <c r="D28" s="38"/>
      <c r="E28" s="38"/>
      <c r="F28" s="38"/>
    </row>
    <row r="29" spans="1:6">
      <c r="A29" s="38"/>
      <c r="B29" s="38"/>
      <c r="C29" s="38"/>
      <c r="D29" s="38"/>
      <c r="E29" s="38"/>
      <c r="F29" s="38"/>
    </row>
    <row r="30" spans="1:6">
      <c r="A30" s="38"/>
      <c r="B30" s="38"/>
      <c r="C30" s="38"/>
      <c r="D30" s="38"/>
      <c r="E30" s="38"/>
      <c r="F30" s="38"/>
    </row>
    <row r="31" spans="1:6">
      <c r="A31" s="38"/>
      <c r="B31" s="38"/>
      <c r="C31" s="38"/>
      <c r="D31" s="38"/>
      <c r="E31" s="38"/>
      <c r="F31" s="38"/>
    </row>
    <row r="32" spans="1:6">
      <c r="A32" s="38"/>
      <c r="B32" s="38"/>
      <c r="C32" s="38"/>
      <c r="D32" s="38"/>
      <c r="E32" s="38"/>
      <c r="F32" s="38"/>
    </row>
    <row r="33" spans="1:6">
      <c r="A33" s="38"/>
      <c r="B33" s="38"/>
      <c r="C33" s="38"/>
      <c r="D33" s="38"/>
      <c r="E33" s="38"/>
      <c r="F33" s="38"/>
    </row>
    <row r="34" spans="1:6">
      <c r="A34" s="38"/>
      <c r="B34" s="38"/>
      <c r="C34" s="38"/>
      <c r="D34" s="38"/>
      <c r="E34" s="38"/>
      <c r="F34" s="38"/>
    </row>
    <row r="35" spans="1:6">
      <c r="A35" s="38"/>
      <c r="B35" s="38"/>
      <c r="C35" s="38"/>
      <c r="D35" s="38"/>
      <c r="E35" s="38"/>
      <c r="F35" s="38"/>
    </row>
    <row r="36" spans="1:6">
      <c r="A36" s="38"/>
      <c r="B36" s="38"/>
      <c r="C36" s="38"/>
      <c r="D36" s="38"/>
      <c r="E36" s="38"/>
      <c r="F36" s="38"/>
    </row>
    <row r="37" spans="1:6">
      <c r="A37" s="38"/>
      <c r="B37" s="38"/>
      <c r="C37" s="38"/>
      <c r="D37" s="38"/>
      <c r="E37" s="38"/>
      <c r="F37" s="38"/>
    </row>
    <row r="38" spans="1:6">
      <c r="A38" s="38"/>
      <c r="B38" s="38"/>
      <c r="C38" s="38"/>
      <c r="D38" s="38"/>
      <c r="E38" s="38"/>
      <c r="F38" s="38"/>
    </row>
    <row r="39" spans="1:6">
      <c r="A39" s="38"/>
      <c r="B39" s="38"/>
      <c r="C39" s="38"/>
      <c r="D39" s="38"/>
      <c r="E39" s="38"/>
      <c r="F39" s="38"/>
    </row>
    <row r="40" spans="1:6">
      <c r="A40" s="38"/>
      <c r="B40" s="38"/>
      <c r="C40" s="38"/>
      <c r="D40" s="38"/>
      <c r="E40" s="38"/>
      <c r="F40" s="38"/>
    </row>
    <row r="41" spans="1:6">
      <c r="A41" s="38"/>
      <c r="B41" s="38"/>
      <c r="C41" s="38"/>
      <c r="D41" s="38"/>
      <c r="E41" s="38"/>
      <c r="F41" s="38"/>
    </row>
    <row r="42" spans="1:6">
      <c r="A42" s="38"/>
      <c r="B42" s="38"/>
      <c r="C42" s="38"/>
      <c r="D42" s="38"/>
      <c r="E42" s="38"/>
      <c r="F42" s="38"/>
    </row>
  </sheetData>
  <pageMargins left="0.7" right="0.7" top="0.75" bottom="0.75" header="0.511811023622047" footer="0.511811023622047"/>
  <pageSetup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24"/>
  <sheetViews>
    <sheetView zoomScaleNormal="100" workbookViewId="0">
      <selection activeCell="A7" sqref="A7:A24"/>
    </sheetView>
  </sheetViews>
  <sheetFormatPr baseColWidth="10" defaultColWidth="11.44140625" defaultRowHeight="14.4"/>
  <cols>
    <col min="1" max="1" width="21.44140625" customWidth="1"/>
    <col min="2" max="2" width="35.33203125" customWidth="1"/>
    <col min="3" max="3" width="21.109375" customWidth="1"/>
    <col min="4" max="4" width="39.44140625" customWidth="1"/>
    <col min="5" max="5" width="88.6640625" customWidth="1"/>
    <col min="6" max="6" width="23.6640625" customWidth="1"/>
  </cols>
  <sheetData>
    <row r="1" spans="1:7">
      <c r="A1" s="39" t="s">
        <v>0</v>
      </c>
      <c r="B1" s="18" t="s">
        <v>421</v>
      </c>
      <c r="C1" s="40"/>
      <c r="D1" s="40"/>
    </row>
    <row r="2" spans="1:7">
      <c r="A2" s="39" t="s">
        <v>2</v>
      </c>
      <c r="B2" s="18" t="s">
        <v>1183</v>
      </c>
      <c r="C2" s="40"/>
      <c r="D2" s="40"/>
    </row>
    <row r="3" spans="1:7">
      <c r="A3" s="39" t="s">
        <v>4</v>
      </c>
      <c r="B3" s="18" t="s">
        <v>2441</v>
      </c>
      <c r="C3" s="40"/>
      <c r="D3" s="40"/>
    </row>
    <row r="4" spans="1:7">
      <c r="A4" s="39" t="s">
        <v>6</v>
      </c>
      <c r="B4" s="18" t="s">
        <v>429</v>
      </c>
      <c r="C4" s="41"/>
      <c r="D4" s="41"/>
    </row>
    <row r="5" spans="1:7">
      <c r="A5" s="39" t="s">
        <v>8</v>
      </c>
      <c r="B5" s="18" t="s">
        <v>2442</v>
      </c>
      <c r="C5" s="41"/>
      <c r="D5" s="41"/>
    </row>
    <row r="6" spans="1:7">
      <c r="A6" s="42" t="s">
        <v>10</v>
      </c>
      <c r="B6" s="42" t="s">
        <v>11</v>
      </c>
      <c r="C6" s="42" t="s">
        <v>12</v>
      </c>
      <c r="D6" s="42" t="s">
        <v>13</v>
      </c>
      <c r="E6" s="42" t="s">
        <v>8</v>
      </c>
      <c r="F6" s="42" t="s">
        <v>14</v>
      </c>
    </row>
    <row r="7" spans="1:7">
      <c r="A7" t="s">
        <v>2443</v>
      </c>
      <c r="B7" s="53" t="s">
        <v>2444</v>
      </c>
      <c r="E7" t="s">
        <v>2445</v>
      </c>
      <c r="F7" t="s">
        <v>2446</v>
      </c>
    </row>
    <row r="8" spans="1:7">
      <c r="A8" t="s">
        <v>2447</v>
      </c>
      <c r="B8" s="32" t="s">
        <v>2448</v>
      </c>
      <c r="E8" s="67" t="s">
        <v>2449</v>
      </c>
    </row>
    <row r="9" spans="1:7" ht="15.75" customHeight="1">
      <c r="A9" t="s">
        <v>2450</v>
      </c>
      <c r="B9" s="32" t="s">
        <v>2451</v>
      </c>
      <c r="E9" s="68" t="s">
        <v>2452</v>
      </c>
      <c r="F9" t="s">
        <v>2453</v>
      </c>
      <c r="G9" s="56"/>
    </row>
    <row r="10" spans="1:7" ht="15.75" customHeight="1">
      <c r="A10" t="s">
        <v>2454</v>
      </c>
      <c r="B10" t="s">
        <v>2455</v>
      </c>
      <c r="E10" s="61" t="s">
        <v>2456</v>
      </c>
      <c r="G10" s="50"/>
    </row>
    <row r="11" spans="1:7" ht="15.75" customHeight="1">
      <c r="A11" t="s">
        <v>2457</v>
      </c>
      <c r="B11" s="32" t="s">
        <v>2458</v>
      </c>
      <c r="E11" s="61" t="s">
        <v>2459</v>
      </c>
      <c r="F11" t="s">
        <v>2460</v>
      </c>
      <c r="G11" s="56"/>
    </row>
    <row r="12" spans="1:7">
      <c r="A12" t="s">
        <v>2461</v>
      </c>
      <c r="B12" s="53" t="s">
        <v>2462</v>
      </c>
      <c r="E12" s="61" t="s">
        <v>2463</v>
      </c>
    </row>
    <row r="13" spans="1:7">
      <c r="A13" t="s">
        <v>2464</v>
      </c>
      <c r="B13" t="s">
        <v>2465</v>
      </c>
      <c r="C13" s="53"/>
      <c r="E13" s="61" t="s">
        <v>2466</v>
      </c>
      <c r="F13" t="s">
        <v>2467</v>
      </c>
    </row>
    <row r="14" spans="1:7" s="61" customFormat="1">
      <c r="A14" s="63" t="s">
        <v>2468</v>
      </c>
      <c r="B14" s="64" t="s">
        <v>2469</v>
      </c>
      <c r="C14" s="65"/>
      <c r="E14" s="67" t="s">
        <v>2470</v>
      </c>
      <c r="F14" s="66"/>
      <c r="G14" s="66"/>
    </row>
    <row r="15" spans="1:7" ht="15.75" customHeight="1">
      <c r="A15" t="s">
        <v>2471</v>
      </c>
      <c r="B15" s="53" t="s">
        <v>2472</v>
      </c>
      <c r="E15" s="61" t="s">
        <v>2473</v>
      </c>
      <c r="F15" t="s">
        <v>2474</v>
      </c>
      <c r="G15" s="56"/>
    </row>
    <row r="16" spans="1:7">
      <c r="A16" t="s">
        <v>2475</v>
      </c>
      <c r="B16" s="53" t="s">
        <v>2476</v>
      </c>
      <c r="E16" s="67" t="s">
        <v>2477</v>
      </c>
    </row>
    <row r="17" spans="1:7">
      <c r="A17" t="s">
        <v>2478</v>
      </c>
      <c r="B17" s="53" t="s">
        <v>2479</v>
      </c>
      <c r="E17" s="67" t="s">
        <v>2480</v>
      </c>
    </row>
    <row r="18" spans="1:7" ht="15.75" customHeight="1">
      <c r="A18" t="s">
        <v>2481</v>
      </c>
      <c r="B18" s="53" t="s">
        <v>2482</v>
      </c>
      <c r="E18" s="67" t="s">
        <v>2483</v>
      </c>
      <c r="G18" s="56"/>
    </row>
    <row r="19" spans="1:7" ht="15.75" customHeight="1">
      <c r="A19" t="s">
        <v>2484</v>
      </c>
      <c r="B19" s="53" t="s">
        <v>2485</v>
      </c>
      <c r="E19" s="67" t="s">
        <v>2486</v>
      </c>
      <c r="G19" s="56"/>
    </row>
    <row r="20" spans="1:7">
      <c r="A20" t="s">
        <v>2487</v>
      </c>
      <c r="B20" s="32" t="s">
        <v>2488</v>
      </c>
      <c r="E20" s="61" t="s">
        <v>2489</v>
      </c>
      <c r="F20" t="s">
        <v>2490</v>
      </c>
    </row>
    <row r="21" spans="1:7">
      <c r="A21" t="s">
        <v>2491</v>
      </c>
      <c r="B21" s="32" t="s">
        <v>2492</v>
      </c>
      <c r="E21" s="61" t="s">
        <v>2493</v>
      </c>
      <c r="F21" t="s">
        <v>2494</v>
      </c>
    </row>
    <row r="22" spans="1:7">
      <c r="A22" t="s">
        <v>2495</v>
      </c>
      <c r="B22" s="32" t="s">
        <v>2496</v>
      </c>
      <c r="E22" s="61" t="s">
        <v>2497</v>
      </c>
      <c r="F22" t="s">
        <v>2498</v>
      </c>
    </row>
    <row r="23" spans="1:7">
      <c r="A23" t="s">
        <v>2499</v>
      </c>
      <c r="B23" s="32" t="s">
        <v>2500</v>
      </c>
      <c r="E23" s="61" t="s">
        <v>2501</v>
      </c>
    </row>
    <row r="24" spans="1:7">
      <c r="A24" t="s">
        <v>2502</v>
      </c>
      <c r="B24" t="s">
        <v>2503</v>
      </c>
      <c r="E24" t="s">
        <v>2504</v>
      </c>
    </row>
  </sheetData>
  <pageMargins left="0.7" right="0.7" top="0.75" bottom="0.75" header="0.511811023622047" footer="0.511811023622047"/>
  <pageSetup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52"/>
  <sheetViews>
    <sheetView workbookViewId="0">
      <selection activeCell="B12" sqref="B12"/>
    </sheetView>
  </sheetViews>
  <sheetFormatPr baseColWidth="10" defaultColWidth="8.6640625" defaultRowHeight="14.4"/>
  <cols>
    <col min="1" max="1" width="21.44140625" customWidth="1"/>
    <col min="2" max="2" width="23.33203125" customWidth="1"/>
    <col min="3" max="3" width="15.44140625" customWidth="1"/>
    <col min="4" max="4" width="38.44140625" customWidth="1"/>
    <col min="5" max="5" width="14.109375" customWidth="1"/>
  </cols>
  <sheetData>
    <row r="1" spans="1:5">
      <c r="A1" s="17" t="s">
        <v>0</v>
      </c>
      <c r="B1" s="18" t="s">
        <v>424</v>
      </c>
      <c r="C1" s="19"/>
    </row>
    <row r="2" spans="1:5">
      <c r="A2" s="17" t="s">
        <v>2</v>
      </c>
      <c r="B2" s="18" t="s">
        <v>427</v>
      </c>
      <c r="C2" s="19"/>
    </row>
    <row r="3" spans="1:5">
      <c r="A3" s="17" t="s">
        <v>4</v>
      </c>
      <c r="B3" s="18" t="s">
        <v>2505</v>
      </c>
      <c r="C3" s="19"/>
    </row>
    <row r="4" spans="1:5">
      <c r="A4" s="17" t="s">
        <v>6</v>
      </c>
      <c r="B4" s="18" t="s">
        <v>429</v>
      </c>
      <c r="C4" s="20"/>
    </row>
    <row r="5" spans="1:5">
      <c r="A5" s="17" t="s">
        <v>8</v>
      </c>
      <c r="B5" s="18" t="s">
        <v>2506</v>
      </c>
      <c r="C5" s="20"/>
    </row>
    <row r="6" spans="1:5">
      <c r="A6" s="21" t="s">
        <v>10</v>
      </c>
      <c r="B6" s="21" t="s">
        <v>11</v>
      </c>
      <c r="C6" s="21" t="s">
        <v>12</v>
      </c>
      <c r="D6" s="21" t="s">
        <v>8</v>
      </c>
      <c r="E6" s="21" t="s">
        <v>14</v>
      </c>
    </row>
    <row r="7" spans="1:5" s="25" customFormat="1">
      <c r="A7" s="22" t="s">
        <v>2507</v>
      </c>
      <c r="B7" s="22" t="s">
        <v>2508</v>
      </c>
      <c r="C7" s="22"/>
      <c r="D7" s="25" t="s">
        <v>2509</v>
      </c>
      <c r="E7" s="24"/>
    </row>
    <row r="8" spans="1:5" s="25" customFormat="1">
      <c r="A8" s="22" t="s">
        <v>2510</v>
      </c>
      <c r="B8" s="22" t="s">
        <v>2511</v>
      </c>
      <c r="C8" s="22"/>
      <c r="D8" s="25" t="s">
        <v>2512</v>
      </c>
      <c r="E8" s="24"/>
    </row>
    <row r="9" spans="1:5" s="25" customFormat="1">
      <c r="A9" s="22" t="s">
        <v>2513</v>
      </c>
      <c r="B9" s="22" t="s">
        <v>2514</v>
      </c>
      <c r="C9" s="22"/>
      <c r="D9" s="25" t="s">
        <v>2515</v>
      </c>
      <c r="E9" s="24"/>
    </row>
    <row r="10" spans="1:5" s="25" customFormat="1">
      <c r="A10" s="22" t="s">
        <v>2516</v>
      </c>
      <c r="B10" s="22" t="s">
        <v>2517</v>
      </c>
      <c r="C10" s="22"/>
      <c r="D10" s="25" t="s">
        <v>2518</v>
      </c>
      <c r="E10" s="24"/>
    </row>
    <row r="11" spans="1:5" s="25" customFormat="1">
      <c r="A11" s="22" t="s">
        <v>2519</v>
      </c>
      <c r="B11" s="22" t="s">
        <v>2520</v>
      </c>
      <c r="C11" s="22"/>
      <c r="D11" s="25" t="s">
        <v>2521</v>
      </c>
      <c r="E11" s="24"/>
    </row>
    <row r="12" spans="1:5" s="25" customFormat="1">
      <c r="C12" s="23"/>
      <c r="E12" s="24"/>
    </row>
    <row r="13" spans="1:5" s="25" customFormat="1">
      <c r="C13" s="23"/>
      <c r="E13" s="24"/>
    </row>
    <row r="14" spans="1:5" s="25" customFormat="1">
      <c r="C14" s="23"/>
      <c r="E14" s="24"/>
    </row>
    <row r="15" spans="1:5" s="25" customFormat="1">
      <c r="C15" s="23"/>
      <c r="E15" s="24"/>
    </row>
    <row r="16" spans="1:5" s="25" customFormat="1">
      <c r="C16" s="23"/>
      <c r="E16" s="24"/>
    </row>
    <row r="17" spans="1:5">
      <c r="C17" s="24"/>
      <c r="E17" s="24"/>
    </row>
    <row r="18" spans="1:5">
      <c r="A18" s="26"/>
      <c r="B18" s="26"/>
      <c r="C18" s="24"/>
      <c r="D18" s="24"/>
      <c r="E18" s="27"/>
    </row>
    <row r="19" spans="1:5" s="30" customFormat="1">
      <c r="A19" s="28"/>
      <c r="B19" s="28"/>
      <c r="C19" s="29"/>
      <c r="D19" s="29"/>
      <c r="E19" s="28"/>
    </row>
    <row r="20" spans="1:5">
      <c r="B20" s="23"/>
      <c r="D20" s="23"/>
      <c r="E20" s="24"/>
    </row>
    <row r="21" spans="1:5">
      <c r="B21" s="24"/>
      <c r="D21" s="24"/>
      <c r="E21" s="24"/>
    </row>
    <row r="22" spans="1:5">
      <c r="B22" s="23"/>
      <c r="D22" s="23"/>
      <c r="E22" s="24"/>
    </row>
    <row r="23" spans="1:5">
      <c r="B23" s="24"/>
      <c r="D23" s="24"/>
      <c r="E23" s="24"/>
    </row>
    <row r="24" spans="1:5">
      <c r="B24" s="23"/>
      <c r="D24" s="23"/>
      <c r="E24" s="24"/>
    </row>
    <row r="25" spans="1:5">
      <c r="B25" s="24"/>
      <c r="D25" s="24"/>
      <c r="E25" s="27"/>
    </row>
    <row r="26" spans="1:5">
      <c r="B26" s="23"/>
      <c r="D26" s="23"/>
      <c r="E26" s="28"/>
    </row>
    <row r="27" spans="1:5">
      <c r="B27" s="24"/>
      <c r="D27" s="24"/>
      <c r="E27" s="24"/>
    </row>
    <row r="28" spans="1:5">
      <c r="B28" s="23"/>
      <c r="D28" s="23"/>
      <c r="E28" s="24"/>
    </row>
    <row r="29" spans="1:5">
      <c r="B29" s="24"/>
      <c r="D29" s="24"/>
      <c r="E29" s="24"/>
    </row>
    <row r="30" spans="1:5">
      <c r="B30" s="23"/>
      <c r="D30" s="23"/>
      <c r="E30" s="24"/>
    </row>
    <row r="31" spans="1:5">
      <c r="C31" s="23"/>
      <c r="E31" s="24"/>
    </row>
    <row r="32" spans="1:5">
      <c r="C32" s="24"/>
      <c r="E32" s="27"/>
    </row>
    <row r="33" spans="1:5">
      <c r="C33" s="23"/>
      <c r="E33" s="28"/>
    </row>
    <row r="34" spans="1:5">
      <c r="C34" s="24"/>
      <c r="E34" s="24"/>
    </row>
    <row r="35" spans="1:5">
      <c r="C35" s="23"/>
      <c r="E35" s="24"/>
    </row>
    <row r="36" spans="1:5">
      <c r="C36" s="24"/>
      <c r="E36" s="24"/>
    </row>
    <row r="37" spans="1:5">
      <c r="C37" s="23"/>
      <c r="E37" s="24"/>
    </row>
    <row r="38" spans="1:5">
      <c r="C38" s="24"/>
      <c r="E38" s="24"/>
    </row>
    <row r="39" spans="1:5">
      <c r="A39" s="26"/>
      <c r="C39" s="23"/>
      <c r="E39" s="27"/>
    </row>
    <row r="40" spans="1:5">
      <c r="A40" s="28"/>
      <c r="C40" s="24"/>
      <c r="E40" s="28"/>
    </row>
    <row r="41" spans="1:5">
      <c r="A41" s="24"/>
      <c r="C41" s="23"/>
      <c r="E41" s="24"/>
    </row>
    <row r="42" spans="1:5">
      <c r="C42" s="24"/>
      <c r="E42" s="24"/>
    </row>
    <row r="43" spans="1:5">
      <c r="C43" s="23"/>
      <c r="E43" s="24"/>
    </row>
    <row r="44" spans="1:5">
      <c r="C44" s="24"/>
      <c r="E44" s="24"/>
    </row>
    <row r="45" spans="1:5">
      <c r="C45" s="24"/>
      <c r="E45" s="24"/>
    </row>
    <row r="46" spans="1:5">
      <c r="A46" s="26"/>
      <c r="B46" s="26"/>
      <c r="C46" s="24"/>
      <c r="D46" s="24"/>
      <c r="E46" s="27"/>
    </row>
    <row r="47" spans="1:5">
      <c r="A47" s="28"/>
      <c r="B47" s="28"/>
      <c r="C47" s="29"/>
      <c r="D47" s="29"/>
      <c r="E47" s="28"/>
    </row>
    <row r="48" spans="1:5">
      <c r="A48" s="24"/>
      <c r="B48" s="24"/>
      <c r="C48" s="24"/>
      <c r="D48" s="24"/>
      <c r="E48" s="24"/>
    </row>
    <row r="49" spans="1:5">
      <c r="A49" s="24"/>
      <c r="B49" s="24"/>
      <c r="C49" s="24"/>
      <c r="D49" s="24"/>
      <c r="E49" s="24"/>
    </row>
    <row r="50" spans="1:5">
      <c r="A50" s="24"/>
      <c r="B50" s="24"/>
      <c r="C50" s="24"/>
      <c r="D50" s="24"/>
      <c r="E50" s="24"/>
    </row>
    <row r="51" spans="1:5">
      <c r="A51" s="24"/>
      <c r="B51" s="24"/>
      <c r="C51" s="24"/>
      <c r="D51" s="24"/>
      <c r="E51" s="24"/>
    </row>
    <row r="52" spans="1:5">
      <c r="A52" s="24"/>
      <c r="B52" s="24"/>
      <c r="C52" s="24"/>
      <c r="D52" s="24"/>
      <c r="E52" s="24"/>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42"/>
  <sheetViews>
    <sheetView zoomScaleNormal="100" workbookViewId="0">
      <selection activeCell="B23" sqref="B23"/>
    </sheetView>
  </sheetViews>
  <sheetFormatPr baseColWidth="10" defaultColWidth="8.6640625" defaultRowHeight="14.4"/>
  <cols>
    <col min="1" max="1" width="21.44140625" customWidth="1"/>
    <col min="2" max="2" width="100.33203125" customWidth="1"/>
    <col min="3" max="4" width="13.33203125" customWidth="1"/>
    <col min="5" max="5" width="80.6640625" customWidth="1"/>
    <col min="6" max="6" width="26.109375" customWidth="1"/>
  </cols>
  <sheetData>
    <row r="1" spans="1:6">
      <c r="A1" s="17" t="s">
        <v>0</v>
      </c>
      <c r="B1" s="18"/>
      <c r="C1" s="19"/>
      <c r="D1" s="19"/>
    </row>
    <row r="2" spans="1:6">
      <c r="A2" s="17" t="s">
        <v>2</v>
      </c>
      <c r="B2" s="18" t="s">
        <v>1183</v>
      </c>
      <c r="C2" s="19"/>
      <c r="D2" s="19"/>
    </row>
    <row r="3" spans="1:6">
      <c r="A3" s="17" t="s">
        <v>4</v>
      </c>
      <c r="B3" s="18" t="s">
        <v>2522</v>
      </c>
      <c r="C3" s="19"/>
      <c r="D3" s="19"/>
    </row>
    <row r="4" spans="1:6">
      <c r="A4" s="17" t="s">
        <v>6</v>
      </c>
      <c r="B4" s="18" t="s">
        <v>429</v>
      </c>
      <c r="C4" s="20"/>
      <c r="D4" s="20"/>
    </row>
    <row r="5" spans="1:6">
      <c r="A5" s="17" t="s">
        <v>8</v>
      </c>
      <c r="B5" s="18" t="s">
        <v>2523</v>
      </c>
      <c r="C5" s="20"/>
      <c r="D5" s="20"/>
    </row>
    <row r="6" spans="1:6">
      <c r="A6" s="21" t="s">
        <v>10</v>
      </c>
      <c r="B6" s="21" t="s">
        <v>11</v>
      </c>
      <c r="C6" s="21" t="s">
        <v>12</v>
      </c>
      <c r="D6" s="21" t="s">
        <v>13</v>
      </c>
      <c r="E6" s="21" t="s">
        <v>8</v>
      </c>
      <c r="F6" s="21" t="s">
        <v>14</v>
      </c>
    </row>
    <row r="7" spans="1:6">
      <c r="A7" s="57" t="s">
        <v>2524</v>
      </c>
      <c r="B7" s="57" t="s">
        <v>2525</v>
      </c>
      <c r="C7" s="38"/>
      <c r="D7" s="38"/>
      <c r="E7" s="57" t="s">
        <v>2526</v>
      </c>
      <c r="F7" s="38"/>
    </row>
    <row r="8" spans="1:6">
      <c r="A8" s="57" t="s">
        <v>2527</v>
      </c>
      <c r="B8" s="57" t="s">
        <v>2528</v>
      </c>
      <c r="C8" s="38"/>
      <c r="D8" s="38"/>
      <c r="E8" s="57" t="s">
        <v>2526</v>
      </c>
      <c r="F8" s="38"/>
    </row>
    <row r="9" spans="1:6">
      <c r="A9" s="57" t="s">
        <v>2529</v>
      </c>
      <c r="B9" s="57" t="s">
        <v>2530</v>
      </c>
      <c r="C9" s="38"/>
      <c r="D9" s="38"/>
      <c r="E9" s="57" t="s">
        <v>2531</v>
      </c>
      <c r="F9" s="38"/>
    </row>
    <row r="10" spans="1:6">
      <c r="A10" s="57" t="s">
        <v>2532</v>
      </c>
      <c r="B10" s="57" t="s">
        <v>2533</v>
      </c>
      <c r="C10" s="38"/>
      <c r="D10" s="38"/>
      <c r="E10" s="57" t="s">
        <v>2531</v>
      </c>
      <c r="F10" s="38"/>
    </row>
    <row r="11" spans="1:6">
      <c r="A11" s="57" t="s">
        <v>2534</v>
      </c>
      <c r="B11" s="57" t="s">
        <v>2535</v>
      </c>
      <c r="C11" s="38"/>
      <c r="D11" s="38"/>
      <c r="E11" s="57" t="s">
        <v>2531</v>
      </c>
      <c r="F11" s="38"/>
    </row>
    <row r="12" spans="1:6">
      <c r="A12" s="57" t="s">
        <v>2536</v>
      </c>
      <c r="B12" s="57" t="s">
        <v>2537</v>
      </c>
      <c r="C12" s="38"/>
      <c r="D12" s="38"/>
      <c r="E12" s="57" t="s">
        <v>2531</v>
      </c>
      <c r="F12" s="38"/>
    </row>
    <row r="13" spans="1:6">
      <c r="A13" s="57" t="s">
        <v>2538</v>
      </c>
      <c r="B13" s="57" t="s">
        <v>2539</v>
      </c>
      <c r="C13" s="38"/>
      <c r="D13" s="38"/>
      <c r="E13" s="57" t="s">
        <v>2531</v>
      </c>
      <c r="F13" s="38"/>
    </row>
    <row r="14" spans="1:6">
      <c r="A14" s="57" t="s">
        <v>2540</v>
      </c>
      <c r="B14" s="57" t="s">
        <v>2541</v>
      </c>
      <c r="C14" s="38"/>
      <c r="D14" s="38"/>
      <c r="E14" s="57" t="s">
        <v>2542</v>
      </c>
      <c r="F14" s="38"/>
    </row>
    <row r="15" spans="1:6">
      <c r="A15" s="58" t="s">
        <v>2543</v>
      </c>
      <c r="B15" s="57" t="s">
        <v>2544</v>
      </c>
      <c r="C15" s="38"/>
      <c r="D15" s="38"/>
      <c r="E15" s="57" t="s">
        <v>2542</v>
      </c>
      <c r="F15" s="38"/>
    </row>
    <row r="16" spans="1:6">
      <c r="A16" s="57" t="s">
        <v>2545</v>
      </c>
      <c r="B16" s="57" t="s">
        <v>2546</v>
      </c>
      <c r="C16" s="38"/>
      <c r="D16" s="38"/>
      <c r="E16" s="57" t="s">
        <v>2547</v>
      </c>
      <c r="F16" s="38"/>
    </row>
    <row r="17" spans="1:6">
      <c r="A17" s="57" t="s">
        <v>2548</v>
      </c>
      <c r="B17" s="57" t="s">
        <v>2549</v>
      </c>
      <c r="C17" s="38"/>
      <c r="D17" s="38"/>
      <c r="E17" s="57" t="s">
        <v>2547</v>
      </c>
      <c r="F17" s="38"/>
    </row>
    <row r="18" spans="1:6">
      <c r="A18" s="57" t="s">
        <v>2550</v>
      </c>
      <c r="B18" s="57" t="s">
        <v>2551</v>
      </c>
      <c r="C18" s="38"/>
      <c r="D18" s="38"/>
      <c r="E18" s="57" t="s">
        <v>2552</v>
      </c>
      <c r="F18" s="38"/>
    </row>
    <row r="19" spans="1:6">
      <c r="A19" s="57" t="s">
        <v>2553</v>
      </c>
      <c r="B19" s="57" t="s">
        <v>2554</v>
      </c>
      <c r="C19" s="38"/>
      <c r="D19" s="38"/>
      <c r="E19" s="57" t="s">
        <v>2552</v>
      </c>
      <c r="F19" s="38"/>
    </row>
    <row r="20" spans="1:6">
      <c r="A20" s="57" t="s">
        <v>2555</v>
      </c>
      <c r="B20" s="57" t="s">
        <v>2556</v>
      </c>
      <c r="C20" s="38"/>
      <c r="D20" s="38"/>
      <c r="E20" s="57" t="s">
        <v>2552</v>
      </c>
      <c r="F20" s="38"/>
    </row>
    <row r="21" spans="1:6">
      <c r="A21" s="57" t="s">
        <v>2557</v>
      </c>
      <c r="B21" s="57" t="s">
        <v>2558</v>
      </c>
      <c r="C21" s="38"/>
      <c r="D21" s="38"/>
      <c r="E21" s="57" t="s">
        <v>2552</v>
      </c>
      <c r="F21" s="38"/>
    </row>
    <row r="22" spans="1:6">
      <c r="A22" s="38" t="s">
        <v>2559</v>
      </c>
      <c r="B22" s="57" t="s">
        <v>2560</v>
      </c>
      <c r="C22" s="38"/>
      <c r="D22" s="38"/>
      <c r="E22" s="57" t="s">
        <v>2552</v>
      </c>
      <c r="F22" s="38"/>
    </row>
    <row r="23" spans="1:6">
      <c r="A23" s="38" t="s">
        <v>2561</v>
      </c>
      <c r="B23" s="57" t="s">
        <v>2562</v>
      </c>
      <c r="C23" s="38"/>
      <c r="D23" s="38"/>
      <c r="E23" s="57" t="s">
        <v>2547</v>
      </c>
      <c r="F23" s="38"/>
    </row>
    <row r="24" spans="1:6">
      <c r="A24" s="38" t="s">
        <v>2563</v>
      </c>
      <c r="B24" s="57" t="s">
        <v>2564</v>
      </c>
      <c r="C24" s="38"/>
      <c r="D24" s="38"/>
      <c r="E24" s="57" t="s">
        <v>2547</v>
      </c>
      <c r="F24" s="38"/>
    </row>
    <row r="25" spans="1:6">
      <c r="A25" s="38" t="s">
        <v>2565</v>
      </c>
      <c r="B25" s="57" t="s">
        <v>2566</v>
      </c>
      <c r="C25" s="38"/>
      <c r="D25" s="38"/>
      <c r="E25" s="57" t="s">
        <v>2531</v>
      </c>
      <c r="F25" s="38"/>
    </row>
    <row r="26" spans="1:6">
      <c r="A26" s="38"/>
      <c r="B26" s="38"/>
      <c r="C26" s="38"/>
      <c r="D26" s="38"/>
      <c r="E26" s="38"/>
      <c r="F26" s="38"/>
    </row>
    <row r="27" spans="1:6">
      <c r="A27" s="38"/>
      <c r="B27" s="38"/>
      <c r="C27" s="38"/>
      <c r="D27" s="38"/>
      <c r="E27" s="38"/>
      <c r="F27" s="38"/>
    </row>
    <row r="28" spans="1:6">
      <c r="A28" s="38"/>
      <c r="B28" s="38"/>
      <c r="C28" s="38"/>
      <c r="D28" s="38"/>
      <c r="E28" s="38"/>
      <c r="F28" s="38"/>
    </row>
    <row r="29" spans="1:6">
      <c r="A29" s="38"/>
      <c r="B29" s="38"/>
      <c r="C29" s="38"/>
      <c r="D29" s="38"/>
      <c r="E29" s="38"/>
      <c r="F29" s="38"/>
    </row>
    <row r="30" spans="1:6">
      <c r="A30" s="38"/>
      <c r="B30" s="38"/>
      <c r="C30" s="38"/>
      <c r="D30" s="38"/>
      <c r="E30" s="38"/>
      <c r="F30" s="38"/>
    </row>
    <row r="31" spans="1:6">
      <c r="A31" s="38"/>
      <c r="B31" s="38"/>
      <c r="C31" s="38"/>
      <c r="D31" s="38"/>
      <c r="E31" s="38"/>
      <c r="F31" s="38"/>
    </row>
    <row r="32" spans="1:6">
      <c r="A32" s="38"/>
      <c r="B32" s="38"/>
      <c r="C32" s="38"/>
      <c r="D32" s="38"/>
      <c r="E32" s="38"/>
      <c r="F32" s="38"/>
    </row>
    <row r="33" spans="1:6">
      <c r="A33" s="38"/>
      <c r="B33" s="38"/>
      <c r="C33" s="38"/>
      <c r="D33" s="38"/>
      <c r="E33" s="38"/>
      <c r="F33" s="38"/>
    </row>
    <row r="34" spans="1:6">
      <c r="A34" s="38"/>
      <c r="B34" s="38"/>
      <c r="C34" s="38"/>
      <c r="D34" s="38"/>
      <c r="E34" s="38"/>
      <c r="F34" s="38"/>
    </row>
    <row r="35" spans="1:6">
      <c r="A35" s="38"/>
      <c r="B35" s="38"/>
      <c r="C35" s="38"/>
      <c r="D35" s="38"/>
      <c r="E35" s="38"/>
      <c r="F35" s="38"/>
    </row>
    <row r="36" spans="1:6">
      <c r="A36" s="38"/>
      <c r="B36" s="38"/>
      <c r="C36" s="38"/>
      <c r="D36" s="38"/>
      <c r="E36" s="38"/>
      <c r="F36" s="38"/>
    </row>
    <row r="37" spans="1:6">
      <c r="A37" s="38"/>
      <c r="B37" s="38"/>
      <c r="C37" s="38"/>
      <c r="D37" s="38"/>
      <c r="E37" s="38"/>
      <c r="F37" s="38"/>
    </row>
    <row r="38" spans="1:6">
      <c r="A38" s="38"/>
      <c r="B38" s="38"/>
      <c r="C38" s="38"/>
      <c r="D38" s="38"/>
      <c r="E38" s="38"/>
      <c r="F38" s="38"/>
    </row>
    <row r="39" spans="1:6">
      <c r="A39" s="38"/>
      <c r="B39" s="38"/>
      <c r="C39" s="38"/>
      <c r="D39" s="38"/>
      <c r="E39" s="38"/>
      <c r="F39" s="38"/>
    </row>
    <row r="40" spans="1:6">
      <c r="A40" s="38"/>
      <c r="B40" s="38"/>
      <c r="C40" s="38"/>
      <c r="D40" s="38"/>
      <c r="E40" s="38"/>
      <c r="F40" s="38"/>
    </row>
    <row r="41" spans="1:6">
      <c r="A41" s="38"/>
      <c r="B41" s="38"/>
      <c r="C41" s="38"/>
      <c r="D41" s="38"/>
      <c r="E41" s="38"/>
      <c r="F41" s="38"/>
    </row>
    <row r="42" spans="1:6">
      <c r="A42" s="38"/>
      <c r="B42" s="38"/>
      <c r="C42" s="38"/>
      <c r="D42" s="38"/>
      <c r="E42" s="38"/>
      <c r="F42" s="38"/>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40</vt:i4>
      </vt:variant>
    </vt:vector>
  </HeadingPairs>
  <TitlesOfParts>
    <vt:vector size="40" baseType="lpstr">
      <vt:lpstr>#Sommaire</vt:lpstr>
      <vt:lpstr>Filiere</vt:lpstr>
      <vt:lpstr>Type d'intervention</vt:lpstr>
      <vt:lpstr>Origine de l'appel</vt:lpstr>
      <vt:lpstr>Nature de fait</vt:lpstr>
      <vt:lpstr>Type de lieu</vt:lpstr>
      <vt:lpstr>Risque, menace et sensibilité</vt:lpstr>
      <vt:lpstr>Motif de recours médico-secouri</vt:lpstr>
      <vt:lpstr>Etats du dossier</vt:lpstr>
      <vt:lpstr>Nombre de patients-victimes</vt:lpstr>
      <vt:lpstr>Type du patient-victime</vt:lpstr>
      <vt:lpstr>Attribution du dossier</vt:lpstr>
      <vt:lpstr>Priorité de régulation médicale</vt:lpstr>
      <vt:lpstr>Lieu - Source ou type d'id</vt:lpstr>
      <vt:lpstr>Precision</vt:lpstr>
      <vt:lpstr>Nom de la source</vt:lpstr>
      <vt:lpstr>Type d'objet</vt:lpstr>
      <vt:lpstr>Signalement</vt:lpstr>
      <vt:lpstr>Canal</vt:lpstr>
      <vt:lpstr>Type de contact</vt:lpstr>
      <vt:lpstr>Langue</vt:lpstr>
      <vt:lpstr>Type de requérant</vt:lpstr>
      <vt:lpstr>Difficultés de communication</vt:lpstr>
      <vt:lpstr>Patient - type d'Id</vt:lpstr>
      <vt:lpstr>Sexe</vt:lpstr>
      <vt:lpstr>Niveau de soin</vt:lpstr>
      <vt:lpstr>Role</vt:lpstr>
      <vt:lpstr>Type de decision</vt:lpstr>
      <vt:lpstr>Type de ressource</vt:lpstr>
      <vt:lpstr>Type de vecteurs</vt:lpstr>
      <vt:lpstr>Niveau de prise en charge</vt:lpstr>
      <vt:lpstr>Type de destination</vt:lpstr>
      <vt:lpstr>Effet à obtenir</vt:lpstr>
      <vt:lpstr>Cadre conventionnel</vt:lpstr>
      <vt:lpstr>Delai d'intervention</vt:lpstr>
      <vt:lpstr>Annulation DR</vt:lpstr>
      <vt:lpstr>Reponse demande ressources</vt:lpstr>
      <vt:lpstr>Statut du vecteur</vt:lpstr>
      <vt:lpstr>Etape message</vt:lpstr>
      <vt:lpstr>#Type de devenir du patient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Drescher, Vianney</dc:creator>
  <cp:lastModifiedBy>Stéphanie MARTINI</cp:lastModifiedBy>
  <cp:revision>1</cp:revision>
  <dcterms:created xsi:type="dcterms:W3CDTF">2015-06-05T18:17:20Z</dcterms:created>
  <dcterms:modified xsi:type="dcterms:W3CDTF">2026-09-15T10:01:12Z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égorie Documentaire">
    <vt:lpwstr/>
  </property>
  <property fmtid="{D5CDD505-2E9C-101B-9397-08002B2CF9AE}" pid="3" name="Classification">
    <vt:lpwstr/>
  </property>
  <property fmtid="{D5CDD505-2E9C-101B-9397-08002B2CF9AE}" pid="4" name="ContentTypeId">
    <vt:lpwstr>0x010100333226B5D6902549BFE4A72F45A4400B0100E98F8C089710A74CA077FC6D601326A8</vt:lpwstr>
  </property>
  <property fmtid="{D5CDD505-2E9C-101B-9397-08002B2CF9AE}" pid="5" name="Direction / Service">
    <vt:lpwstr/>
  </property>
  <property fmtid="{D5CDD505-2E9C-101B-9397-08002B2CF9AE}" pid="6" name="Marché">
    <vt:lpwstr/>
  </property>
  <property fmtid="{D5CDD505-2E9C-101B-9397-08002B2CF9AE}" pid="7" name="MediaServiceImageTags">
    <vt:lpwstr/>
  </property>
  <property fmtid="{D5CDD505-2E9C-101B-9397-08002B2CF9AE}" pid="8" name="Prestataire(s)">
    <vt:lpwstr/>
  </property>
  <property fmtid="{D5CDD505-2E9C-101B-9397-08002B2CF9AE}" pid="9" name="Projet">
    <vt:lpwstr/>
  </property>
  <property fmtid="{D5CDD505-2E9C-101B-9397-08002B2CF9AE}" pid="10" name="Sort Final (Archivage)1">
    <vt:lpwstr/>
  </property>
  <property fmtid="{D5CDD505-2E9C-101B-9397-08002B2CF9AE}" pid="11" name="Statut du document">
    <vt:lpwstr/>
  </property>
  <property fmtid="{D5CDD505-2E9C-101B-9397-08002B2CF9AE}" pid="12" name="Type de document ANS">
    <vt:lpwstr/>
  </property>
  <property fmtid="{D5CDD505-2E9C-101B-9397-08002B2CF9AE}" pid="13" name="Version Applicative0">
    <vt:lpwstr/>
  </property>
  <property fmtid="{D5CDD505-2E9C-101B-9397-08002B2CF9AE}" pid="14" name="Sort_x0020_Final_x0020__x0028_Archivage_x0029_1">
    <vt:lpwstr/>
  </property>
  <property fmtid="{D5CDD505-2E9C-101B-9397-08002B2CF9AE}" pid="15" name="Prestataire_x0028_s_x0029_">
    <vt:lpwstr/>
  </property>
  <property fmtid="{D5CDD505-2E9C-101B-9397-08002B2CF9AE}" pid="16" name="Cat_x00e9_gorie_x0020_Documentaire">
    <vt:lpwstr/>
  </property>
  <property fmtid="{D5CDD505-2E9C-101B-9397-08002B2CF9AE}" pid="17" name="Statut_x0020_du_x0020_document">
    <vt:lpwstr/>
  </property>
  <property fmtid="{D5CDD505-2E9C-101B-9397-08002B2CF9AE}" pid="18" name="Direction_x0020__x002F__x0020_Service">
    <vt:lpwstr/>
  </property>
  <property fmtid="{D5CDD505-2E9C-101B-9397-08002B2CF9AE}" pid="19" name="March_x00e9_">
    <vt:lpwstr/>
  </property>
  <property fmtid="{D5CDD505-2E9C-101B-9397-08002B2CF9AE}" pid="20" name="Type_x0020_de_x0020_document_x0020_ANS">
    <vt:lpwstr/>
  </property>
  <property fmtid="{D5CDD505-2E9C-101B-9397-08002B2CF9AE}" pid="21" name="Version_x0020_Applicative0">
    <vt:lpwstr/>
  </property>
</Properties>
</file>