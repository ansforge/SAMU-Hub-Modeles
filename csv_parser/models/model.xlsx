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7.xml" ContentType="application/vnd.openxmlformats-officedocument.spreadsheetml.comments+xml"/>
  <Override PartName="/xl/drawings/vmlDrawing8.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9.vml" ContentType="application/vnd.openxmlformats-officedocument.vmlDrawing"/>
  <Override PartName="/xl/drawings/vmlDrawing19.vml" ContentType="application/vnd.openxmlformats-officedocument.vmlDrawing"/>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14.vml" ContentType="application/vnd.openxmlformats-officedocument.vmlDrawing"/>
  <Override PartName="/xl/drawings/vmlDrawing13.vml" ContentType="application/vnd.openxmlformats-officedocument.vmlDrawing"/>
  <Override PartName="/xl/drawings/vmlDrawing4.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tables/table7.xml" ContentType="application/vnd.openxmlformats-officedocument.spreadsheetml.table+xml"/>
  <Override PartName="/xl/tables/table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13.xml" ContentType="application/vnd.openxmlformats-officedocument.spreadsheetml.table+xml"/>
  <Override PartName="/xl/tables/table12.xml" ContentType="application/vnd.openxmlformats-officedocument.spreadsheetml.table+xml"/>
  <Override PartName="/xl/tables/table14.xml" ContentType="application/vnd.openxmlformats-officedocument.spreadsheetml.table+xml"/>
  <Override PartName="/xl/tables/table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7.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styles.xml" ContentType="application/vnd.openxmlformats-officedocument.spreadsheetml.styles+xml"/>
  <Override PartName="/xl/comments2.xml" ContentType="application/vnd.openxmlformats-officedocument.spreadsheetml.comments+xml"/>
  <Override PartName="/xl/comments1.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workbook.xml" ContentType="application/vnd.openxmlformats-officedocument.spreadsheetml.sheet.main+xml"/>
  <Override PartName="/xl/comments5.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worksheets/sheet14.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_rels/sheet14.xml.rels" ContentType="application/vnd.openxmlformats-package.relationships+xml"/>
  <Override PartName="/xl/worksheets/_rels/sheet6.xml.rels" ContentType="application/vnd.openxmlformats-package.relationships+xml"/>
  <Override PartName="/xl/worksheets/_rels/sheet1.xml.rels" ContentType="application/vnd.openxmlformats-package.relationships+xml"/>
  <Override PartName="/xl/worksheets/_rels/sheet25.xml.rels" ContentType="application/vnd.openxmlformats-package.relationships+xml"/>
  <Override PartName="/xl/worksheets/_rels/sheet10.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9.xml.rels" ContentType="application/vnd.openxmlformats-package.relationships+xml"/>
  <Override PartName="/xl/worksheets/_rels/sheet13.xml.rels" ContentType="application/vnd.openxmlformats-package.relationships+xml"/>
  <Override PartName="/xl/worksheets/_rels/sheet1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6.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5.xml.rels" ContentType="application/vnd.openxmlformats-package.relationships+xml"/>
  <Override PartName="/xl/worksheets/_rels/sheet7.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comments26.xml" ContentType="application/vnd.openxmlformats-officedocument.spreadsheetml.comments+xml"/>
  <Override PartName="/xl/comments4.xml" ContentType="application/vnd.openxmlformats-officedocument.spreadsheetml.comments+xml"/>
  <Override PartName="/xl/comments19.xml" ContentType="application/vnd.openxmlformats-officedocument.spreadsheetml.comments+xml"/>
  <Override PartName="/xl/comments9.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comments8.xml" ContentType="application/vnd.openxmlformats-officedocument.spreadsheetml.comments+xml"/>
  <Override PartName="/xl/comments17.xml" ContentType="application/vnd.openxmlformats-officedocument.spreadsheetml.comments+xml"/>
  <Override PartName="/xl/comments16.xml" ContentType="application/vnd.openxmlformats-officedocument.spreadsheetml.comments+xml"/>
  <Override PartName="/xl/_rels/workbook.xml.rels" ContentType="application/vnd.openxmlformats-package.relationships+xml"/>
  <Override PartName="/xl/comments6.xml" ContentType="application/vnd.openxmlformats-officedocument.spreadsheetml.comments+xml"/>
  <Override PartName="/xl/comments15.xml" ContentType="application/vnd.openxmlformats-officedocument.spreadsheetml.comments+xml"/>
  <Override PartName="/xl/comments13.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Relationship Id="rId9"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Mode d'emploi" sheetId="1" state="visible" r:id="rId2"/>
    <sheet name="RC-DE" sheetId="2" state="visible" r:id="rId3"/>
    <sheet name="RC-REF" sheetId="3" state="visible" r:id="rId4"/>
    <sheet name="RC-EDA" sheetId="4" state="visible" r:id="rId5"/>
    <sheet name="#MATRAS" sheetId="5" state="visible" r:id="rId6"/>
    <sheet name="EMSI" sheetId="6" state="visible" r:id="rId7"/>
    <sheet name="RS-RI" sheetId="7" state="visible" r:id="rId8"/>
    <sheet name="RS-SR" sheetId="8" state="visible" r:id="rId9"/>
    <sheet name="RS-DR" sheetId="9" state="visible" r:id="rId10"/>
    <sheet name="RS-RR" sheetId="10" state="visible" r:id="rId11"/>
    <sheet name="RS-RPIS" sheetId="11" state="visible" r:id="rId12"/>
    <sheet name="RS-BPV" sheetId="12" state="visible" r:id="rId13"/>
    <sheet name="RS-URL" sheetId="13" state="visible" r:id="rId14"/>
    <sheet name="#RS-BPV-WIP" sheetId="14" state="visible" r:id="rId15"/>
    <sheet name="#RS-ENG" sheetId="15" state="visible" r:id="rId16"/>
    <sheet name="#RS-DEC" sheetId="16" state="visible" r:id="rId17"/>
    <sheet name="GEO-POS" sheetId="17" state="visible" r:id="rId18"/>
    <sheet name="GEO-REQ" sheetId="18" state="visible" r:id="rId19"/>
    <sheet name="GEO-RES" sheetId="19" state="visible" r:id="rId20"/>
    <sheet name="#RC-COM" sheetId="20" state="visible" r:id="rId21"/>
    <sheet name="RS-SAS-RDV" sheetId="21" state="visible" r:id="rId22"/>
    <sheet name="RS-ERROR" sheetId="22" state="visible" r:id="rId23"/>
    <sheet name="#RS-INFO" sheetId="23" state="visible" r:id="rId24"/>
    <sheet name="customContent" sheetId="24" state="visible" r:id="rId25"/>
    <sheet name="#Conditional format rules" sheetId="25" state="visible" r:id="rId26"/>
    <sheet name="#Feuil1" sheetId="26" state="visible" r:id="rId27"/>
    <sheet name="#Documents_sources" sheetId="27" state="visible" r:id="rId28"/>
  </sheets>
  <definedNames>
    <definedName function="false" hidden="true" localSheetId="5" name="_xlnm._FilterDatabase" vbProcedure="false">EMSI!$A$8:$X$117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F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r>
      </text>
    </comment>
  </commentList>
</comments>
</file>

<file path=xl/comments2.xml><?xml version="1.0" encoding="utf-8"?>
<comments xmlns="http://schemas.openxmlformats.org/spreadsheetml/2006/main" xmlns:xdr="http://schemas.openxmlformats.org/drawingml/2006/spreadsheetDrawing">
  <authors>
    <author> </author>
  </authors>
  <commentLis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r>
      </text>
    </comment>
    <comment ref="H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r>
      </text>
    </comment>
    <comment ref="I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r>
      </text>
    </comment>
    <comment ref="I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r>
      </text>
    </comment>
  </commentList>
</comments>
</file>

<file path=xl/comments4.xml><?xml version="1.0" encoding="utf-8"?>
<comments xmlns="http://schemas.openxmlformats.org/spreadsheetml/2006/main" xmlns:xdr="http://schemas.openxmlformats.org/drawingml/2006/spreadsheetDrawing">
  <authors>
    <author> </author>
  </authors>
  <commentList>
    <comment ref="A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C10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r>
      </text>
    </comment>
    <comment ref="D2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7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4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7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2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3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6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5.xml><?xml version="1.0" encoding="utf-8"?>
<comments xmlns="http://schemas.openxmlformats.org/spreadsheetml/2006/main" xmlns:xdr="http://schemas.openxmlformats.org/drawingml/2006/spreadsheetDrawing">
  <authors>
    <author> </author>
  </authors>
  <commentList>
    <comment ref="A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9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D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5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8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1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4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8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8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6.xml><?xml version="1.0" encoding="utf-8"?>
<comments xmlns="http://schemas.openxmlformats.org/spreadsheetml/2006/main" xmlns:xdr="http://schemas.openxmlformats.org/drawingml/2006/spreadsheetDrawing">
  <authors>
    <author> </author>
  </authors>
  <commentList>
    <comment ref="C10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r>
      </text>
    </comment>
    <comment ref="D10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r>
      </text>
    </comment>
  </commentList>
</comments>
</file>

<file path=xl/comments7.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r>
      </text>
    </comment>
    <comment ref="C1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r>
      </text>
    </comment>
    <comment ref="C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r>
      </text>
    </comment>
    <comment ref="C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r>
      </text>
    </comment>
    <comment ref="C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Dernière géolocalisation connue de ton vecteur</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Q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RS-ER</t>
        </r>
      </text>
    </comment>
  </commentList>
</comments>
</file>

<file path=xl/comments8.xml><?xml version="1.0" encoding="utf-8"?>
<comments xmlns="http://schemas.openxmlformats.org/spreadsheetml/2006/main" xmlns:xdr="http://schemas.openxmlformats.org/drawingml/2006/spreadsheetDrawing">
  <authors>
    <author> </author>
  </authors>
  <commentLis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r>
      </text>
    </comment>
    <comment ref="D6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r>
      </text>
    </comment>
    <comment ref="H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nomenclature dispo dans l'Excel partagé</t>
        </r>
      </text>
    </commen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2.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r>
      </text>
    </comment>
    <comment ref="B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B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r>
      </text>
    </comment>
    <comment ref="C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r>
      </text>
    </comment>
    <comment ref="C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Besoin d'ID côté LMR ? </t>
        </r>
      </text>
    </comment>
    <comment ref="D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3.xml><?xml version="1.0" encoding="utf-8"?>
<comments xmlns="http://schemas.openxmlformats.org/spreadsheetml/2006/main" xmlns:xdr="http://schemas.openxmlformats.org/drawingml/2006/spreadsheetDrawing">
  <authors>
    <author> </author>
  </authors>
  <commentLis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List>
</comments>
</file>

<file path=xl/comments14.xml><?xml version="1.0" encoding="utf-8"?>
<comments xmlns="http://schemas.openxmlformats.org/spreadsheetml/2006/main" xmlns:xdr="http://schemas.openxmlformats.org/drawingml/2006/spreadsheetDrawing">
  <authors>
    <author> </author>
  </authors>
  <commentList>
    <comment ref="B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r>
      </text>
    </comment>
    <comment ref="B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r>
      </text>
    </comment>
    <comment ref="C1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r>
      </text>
    </comment>
    <comment ref="C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r>
      </text>
    </comment>
    <comment ref="E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Ajouté suite au retour de Philippe</t>
        </r>
      </text>
    </comment>
    <comment ref="H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r>
      </text>
    </commen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J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Faire un seul objet ?</t>
        </r>
      </text>
    </comment>
    <comment ref="P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 ref="P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r>
      </text>
    </comment>
    <comment ref="P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r>
      </text>
    </comment>
    <comment ref="S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S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S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List>
</comments>
</file>

<file path=xl/comments16.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7.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r>
      </text>
    </comment>
    <comment ref="C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Facultatif si hélicoptère</t>
        </r>
      </text>
    </comment>
  </commentList>
</comments>
</file>

<file path=xl/comments18.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9.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0.xml><?xml version="1.0" encoding="utf-8"?>
<comments xmlns="http://schemas.openxmlformats.org/spreadsheetml/2006/main" xmlns:xdr="http://schemas.openxmlformats.org/drawingml/2006/spreadsheetDrawing">
  <authors>
    <author> </author>
  </authors>
  <commentLis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J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O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List>
</comments>
</file>

<file path=xl/sharedStrings.xml><?xml version="1.0" encoding="utf-8"?>
<sst xmlns="http://schemas.openxmlformats.org/spreadsheetml/2006/main" count="11426" uniqueCount="3198">
  <si>
    <t xml:space="preserve">Mode d'emploi du MDD - Hub Santé</t>
  </si>
  <si>
    <r>
      <rPr>
        <u val="single"/>
        <sz val="11"/>
        <rFont val="Arial"/>
        <family val="2"/>
        <charset val="1"/>
      </rPr>
      <t xml:space="preserve">Ce document est un document de </t>
    </r>
    <r>
      <rPr>
        <b val="true"/>
        <u val="single"/>
        <sz val="11"/>
        <color rgb="FFFF0000"/>
        <rFont val="Arial"/>
        <family val="2"/>
        <charset val="1"/>
      </rPr>
      <t xml:space="preserve">travail partagé </t>
    </r>
    <r>
      <rPr>
        <u val="single"/>
        <sz val="11"/>
        <rFont val="Arial"/>
        <family val="2"/>
        <charset val="1"/>
      </rPr>
      <t xml:space="preserve">qui a pour vocation de :
</t>
    </r>
  </si>
  <si>
    <t xml:space="preserve">- servir de support aux échanges et à la construction du modèle de données</t>
  </si>
  <si>
    <t xml:space="preserve">- permettre la génération automatisée d'un certain nombre de ressources techniques utilisées par différentes composantes du projet.</t>
  </si>
  <si>
    <t xml:space="preserve">Les ressources qui utilisent ce fichier sont les suivantes : </t>
  </si>
  <si>
    <t xml:space="preserve">utilisation directe</t>
  </si>
  <si>
    <t xml:space="preserve">- une représentation structurée du modèle respectant la spécification Json-schema</t>
  </si>
  <si>
    <t xml:space="preserve">- un fichier de valeurs exemple conforme à ce Json-schema
</t>
  </si>
  <si>
    <t xml:space="preserve">- un fichier descripteur de l'interface au format AsyncAPI</t>
  </si>
  <si>
    <t xml:space="preserve">utilisation indirecte</t>
  </si>
  <si>
    <t xml:space="preserve">- une IHM web de visualisation de l'interface (/specs)</t>
  </si>
  <si>
    <t xml:space="preserve">à partir du descripteur AsyncAPI,</t>
  </si>
  <si>
    <t xml:space="preserve">- les classes Java utilisables par le composant "Dispatcher" (en charge des opérations de contrôle et de routage dans le Hub Santé), respectant scrupuleusement le modèle</t>
  </si>
  <si>
    <t xml:space="preserve">à partir du json-schema,</t>
  </si>
  <si>
    <t xml:space="preserve">- une IHM web de démo / test (/demo)
</t>
  </si>
  <si>
    <t xml:space="preserve">- une IHM web de visualisation du modèle (/jsv, Json-schema-viewer)</t>
  </si>
  <si>
    <r>
      <rPr>
        <sz val="14"/>
        <color rgb="FFC55A11"/>
        <rFont val="Arial"/>
        <family val="2"/>
        <charset val="1"/>
      </rPr>
      <t xml:space="preserve">En générant toutes ces ressources à partir d'un unique point d'entrée, on assure la cohérence de l'ensemble des composants de l'écosystème et on facilite la maintenabilité du projet.
</t>
    </r>
    <r>
      <rPr>
        <b val="true"/>
        <sz val="14"/>
        <color rgb="FFC55A11"/>
        <rFont val="Arial"/>
        <family val="2"/>
        <charset val="1"/>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</si>
  <si>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 xml:space="preserve">Les colonnes et lignes ci-dessous servent au bon fonctionnement du script et doivent être remplies de la manière décrite ici</t>
  </si>
  <si>
    <t xml:space="preserve">Ligne ou colonne concernées</t>
  </si>
  <si>
    <t xml:space="preserve">Référence d'exemple - feuille RC-EDA</t>
  </si>
  <si>
    <t xml:space="preserve">Modification de valeur autorisée</t>
  </si>
  <si>
    <t xml:space="preserve">Déplacement autorisé</t>
  </si>
  <si>
    <t xml:space="preserve">Suppression autorisée</t>
  </si>
  <si>
    <t xml:space="preserve">Règles de modification des valeurs / format de cellule</t>
  </si>
  <si>
    <t xml:space="preserve">Régles de déplacement</t>
  </si>
  <si>
    <t xml:space="preserve">Commentaire</t>
  </si>
  <si>
    <t xml:space="preserve">Ligne de "headers" (dont la valeur correspond au titre des colonnes)</t>
  </si>
  <si>
    <t xml:space="preserve">ligne 8</t>
  </si>
  <si>
    <t xml:space="preserve">NON</t>
  </si>
  <si>
    <t xml:space="preserve">N/A</t>
  </si>
  <si>
    <t xml:space="preserve">Cellule A1</t>
  </si>
  <si>
    <t xml:space="preserve">createCase</t>
  </si>
  <si>
    <t xml:space="preserve">OUI</t>
  </si>
  <si>
    <t xml:space="preserve">A modifier uniquement si l'on souhaite modifier le nom de l'objet racine du MDD : changement reservé à la MOE.</t>
  </si>
  <si>
    <t xml:space="preserve">La valeur renseignée ici sert à nommer l'objet racine du modèle de donnée.
Utilisé aussi pour la génération du diagramme UML.</t>
  </si>
  <si>
    <t xml:space="preserve">Les 6 colonnes "Donnée (Niveau N)"</t>
  </si>
  <si>
    <t xml:space="preserve">colonnes [B - G]</t>
  </si>
  <si>
    <t xml:space="preserve">Le titre de la colonne ne doit pas être modifié</t>
  </si>
  <si>
    <t xml:space="preserve">Les colonnes "Donnée (Niveau N)" permettent de générer l'arborescence : c'est le décalage (=l'ordre) des colonnes qui donne l'information "parent"/"enfant"</t>
  </si>
  <si>
    <t xml:space="preserve">Les 3 colonnes "Description" / "Exemples" / "Balise"</t>
  </si>
  <si>
    <t xml:space="preserve">colonnes [H - J]</t>
  </si>
  <si>
    <t xml:space="preserve">- Les colonnes doivent être situées parmis les 35 premières colonnes du tableau
- La ligne contenant le titre de colonne ne doit pas être modifiée/déplacée</t>
  </si>
  <si>
    <t xml:space="preserve">La cohérence des champs d'exemple avec les formats indiqués n'est pas testée</t>
  </si>
  <si>
    <t xml:space="preserve">Colonne "Cardinalité"</t>
  </si>
  <si>
    <t xml:space="preserve">colonne K</t>
  </si>
  <si>
    <r>
      <rPr>
        <sz val="11"/>
        <rFont val="Arial"/>
        <family val="2"/>
        <charset val="1"/>
      </rPr>
      <t xml:space="preserve">Format attendu : 
min..max
où min peut prendre les valeurs </t>
    </r>
    <r>
      <rPr>
        <sz val="11"/>
        <color rgb="FF0070C0"/>
        <rFont val="Arial"/>
        <family val="2"/>
        <charset val="1"/>
      </rPr>
      <t xml:space="preserve">0</t>
    </r>
    <r>
      <rPr>
        <sz val="11"/>
        <rFont val="Arial"/>
        <family val="2"/>
        <charset val="1"/>
      </rPr>
      <t xml:space="preserve"> ou </t>
    </r>
    <r>
      <rPr>
        <sz val="11"/>
        <color rgb="FF0070C0"/>
        <rFont val="Arial"/>
        <family val="2"/>
        <charset val="1"/>
      </rPr>
      <t xml:space="preserve">1
</t>
    </r>
    <r>
      <rPr>
        <sz val="11"/>
        <rFont val="Arial"/>
        <family val="2"/>
        <charset val="1"/>
      </rPr>
      <t xml:space="preserve">et max peut prendre les valeurs </t>
    </r>
    <r>
      <rPr>
        <sz val="11"/>
        <color rgb="FF0070C0"/>
        <rFont val="Arial"/>
        <family val="2"/>
        <charset val="1"/>
      </rPr>
      <t xml:space="preserve">1</t>
    </r>
    <r>
      <rPr>
        <sz val="11"/>
        <rFont val="Arial"/>
        <family val="2"/>
        <charset val="1"/>
      </rPr>
      <t xml:space="preserve"> ou </t>
    </r>
    <r>
      <rPr>
        <sz val="11"/>
        <color rgb="FF0070C0"/>
        <rFont val="Arial"/>
        <family val="2"/>
        <charset val="1"/>
      </rPr>
      <t xml:space="preserve">n
</t>
    </r>
    <r>
      <rPr>
        <sz val="11"/>
        <rFont val="Arial"/>
        <family val="2"/>
        <charset val="1"/>
      </rPr>
      <t xml:space="preserve">et min &lt; max</t>
    </r>
  </si>
  <si>
    <t xml:space="preserve">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</si>
  <si>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</si>
  <si>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 xml:space="preserve">colonne L</t>
  </si>
  <si>
    <t xml:space="preserve">- On spécifie si la donnée est de type objet par un "X" dans la colonne.
- Si la donnée est standard, on laisse la cellule vide</t>
  </si>
  <si>
    <t xml:space="preserve">Colonne "Format (ou type)"</t>
  </si>
  <si>
    <t xml:space="preserve">colonne M</t>
  </si>
  <si>
    <r>
      <rPr>
        <b val="true"/>
        <sz val="11"/>
        <rFont val="Arial"/>
        <family val="2"/>
        <charset val="1"/>
      </rPr>
      <t xml:space="preserve">Si la donnée est un objet
</t>
    </r>
    <r>
      <rPr>
        <sz val="11"/>
        <rFont val="Arial"/>
        <family val="2"/>
        <charset val="1"/>
      </rPr>
      <t xml:space="preserve">- il s'agit d'un objet utilisé une seule fois : on laisse la cellule "Format" vide
Par exemple, les coordonnées GPS ne sont utilisées que dans l'objet "Géométrie". 
</t>
    </r>
    <r>
      <rPr>
        <b val="true"/>
        <sz val="11"/>
        <rFont val="Arial"/>
        <family val="2"/>
        <charset val="1"/>
      </rPr>
      <t xml:space="preserve">OU	
</t>
    </r>
    <r>
      <rPr>
        <sz val="11"/>
        <rFont val="Arial"/>
        <family val="2"/>
        <charset val="1"/>
      </rPr>
      <t xml:space="preserve">-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</si>
  <si>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xml:space="preserve">- Les colonnes doivent être situées parmis les 35 premières colonnes du tableau
- La ligne contenant le titre de colonne ne doit pas être modifiée/déplacée
- Pour les objets, la définition d'un objet doit être le plus à la racine possible</t>
  </si>
  <si>
    <t xml:space="preserve">Si la cellule est vide : Le script donnera le même nom au type de l'objet, et à sa clé</t>
  </si>
  <si>
    <r>
      <rPr>
        <b val="true"/>
        <sz val="11"/>
        <rFont val="Arial"/>
        <family val="2"/>
        <charset val="1"/>
      </rPr>
      <t xml:space="preserve">Si la donnée n'est pas un objet
</t>
    </r>
    <r>
      <rPr>
        <sz val="11"/>
        <rFont val="Arial"/>
        <family val="2"/>
        <charset val="1"/>
      </rPr>
      <t xml:space="preserve">Utiliser la correspondance suivante pour les valeurs : 
	- texte =&gt; "string", 
	- nombre entier =&gt; "integer",
	- nombre décimal =&gt; "number" 
	- date avec heure =&gt; "datetime" 
	- date sans heure =&gt; "date"
Voir DSF pour description des types</t>
    </r>
  </si>
  <si>
    <t xml:space="preserve">Colonne "Nomenclature/ énumération"</t>
  </si>
  <si>
    <t xml:space="preserve">colonne N</t>
  </si>
  <si>
    <t xml:space="preserve">Sert à indiquer par la présence d'un X si une liste de valeurs fermées (nomenclature) doit être utilisée.
La nomenclature/liste à utiliser est à préciser dans la colonne "détails de format"</t>
  </si>
  <si>
    <t xml:space="preserve">Colonne "Détails de format"</t>
  </si>
  <si>
    <t xml:space="preserve">colonne O</t>
  </si>
  <si>
    <r>
      <rPr>
        <b val="true"/>
        <sz val="11"/>
        <rFont val="Arial"/>
        <family val="2"/>
        <charset val="1"/>
      </rPr>
      <t xml:space="preserve">Si pas de restriction de forma</t>
    </r>
    <r>
      <rPr>
        <sz val="11"/>
        <rFont val="Arial"/>
        <family val="2"/>
        <charset val="1"/>
      </rPr>
      <t xml:space="preserve">t : laisser la cellule vide</t>
    </r>
  </si>
  <si>
    <t xml:space="preserve">En l'absence de préfixe ou la présence d'un préfixe non listé ci-contre, le script ignorera le contenu de cette colonne.</t>
  </si>
  <si>
    <r>
      <rPr>
        <sz val="11"/>
        <rFont val="Arial"/>
        <family val="2"/>
        <charset val="1"/>
      </rPr>
      <t xml:space="preserve">
</t>
    </r>
    <r>
      <rPr>
        <b val="true"/>
        <sz val="11"/>
        <rFont val="Arial"/>
        <family val="2"/>
        <charset val="1"/>
      </rPr>
      <t xml:space="preserve">Si restriction de format,</t>
    </r>
    <r>
      <rPr>
        <sz val="11"/>
        <rFont val="Arial"/>
        <family val="2"/>
        <charset val="1"/>
      </rPr>
      <t xml:space="preserve"> utiliser l'un des préfixes suivants :
- REGEX (pour "expression regulière", "regular expression" en anglais) pour définir le format d'une chaîne de caractères.
</t>
    </r>
    <r>
      <rPr>
        <i val="true"/>
        <sz val="11"/>
        <color rgb="FF0070C0"/>
        <rFont val="Arial"/>
        <family val="2"/>
        <charset val="1"/>
      </rPr>
      <t xml:space="preserve">REGEX: [0-9]{5}
</t>
    </r>
    <r>
      <rPr>
        <sz val="11"/>
        <rFont val="Arial"/>
        <family val="2"/>
        <charset val="1"/>
      </rPr>
      <t xml:space="preserve">
- ENUM (pour "énumération"), pour définir une liste de valeurs acceptées
</t>
    </r>
    <r>
      <rPr>
        <i val="true"/>
        <sz val="11"/>
        <color rgb="FF0070C0"/>
        <rFont val="Arial"/>
        <family val="2"/>
        <charset val="1"/>
      </rPr>
      <t xml:space="preserve">ENUM: CITY, STREET, ADDRESS
</t>
    </r>
    <r>
      <rPr>
        <sz val="11"/>
        <rFont val="Arial"/>
        <family val="2"/>
        <charset val="1"/>
      </rPr>
      <t xml:space="preserve">
- NOMENCLATURE (pour "nomenclature"), pour définir une liste de valeurs acceptées depuis un fichier tiers. Indiquer le nom exact de la nomenclature dans ce fichier (sans extension)
</t>
    </r>
    <r>
      <rPr>
        <i val="true"/>
        <sz val="11"/>
        <color rgb="FF0070C0"/>
        <rFont val="Arial"/>
        <family val="2"/>
        <charset val="1"/>
      </rPr>
      <t xml:space="preserve">NOMENCLATURE: ISO 3166-ISO3166-2</t>
    </r>
  </si>
  <si>
    <t xml:space="preserve">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</si>
  <si>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 xml:space="preserve">Colonnes "Périmètre"</t>
  </si>
  <si>
    <t xml:space="preserve">colonne [P - R]</t>
  </si>
  <si>
    <t xml:space="preserve">Indique si les lignes sont à prendre en compte dans les contrats d'interface 15-15/15-18, etc.
Si les colonnes ne sont pas cochées, le parser ne prend pas en compte la ligne. Chaque colonne périmètre doit comporter le mot "Périmètre" à la ligne 7.</t>
  </si>
  <si>
    <t xml:space="preserve">Colonne CUT</t>
  </si>
  <si>
    <t xml:space="preserve">colonne [S]</t>
  </si>
  <si>
    <t xml:space="preserve">Indique la fin de prise en compte des valeurs par le parser : des colonnes de commentaires peuvent être ajoutées après la colonne CUT</t>
  </si>
  <si>
    <t xml:space="preserve">Toutes les autres colonnes</t>
  </si>
  <si>
    <t xml:space="preserve">Pas de règle</t>
  </si>
  <si>
    <t xml:space="preserve">RC-DE:15-15:DistributionElement</t>
  </si>
  <si>
    <t xml:space="preserve">schema</t>
  </si>
  <si>
    <t xml:space="preserve">perimeter</t>
  </si>
  <si>
    <t xml:space="preserve">rootElement</t>
  </si>
  <si>
    <t xml:space="preserve">package</t>
  </si>
  <si>
    <t xml:space="preserve">customExtendPackage</t>
  </si>
  <si>
    <t xml:space="preserve">customExtendClass</t>
  </si>
  <si>
    <t xml:space="preserve">automaticGeneration</t>
  </si>
  <si>
    <t xml:space="preserve">subschema</t>
  </si>
  <si>
    <t xml:space="preserve">header</t>
  </si>
  <si>
    <t xml:space="preserve">xmlns</t>
  </si>
  <si>
    <t xml:space="preserve">RC-DE</t>
  </si>
  <si>
    <t xml:space="preserve">15-15</t>
  </si>
  <si>
    <t xml:space="preserve">distributionElement</t>
  </si>
  <si>
    <t xml:space="preserve">rcde</t>
  </si>
  <si>
    <t xml:space="preserve">com.hubsante.model.edxl</t>
  </si>
  <si>
    <t xml:space="preserve">ContentMessage</t>
  </si>
  <si>
    <t xml:space="preserve">Y</t>
  </si>
  <si>
    <t xml:space="preserve">N</t>
  </si>
  <si>
    <t xml:space="preserve">eda:1.9</t>
  </si>
  <si>
    <t xml:space="preserve">Périmètre</t>
  </si>
  <si>
    <t xml:space="preserve">ID</t>
  </si>
  <si>
    <t xml:space="preserve">Donnée (Niveau 1)</t>
  </si>
  <si>
    <t xml:space="preserve">Donnée (Niveau 2)</t>
  </si>
  <si>
    <t xml:space="preserve">Donnée (Niveau 3)</t>
  </si>
  <si>
    <t xml:space="preserve">Donnée (Niveau 4)</t>
  </si>
  <si>
    <t xml:space="preserve">Donnée (Niveau 5)</t>
  </si>
  <si>
    <t xml:space="preserve">Donnée (Niveau 6)</t>
  </si>
  <si>
    <t xml:space="preserve">Description</t>
  </si>
  <si>
    <t xml:space="preserve">Exemples</t>
  </si>
  <si>
    <t xml:space="preserve">Fichier XSD</t>
  </si>
  <si>
    <t xml:space="preserve">Balise EMSI</t>
  </si>
  <si>
    <t xml:space="preserve">Balise</t>
  </si>
  <si>
    <t xml:space="preserve">Cardinalité</t>
  </si>
  <si>
    <t xml:space="preserve">Objet</t>
  </si>
  <si>
    <r>
      <rPr>
        <sz val="11"/>
        <color rgb="FF808080"/>
        <rFont val="Calibri3"/>
        <family val="0"/>
        <charset val="1"/>
      </rPr>
      <t xml:space="preserve">Format (ou </t>
    </r>
    <r>
      <rPr>
        <i val="true"/>
        <sz val="11"/>
        <color rgb="FF808080"/>
        <rFont val="Calibri3"/>
        <family val="0"/>
        <charset val="1"/>
      </rPr>
      <t xml:space="preserve">type</t>
    </r>
    <r>
      <rPr>
        <sz val="11"/>
        <color rgb="FF808080"/>
        <rFont val="Calibri3"/>
        <family val="0"/>
        <charset val="1"/>
      </rPr>
      <t xml:space="preserve">)</t>
    </r>
  </si>
  <si>
    <t xml:space="preserve">Détails de format</t>
  </si>
  <si>
    <t xml:space="preserve">15-18</t>
  </si>
  <si>
    <t xml:space="preserve">CUT</t>
  </si>
  <si>
    <t xml:space="preserve">Identifiant du message</t>
  </si>
  <si>
    <t xml:space="preserve">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</si>
  <si>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d350c9d2-9d76-4568-b0b7-a747ffadc949</t>
  </si>
  <si>
    <t xml:space="preserve">Alert</t>
  </si>
  <si>
    <t xml:space="preserve">messageId</t>
  </si>
  <si>
    <t xml:space="preserve">1..1</t>
  </si>
  <si>
    <t xml:space="preserve">string</t>
  </si>
  <si>
    <t xml:space="preserve">X</t>
  </si>
  <si>
    <t xml:space="preserve">Système émetteur</t>
  </si>
  <si>
    <t xml:space="preserve">Objet contenant les données relatives au système à l'origine du message. Les messages NexSIS peuvent être émis par des systèmes distincts des systèmes à l'origine des alertes.</t>
  </si>
  <si>
    <t xml:space="preserve">sender</t>
  </si>
  <si>
    <t xml:space="preserve">Nom du système emetteur</t>
  </si>
  <si>
    <t xml:space="preserve">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</si>
  <si>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 xml:space="preserve">sga-nexsis</t>
  </si>
  <si>
    <t xml:space="preserve">name</t>
  </si>
  <si>
    <t xml:space="preserve">URI (identifiant technique)</t>
  </si>
  <si>
    <t xml:space="preserve">uri du système. Permet d'identifier le vecteur utilisé par les échanges
Format :
=&gt; Pour les LRM : {nom éditeur}:{sender:name}
=&gt; Pour NexSIS : sge:{sender:name}</t>
  </si>
  <si>
    <t xml:space="preserve">sge:sga-nexsis</t>
  </si>
  <si>
    <t xml:space="preserve">URI</t>
  </si>
  <si>
    <t xml:space="preserve">Horodatage envoi message</t>
  </si>
  <si>
    <t xml:space="preserve">Groupe date heure de début de partage lié à l'envoi du message. Il doit  être cohérent avec le champ &lt;dateTimeSent&gt; de l'enveloppe EDXL (voir DST).  L'indicateur de fuseau horaire Z ne doit pas être utilisé. Le fuseau horaire pour UTC doit être représenté par '-00:00'</t>
  </si>
  <si>
    <t xml:space="preserve">sentAt</t>
  </si>
  <si>
    <t xml:space="preserve">datetime</t>
  </si>
  <si>
    <t xml:space="preserve">Type de message</t>
  </si>
  <si>
    <t xml:space="preserve">Prend la valeur &lt;distributionKind de l'enveloppe EDXL (voir DST)</t>
  </si>
  <si>
    <t xml:space="preserve">ALERT</t>
  </si>
  <si>
    <t xml:space="preserve">kind</t>
  </si>
  <si>
    <t xml:space="preserve">ENUM: Report, Update, Cancel, Ack, Error</t>
  </si>
  <si>
    <t xml:space="preserve">Statut du message</t>
  </si>
  <si>
    <t xml:space="preserve">Prend la valeur &lt;distributionStatus&gt; de l'enveloppe EDXL (voir DST)</t>
  </si>
  <si>
    <t xml:space="preserve">ACTUAL</t>
  </si>
  <si>
    <t xml:space="preserve">status</t>
  </si>
  <si>
    <t xml:space="preserve">ENUM: Actual, Exercise, System</t>
  </si>
  <si>
    <t xml:space="preserve">Système destinataire</t>
  </si>
  <si>
    <t xml:space="preserve">Objet contenant une liste de systèmes destinataires du message.</t>
  </si>
  <si>
    <t xml:space="preserve">recipient</t>
  </si>
  <si>
    <t xml:space="preserve">1..n</t>
  </si>
  <si>
    <t xml:space="preserve">Identifiant technique du système destinataire</t>
  </si>
  <si>
    <t xml:space="preserve">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</si>
  <si>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 xml:space="preserve">samu-77</t>
  </si>
  <si>
    <t xml:space="preserve">uri du système. Permet d'identifier le vecteur utilisé par les échanges
Format :
=&gt; Pour les LRM : sge:{recipient:name}
=&gt; Pour NexSIS : sge:{recipient:name}</t>
  </si>
  <si>
    <t xml:space="preserve">sge:samu-77</t>
  </si>
  <si>
    <t xml:space="preserve">Raison de partage avec le système destinataire</t>
  </si>
  <si>
    <t xml:space="preserve">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</si>
  <si>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 xml:space="preserve">INFORMATION</t>
  </si>
  <si>
    <t xml:space="preserve">reason</t>
  </si>
  <si>
    <t xml:space="preserve">ENUM: INFORMATION, GENERAL, CONCERNE, REPONSE, DEMANDE</t>
  </si>
  <si>
    <t xml:space="preserve">Source d'émission</t>
  </si>
  <si>
    <t xml:space="preserve">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</si>
  <si>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 xml:space="preserve">ABONNEMENT</t>
  </si>
  <si>
    <t xml:space="preserve">source</t>
  </si>
  <si>
    <t xml:space="preserve">0..1</t>
  </si>
  <si>
    <t xml:space="preserve">ENUM: ABONNEMENT, MANUEL, REPONSE</t>
  </si>
  <si>
    <t xml:space="preserve">RC-REF:15-15:reference</t>
  </si>
  <si>
    <t xml:space="preserve"> </t>
  </si>
  <si>
    <t xml:space="preserve">RC-REF</t>
  </si>
  <si>
    <t xml:space="preserve">reference</t>
  </si>
  <si>
    <t xml:space="preserve">eda:1.9:reference</t>
  </si>
  <si>
    <t xml:space="preserve">Liens existants 15-18</t>
  </si>
  <si>
    <t xml:space="preserve">Nantes - balise</t>
  </si>
  <si>
    <t xml:space="preserve">Nantes - description</t>
  </si>
  <si>
    <t xml:space="preserve">GT399</t>
  </si>
  <si>
    <t xml:space="preserve">GT399 description</t>
  </si>
  <si>
    <t xml:space="preserve">Priorisation</t>
  </si>
  <si>
    <r>
      <rPr>
        <b val="true"/>
        <sz val="11"/>
        <color rgb="FFFFFFFF"/>
        <rFont val="Calibri"/>
        <family val="2"/>
        <charset val="1"/>
      </rPr>
      <t xml:space="preserve">Format (ou </t>
    </r>
    <r>
      <rPr>
        <b val="true"/>
        <i val="true"/>
        <sz val="11"/>
        <color rgb="FFFFFFFF"/>
        <rFont val="Calibri"/>
        <family val="2"/>
        <charset val="1"/>
      </rPr>
      <t xml:space="preserve">type</t>
    </r>
    <r>
      <rPr>
        <b val="true"/>
        <sz val="11"/>
        <color rgb="FFFFFFFF"/>
        <rFont val="Calibri"/>
        <family val="2"/>
        <charset val="1"/>
      </rPr>
      <t xml:space="preserve">)</t>
    </r>
  </si>
  <si>
    <t xml:space="preserve">Métier</t>
  </si>
  <si>
    <t xml:space="preserve">Identifiant du message référencé</t>
  </si>
  <si>
    <t xml:space="preserve">Identifiant unique du message référencé</t>
  </si>
  <si>
    <t xml:space="preserve">distributionID</t>
  </si>
  <si>
    <t xml:space="preserve">Indicateur de refus de message</t>
  </si>
  <si>
    <t xml:space="preserve">Indique si le message acquitté a été refusé</t>
  </si>
  <si>
    <t xml:space="preserve">refused</t>
  </si>
  <si>
    <t xml:space="preserve">boolean</t>
  </si>
  <si>
    <t xml:space="preserve">Identifiant du message d'erreur lié</t>
  </si>
  <si>
    <t xml:space="preserve">Identifiant unique du message d'erreur lié</t>
  </si>
  <si>
    <t xml:space="preserve">errorDistributionID</t>
  </si>
  <si>
    <t xml:space="preserve">Etape d'intégration du message</t>
  </si>
  <si>
    <t xml:space="preserve">Nomenclature permettant d'identifier les différentes étapes d'intégration et de consultation du message dans le système émetteur</t>
  </si>
  <si>
    <t xml:space="preserve">step</t>
  </si>
  <si>
    <t xml:space="preserve">NOMENCLATURE: HubSante.etape</t>
  </si>
  <si>
    <t xml:space="preserve">RC-EDA:15-18:createCase RS-EDA:15-15:createCaseHealth RS-EDA-MAJ:15-MAJ:createCaseHealthUpdate</t>
  </si>
  <si>
    <t xml:space="preserve">RC-EDA</t>
  </si>
  <si>
    <t xml:space="preserve">cisu</t>
  </si>
  <si>
    <t xml:space="preserve">eda:1.9:createCase</t>
  </si>
  <si>
    <t xml:space="preserve">RS-EDA</t>
  </si>
  <si>
    <t xml:space="preserve">createCaseHealth</t>
  </si>
  <si>
    <t xml:space="preserve">health</t>
  </si>
  <si>
    <t xml:space="preserve">eda:1.9:createCaseHealth</t>
  </si>
  <si>
    <t xml:space="preserve">RS-EDA-MAJ</t>
  </si>
  <si>
    <t xml:space="preserve">15-MAJ</t>
  </si>
  <si>
    <t xml:space="preserve">createCaseHealthUpdate</t>
  </si>
  <si>
    <t xml:space="preserve">eda:1.9:createCaseHealthUpdate</t>
  </si>
  <si>
    <r>
      <rPr>
        <sz val="11"/>
        <color rgb="FF808080"/>
        <rFont val="Calibri"/>
        <family val="2"/>
        <charset val="1"/>
      </rPr>
      <t xml:space="preserve">Format (ou </t>
    </r>
    <r>
      <rPr>
        <i val="true"/>
        <sz val="11"/>
        <color rgb="FF808080"/>
        <rFont val="Calibri"/>
        <family val="2"/>
        <charset val="1"/>
      </rPr>
      <t xml:space="preserve">type</t>
    </r>
    <r>
      <rPr>
        <sz val="11"/>
        <color rgb="FF808080"/>
        <rFont val="Calibri"/>
        <family val="2"/>
        <charset val="1"/>
      </rPr>
      <t xml:space="preserve">)</t>
    </r>
  </si>
  <si>
    <t xml:space="preserve">Colonne1</t>
  </si>
  <si>
    <t xml:space="preserve">Colonne2</t>
  </si>
  <si>
    <t xml:space="preserve">Colonne3</t>
  </si>
  <si>
    <t xml:space="preserve">Colonne4</t>
  </si>
  <si>
    <t xml:space="preserve">Colonne5</t>
  </si>
  <si>
    <t xml:space="preserve">Colonne6</t>
  </si>
  <si>
    <t xml:space="preserve">Colonne7</t>
  </si>
  <si>
    <t xml:space="preserve">Colonne8</t>
  </si>
  <si>
    <t xml:space="preserve">Colonne9</t>
  </si>
  <si>
    <t xml:space="preserve">Colonne10</t>
  </si>
  <si>
    <t xml:space="preserve">Colonne11</t>
  </si>
  <si>
    <t xml:space="preserve">Colonne12</t>
  </si>
  <si>
    <t xml:space="preserve">Colonne13</t>
  </si>
  <si>
    <t xml:space="preserve">Colonne14</t>
  </si>
  <si>
    <t xml:space="preserve">Colonne15</t>
  </si>
  <si>
    <t xml:space="preserve">Colonne16</t>
  </si>
  <si>
    <t xml:space="preserve">Colonne17</t>
  </si>
  <si>
    <t xml:space="preserve">Colonne18</t>
  </si>
  <si>
    <t xml:space="preserve">Colonne19</t>
  </si>
  <si>
    <t xml:space="preserve">Colonne20</t>
  </si>
  <si>
    <t xml:space="preserve">Colonne21</t>
  </si>
  <si>
    <t xml:space="preserve">Colonne22</t>
  </si>
  <si>
    <t xml:space="preserve">Colonne23</t>
  </si>
  <si>
    <t xml:space="preserve">Colonne24</t>
  </si>
  <si>
    <t xml:space="preserve">Colonne25</t>
  </si>
  <si>
    <t xml:space="preserve">Colonne26</t>
  </si>
  <si>
    <t xml:space="preserve">Colonne27</t>
  </si>
  <si>
    <t xml:space="preserve">Colonne28</t>
  </si>
  <si>
    <t xml:space="preserve">Colonne29</t>
  </si>
  <si>
    <t xml:space="preserve">Colonne30</t>
  </si>
  <si>
    <t xml:space="preserve">Colonne31</t>
  </si>
  <si>
    <t xml:space="preserve">Colonne32</t>
  </si>
  <si>
    <t xml:space="preserve">Colonne33</t>
  </si>
  <si>
    <t xml:space="preserve">Colonne34</t>
  </si>
  <si>
    <t xml:space="preserve">Colonne35</t>
  </si>
  <si>
    <t xml:space="preserve">Colonne36</t>
  </si>
  <si>
    <t xml:space="preserve">Colonne37</t>
  </si>
  <si>
    <t xml:space="preserve">Colonne38</t>
  </si>
  <si>
    <t xml:space="preserve">Colonne39</t>
  </si>
  <si>
    <t xml:space="preserve">Colonne40</t>
  </si>
  <si>
    <t xml:space="preserve">Colonne41</t>
  </si>
  <si>
    <t xml:space="preserve">Colonne42</t>
  </si>
  <si>
    <t xml:space="preserve">Colonne43</t>
  </si>
  <si>
    <t xml:space="preserve">Colonne44</t>
  </si>
  <si>
    <t xml:space="preserve">Colonne45</t>
  </si>
  <si>
    <t xml:space="preserve">Colonne46</t>
  </si>
  <si>
    <t xml:space="preserve">Colonne47</t>
  </si>
  <si>
    <t xml:space="preserve">Colonne48</t>
  </si>
  <si>
    <t xml:space="preserve">Colonne49</t>
  </si>
  <si>
    <t xml:space="preserve">Colonne50</t>
  </si>
  <si>
    <t xml:space="preserve">Colonne51</t>
  </si>
  <si>
    <t xml:space="preserve">Colonne52</t>
  </si>
  <si>
    <t xml:space="preserve">Colonne53</t>
  </si>
  <si>
    <t xml:space="preserve">Colonne54</t>
  </si>
  <si>
    <t xml:space="preserve">Colonne55</t>
  </si>
  <si>
    <t xml:space="preserve">Colonne56</t>
  </si>
  <si>
    <t xml:space="preserve">Colonne57</t>
  </si>
  <si>
    <t xml:space="preserve">Colonne58</t>
  </si>
  <si>
    <t xml:space="preserve">Colonne59</t>
  </si>
  <si>
    <t xml:space="preserve">Colonne60</t>
  </si>
  <si>
    <t xml:space="preserve">Colonne61</t>
  </si>
  <si>
    <t xml:space="preserve">Colonne62</t>
  </si>
  <si>
    <t xml:space="preserve">Colonne63</t>
  </si>
  <si>
    <t xml:space="preserve">Colonne64</t>
  </si>
  <si>
    <t xml:space="preserve">Colonne65</t>
  </si>
  <si>
    <t xml:space="preserve">Colonne66</t>
  </si>
  <si>
    <t xml:space="preserve">Colonne67</t>
  </si>
  <si>
    <t xml:space="preserve">Colonne68</t>
  </si>
  <si>
    <t xml:space="preserve">Colonne69</t>
  </si>
  <si>
    <t xml:space="preserve">Colonne70</t>
  </si>
  <si>
    <t xml:space="preserve">Colonne71</t>
  </si>
  <si>
    <t xml:space="preserve">Colonne72</t>
  </si>
  <si>
    <t xml:space="preserve">Colonne73</t>
  </si>
  <si>
    <t xml:space="preserve">Colonne74</t>
  </si>
  <si>
    <t xml:space="preserve">Colonne75</t>
  </si>
  <si>
    <t xml:space="preserve">Colonne76</t>
  </si>
  <si>
    <t xml:space="preserve">Colonne77</t>
  </si>
  <si>
    <t xml:space="preserve">Colonne78</t>
  </si>
  <si>
    <t xml:space="preserve">Colonne79</t>
  </si>
  <si>
    <t xml:space="preserve">Colonne80</t>
  </si>
  <si>
    <t xml:space="preserve">Colonne81</t>
  </si>
  <si>
    <t xml:space="preserve">Colonne82</t>
  </si>
  <si>
    <t xml:space="preserve">Colonne83</t>
  </si>
  <si>
    <t xml:space="preserve">Colonne84</t>
  </si>
  <si>
    <t xml:space="preserve">Colonne85</t>
  </si>
  <si>
    <t xml:space="preserve">Colonne86</t>
  </si>
  <si>
    <t xml:space="preserve">Colonne87</t>
  </si>
  <si>
    <t xml:space="preserve">Colonne88</t>
  </si>
  <si>
    <t xml:space="preserve">Colonne89</t>
  </si>
  <si>
    <t xml:space="preserve">Colonne90</t>
  </si>
  <si>
    <t xml:space="preserve">Colonne91</t>
  </si>
  <si>
    <t xml:space="preserve">Colonne92</t>
  </si>
  <si>
    <t xml:space="preserve">Colonne93</t>
  </si>
  <si>
    <t xml:space="preserve">Colonne94</t>
  </si>
  <si>
    <t xml:space="preserve">Colonne95</t>
  </si>
  <si>
    <t xml:space="preserve">Colonne96</t>
  </si>
  <si>
    <t xml:space="preserve">Colonne97</t>
  </si>
  <si>
    <t xml:space="preserve">Colonne98</t>
  </si>
  <si>
    <t xml:space="preserve">Colonne99</t>
  </si>
  <si>
    <t xml:space="preserve">Colonne100</t>
  </si>
  <si>
    <t xml:space="preserve">Colonne101</t>
  </si>
  <si>
    <t xml:space="preserve">Colonne102</t>
  </si>
  <si>
    <t xml:space="preserve">Colonne103</t>
  </si>
  <si>
    <t xml:space="preserve">Colonne104</t>
  </si>
  <si>
    <t xml:space="preserve">Colonne105</t>
  </si>
  <si>
    <t xml:space="preserve">Colonne106</t>
  </si>
  <si>
    <t xml:space="preserve">Colonne107</t>
  </si>
  <si>
    <t xml:space="preserve">Colonne108</t>
  </si>
  <si>
    <t xml:space="preserve">Colonne109</t>
  </si>
  <si>
    <t xml:space="preserve">Colonne110</t>
  </si>
  <si>
    <t xml:space="preserve">Colonne111</t>
  </si>
  <si>
    <t xml:space="preserve">Colonne112</t>
  </si>
  <si>
    <t xml:space="preserve">Colonne113</t>
  </si>
  <si>
    <t xml:space="preserve">Colonne114</t>
  </si>
  <si>
    <t xml:space="preserve">Colonne115</t>
  </si>
  <si>
    <t xml:space="preserve">Colonne116</t>
  </si>
  <si>
    <t xml:space="preserve">Colonne117</t>
  </si>
  <si>
    <t xml:space="preserve">Colonne118</t>
  </si>
  <si>
    <t xml:space="preserve">Colonne119</t>
  </si>
  <si>
    <t xml:space="preserve">Colonne120</t>
  </si>
  <si>
    <t xml:space="preserve">Colonne121</t>
  </si>
  <si>
    <t xml:space="preserve">Colonne122</t>
  </si>
  <si>
    <t xml:space="preserve">Colonne123</t>
  </si>
  <si>
    <t xml:space="preserve">Colonne124</t>
  </si>
  <si>
    <t xml:space="preserve">Colonne125</t>
  </si>
  <si>
    <t xml:space="preserve">Colonne126</t>
  </si>
  <si>
    <t xml:space="preserve">Colonne127</t>
  </si>
  <si>
    <t xml:space="preserve">Colonne128</t>
  </si>
  <si>
    <t xml:space="preserve">Colonne129</t>
  </si>
  <si>
    <t xml:space="preserve">Colonne130</t>
  </si>
  <si>
    <t xml:space="preserve">Colonne131</t>
  </si>
  <si>
    <t xml:space="preserve">Colonne132</t>
  </si>
  <si>
    <t xml:space="preserve">Colonne133</t>
  </si>
  <si>
    <t xml:space="preserve">Colonne134</t>
  </si>
  <si>
    <t xml:space="preserve">Colonne135</t>
  </si>
  <si>
    <t xml:space="preserve">Colonne136</t>
  </si>
  <si>
    <t xml:space="preserve">Colonne137</t>
  </si>
  <si>
    <t xml:space="preserve">Colonne138</t>
  </si>
  <si>
    <t xml:space="preserve">Colonne139</t>
  </si>
  <si>
    <t xml:space="preserve">Colonne140</t>
  </si>
  <si>
    <t xml:space="preserve">Colonne141</t>
  </si>
  <si>
    <t xml:space="preserve">Colonne142</t>
  </si>
  <si>
    <t xml:space="preserve">Colonne143</t>
  </si>
  <si>
    <t xml:space="preserve">Colonne144</t>
  </si>
  <si>
    <t xml:space="preserve">Colonne145</t>
  </si>
  <si>
    <t xml:space="preserve">Colonne146</t>
  </si>
  <si>
    <t xml:space="preserve">Colonne147</t>
  </si>
  <si>
    <t xml:space="preserve">Colonne148</t>
  </si>
  <si>
    <t xml:space="preserve">Colonne149</t>
  </si>
  <si>
    <t xml:space="preserve">Colonne150</t>
  </si>
  <si>
    <t xml:space="preserve">Colonne151</t>
  </si>
  <si>
    <t xml:space="preserve">Colonne152</t>
  </si>
  <si>
    <t xml:space="preserve">Colonne153</t>
  </si>
  <si>
    <t xml:space="preserve">Colonne154</t>
  </si>
  <si>
    <t xml:space="preserve">Colonne155</t>
  </si>
  <si>
    <t xml:space="preserve">Colonne156</t>
  </si>
  <si>
    <t xml:space="preserve">Colonne157</t>
  </si>
  <si>
    <t xml:space="preserve">Colonne158</t>
  </si>
  <si>
    <t xml:space="preserve">Colonne159</t>
  </si>
  <si>
    <t xml:space="preserve">Colonne160</t>
  </si>
  <si>
    <t xml:space="preserve">Colonne161</t>
  </si>
  <si>
    <t xml:space="preserve">Colonne162</t>
  </si>
  <si>
    <t xml:space="preserve">Colonne163</t>
  </si>
  <si>
    <t xml:space="preserve">Colonne164</t>
  </si>
  <si>
    <t xml:space="preserve">Colonne165</t>
  </si>
  <si>
    <t xml:space="preserve">Colonne166</t>
  </si>
  <si>
    <t xml:space="preserve">Colonne167</t>
  </si>
  <si>
    <t xml:space="preserve">Colonne168</t>
  </si>
  <si>
    <t xml:space="preserve">Colonne169</t>
  </si>
  <si>
    <t xml:space="preserve">Colonne170</t>
  </si>
  <si>
    <t xml:space="preserve">Colonne171</t>
  </si>
  <si>
    <t xml:space="preserve">Colonne172</t>
  </si>
  <si>
    <t xml:space="preserve">Colonne173</t>
  </si>
  <si>
    <t xml:space="preserve">Colonne174</t>
  </si>
  <si>
    <t xml:space="preserve">Colonne175</t>
  </si>
  <si>
    <t xml:space="preserve">Colonne176</t>
  </si>
  <si>
    <t xml:space="preserve">Colonne177</t>
  </si>
  <si>
    <t xml:space="preserve">Colonne178</t>
  </si>
  <si>
    <t xml:space="preserve">Colonne179</t>
  </si>
  <si>
    <t xml:space="preserve">Colonne180</t>
  </si>
  <si>
    <t xml:space="preserve">Colonne181</t>
  </si>
  <si>
    <t xml:space="preserve">Colonne182</t>
  </si>
  <si>
    <t xml:space="preserve">Colonne183</t>
  </si>
  <si>
    <t xml:space="preserve">Colonne184</t>
  </si>
  <si>
    <t xml:space="preserve">Colonne185</t>
  </si>
  <si>
    <t xml:space="preserve">Colonne186</t>
  </si>
  <si>
    <t xml:space="preserve">Colonne187</t>
  </si>
  <si>
    <t xml:space="preserve">Colonne188</t>
  </si>
  <si>
    <t xml:space="preserve">Colonne189</t>
  </si>
  <si>
    <t xml:space="preserve">Colonne190</t>
  </si>
  <si>
    <t xml:space="preserve">Colonne191</t>
  </si>
  <si>
    <t xml:space="preserve">Colonne192</t>
  </si>
  <si>
    <t xml:space="preserve">Colonne193</t>
  </si>
  <si>
    <t xml:space="preserve">Colonne194</t>
  </si>
  <si>
    <t xml:space="preserve">Colonne195</t>
  </si>
  <si>
    <t xml:space="preserve">Colonne196</t>
  </si>
  <si>
    <t xml:space="preserve">Colonne197</t>
  </si>
  <si>
    <t xml:space="preserve">Colonne198</t>
  </si>
  <si>
    <t xml:space="preserve">Colonne199</t>
  </si>
  <si>
    <t xml:space="preserve">Colonne200</t>
  </si>
  <si>
    <t xml:space="preserve">Colonne201</t>
  </si>
  <si>
    <t xml:space="preserve">Colonne202</t>
  </si>
  <si>
    <t xml:space="preserve">Colonne203</t>
  </si>
  <si>
    <t xml:space="preserve">Colonne204</t>
  </si>
  <si>
    <t xml:space="preserve">Colonne205</t>
  </si>
  <si>
    <t xml:space="preserve">Colonne206</t>
  </si>
  <si>
    <t xml:space="preserve">Colonne207</t>
  </si>
  <si>
    <t xml:space="preserve">Colonne208</t>
  </si>
  <si>
    <t xml:space="preserve">Colonne209</t>
  </si>
  <si>
    <t xml:space="preserve">Colonne210</t>
  </si>
  <si>
    <t xml:space="preserve">Colonne211</t>
  </si>
  <si>
    <t xml:space="preserve">Colonne212</t>
  </si>
  <si>
    <t xml:space="preserve">Colonne213</t>
  </si>
  <si>
    <t xml:space="preserve">Colonne214</t>
  </si>
  <si>
    <t xml:space="preserve">Colonne215</t>
  </si>
  <si>
    <t xml:space="preserve">Colonne216</t>
  </si>
  <si>
    <t xml:space="preserve">Colonne217</t>
  </si>
  <si>
    <t xml:space="preserve">Colonne218</t>
  </si>
  <si>
    <t xml:space="preserve">Colonne219</t>
  </si>
  <si>
    <t xml:space="preserve">Colonne220</t>
  </si>
  <si>
    <t xml:space="preserve">Colonne221</t>
  </si>
  <si>
    <t xml:space="preserve">Colonne222</t>
  </si>
  <si>
    <t xml:space="preserve">Colonne223</t>
  </si>
  <si>
    <t xml:space="preserve">Colonne224</t>
  </si>
  <si>
    <t xml:space="preserve">Colonne225</t>
  </si>
  <si>
    <t xml:space="preserve">Colonne226</t>
  </si>
  <si>
    <t xml:space="preserve">Colonne227</t>
  </si>
  <si>
    <t xml:space="preserve">Colonne228</t>
  </si>
  <si>
    <t xml:space="preserve">Colonne229</t>
  </si>
  <si>
    <t xml:space="preserve">Colonne230</t>
  </si>
  <si>
    <t xml:space="preserve">Colonne231</t>
  </si>
  <si>
    <t xml:space="preserve">Colonne232</t>
  </si>
  <si>
    <t xml:space="preserve">Colonne233</t>
  </si>
  <si>
    <t xml:space="preserve">Colonne234</t>
  </si>
  <si>
    <t xml:space="preserve">Colonne235</t>
  </si>
  <si>
    <t xml:space="preserve">Colonne236</t>
  </si>
  <si>
    <t xml:space="preserve">Colonne237</t>
  </si>
  <si>
    <t xml:space="preserve">Colonne238</t>
  </si>
  <si>
    <t xml:space="preserve">Colonne239</t>
  </si>
  <si>
    <t xml:space="preserve">Colonne240</t>
  </si>
  <si>
    <t xml:space="preserve">Colonne241</t>
  </si>
  <si>
    <t xml:space="preserve">Colonne242</t>
  </si>
  <si>
    <t xml:space="preserve">Colonne243</t>
  </si>
  <si>
    <t xml:space="preserve">Colonne244</t>
  </si>
  <si>
    <t xml:space="preserve">Colonne245</t>
  </si>
  <si>
    <t xml:space="preserve">Colonne246</t>
  </si>
  <si>
    <t xml:space="preserve">Colonne247</t>
  </si>
  <si>
    <t xml:space="preserve">Colonne248</t>
  </si>
  <si>
    <t xml:space="preserve">Colonne249</t>
  </si>
  <si>
    <t xml:space="preserve">Colonne250</t>
  </si>
  <si>
    <t xml:space="preserve">Colonne251</t>
  </si>
  <si>
    <t xml:space="preserve">Colonne252</t>
  </si>
  <si>
    <t xml:space="preserve">Colonne253</t>
  </si>
  <si>
    <t xml:space="preserve">Colonne254</t>
  </si>
  <si>
    <t xml:space="preserve">Colonne255</t>
  </si>
  <si>
    <t xml:space="preserve">Colonne256</t>
  </si>
  <si>
    <t xml:space="preserve">Colonne257</t>
  </si>
  <si>
    <t xml:space="preserve">Colonne258</t>
  </si>
  <si>
    <t xml:space="preserve">Colonne259</t>
  </si>
  <si>
    <t xml:space="preserve">Colonne260</t>
  </si>
  <si>
    <t xml:space="preserve">Colonne261</t>
  </si>
  <si>
    <t xml:space="preserve">Colonne262</t>
  </si>
  <si>
    <t xml:space="preserve">Colonne263</t>
  </si>
  <si>
    <t xml:space="preserve">Colonne264</t>
  </si>
  <si>
    <t xml:space="preserve">Colonne265</t>
  </si>
  <si>
    <t xml:space="preserve">Colonne266</t>
  </si>
  <si>
    <t xml:space="preserve">Colonne267</t>
  </si>
  <si>
    <t xml:space="preserve">Colonne268</t>
  </si>
  <si>
    <t xml:space="preserve">Colonne269</t>
  </si>
  <si>
    <t xml:space="preserve">Colonne270</t>
  </si>
  <si>
    <t xml:space="preserve">Colonne271</t>
  </si>
  <si>
    <t xml:space="preserve">Colonne272</t>
  </si>
  <si>
    <t xml:space="preserve">Colonne273</t>
  </si>
  <si>
    <t xml:space="preserve">Colonne274</t>
  </si>
  <si>
    <t xml:space="preserve">Colonne275</t>
  </si>
  <si>
    <t xml:space="preserve">Colonne276</t>
  </si>
  <si>
    <t xml:space="preserve">Colonne277</t>
  </si>
  <si>
    <t xml:space="preserve">Colonne278</t>
  </si>
  <si>
    <t xml:space="preserve">Colonne279</t>
  </si>
  <si>
    <t xml:space="preserve">Colonne280</t>
  </si>
  <si>
    <t xml:space="preserve">Colonne281</t>
  </si>
  <si>
    <t xml:space="preserve">Colonne282</t>
  </si>
  <si>
    <t xml:space="preserve">Colonne283</t>
  </si>
  <si>
    <t xml:space="preserve">Colonne284</t>
  </si>
  <si>
    <t xml:space="preserve">Colonne285</t>
  </si>
  <si>
    <t xml:space="preserve">Colonne286</t>
  </si>
  <si>
    <t xml:space="preserve">Colonne287</t>
  </si>
  <si>
    <t xml:space="preserve">Colonne288</t>
  </si>
  <si>
    <t xml:space="preserve">Colonne289</t>
  </si>
  <si>
    <t xml:space="preserve">Colonne290</t>
  </si>
  <si>
    <t xml:space="preserve">Colonne291</t>
  </si>
  <si>
    <t xml:space="preserve">Colonne292</t>
  </si>
  <si>
    <t xml:space="preserve">Colonne293</t>
  </si>
  <si>
    <t xml:space="preserve">Colonne294</t>
  </si>
  <si>
    <t xml:space="preserve">Colonne295</t>
  </si>
  <si>
    <t xml:space="preserve">Colonne296</t>
  </si>
  <si>
    <t xml:space="preserve">Colonne297</t>
  </si>
  <si>
    <t xml:space="preserve">Colonne298</t>
  </si>
  <si>
    <t xml:space="preserve">Colonne299</t>
  </si>
  <si>
    <t xml:space="preserve">Colonne300</t>
  </si>
  <si>
    <t xml:space="preserve">Colonne301</t>
  </si>
  <si>
    <t xml:space="preserve">Colonne302</t>
  </si>
  <si>
    <t xml:space="preserve">Colonne303</t>
  </si>
  <si>
    <t xml:space="preserve">Colonne304</t>
  </si>
  <si>
    <t xml:space="preserve">Colonne305</t>
  </si>
  <si>
    <t xml:space="preserve">Colonne306</t>
  </si>
  <si>
    <t xml:space="preserve">Colonne307</t>
  </si>
  <si>
    <t xml:space="preserve">Colonne308</t>
  </si>
  <si>
    <t xml:space="preserve">Colonne309</t>
  </si>
  <si>
    <t xml:space="preserve">Colonne310</t>
  </si>
  <si>
    <t xml:space="preserve">Colonne311</t>
  </si>
  <si>
    <t xml:space="preserve">Colonne312</t>
  </si>
  <si>
    <t xml:space="preserve">Colonne313</t>
  </si>
  <si>
    <t xml:space="preserve">Colonne314</t>
  </si>
  <si>
    <t xml:space="preserve">Colonne315</t>
  </si>
  <si>
    <t xml:space="preserve">Colonne316</t>
  </si>
  <si>
    <t xml:space="preserve">Colonne317</t>
  </si>
  <si>
    <t xml:space="preserve">Colonne318</t>
  </si>
  <si>
    <t xml:space="preserve">Colonne319</t>
  </si>
  <si>
    <t xml:space="preserve">Colonne320</t>
  </si>
  <si>
    <t xml:space="preserve">Colonne321</t>
  </si>
  <si>
    <t xml:space="preserve">Colonne322</t>
  </si>
  <si>
    <t xml:space="preserve">Colonne323</t>
  </si>
  <si>
    <t xml:space="preserve">Colonne324</t>
  </si>
  <si>
    <t xml:space="preserve">Colonne325</t>
  </si>
  <si>
    <t xml:space="preserve">Colonne326</t>
  </si>
  <si>
    <t xml:space="preserve">Colonne327</t>
  </si>
  <si>
    <t xml:space="preserve">Colonne328</t>
  </si>
  <si>
    <t xml:space="preserve">Colonne329</t>
  </si>
  <si>
    <t xml:space="preserve">Colonne330</t>
  </si>
  <si>
    <t xml:space="preserve">Colonne331</t>
  </si>
  <si>
    <t xml:space="preserve">Colonne332</t>
  </si>
  <si>
    <t xml:space="preserve">Colonne333</t>
  </si>
  <si>
    <t xml:space="preserve">Colonne334</t>
  </si>
  <si>
    <t xml:space="preserve">Colonne335</t>
  </si>
  <si>
    <t xml:space="preserve">Colonne336</t>
  </si>
  <si>
    <t xml:space="preserve">Colonne337</t>
  </si>
  <si>
    <t xml:space="preserve">Colonne338</t>
  </si>
  <si>
    <t xml:space="preserve">Colonne339</t>
  </si>
  <si>
    <t xml:space="preserve">Colonne340</t>
  </si>
  <si>
    <t xml:space="preserve">Colonne341</t>
  </si>
  <si>
    <t xml:space="preserve">Colonne342</t>
  </si>
  <si>
    <t xml:space="preserve">Colonne343</t>
  </si>
  <si>
    <t xml:space="preserve">Colonne344</t>
  </si>
  <si>
    <t xml:space="preserve">Colonne345</t>
  </si>
  <si>
    <t xml:space="preserve">Colonne346</t>
  </si>
  <si>
    <t xml:space="preserve">Colonne347</t>
  </si>
  <si>
    <t xml:space="preserve">Colonne348</t>
  </si>
  <si>
    <t xml:space="preserve">Colonne349</t>
  </si>
  <si>
    <t xml:space="preserve">Colonne350</t>
  </si>
  <si>
    <t xml:space="preserve">Colonne351</t>
  </si>
  <si>
    <t xml:space="preserve">Colonne352</t>
  </si>
  <si>
    <t xml:space="preserve">Colonne353</t>
  </si>
  <si>
    <t xml:space="preserve">Colonne354</t>
  </si>
  <si>
    <t xml:space="preserve">Colonne355</t>
  </si>
  <si>
    <t xml:space="preserve">Colonne356</t>
  </si>
  <si>
    <t xml:space="preserve">Colonne357</t>
  </si>
  <si>
    <t xml:space="preserve">Colonne358</t>
  </si>
  <si>
    <t xml:space="preserve">Colonne359</t>
  </si>
  <si>
    <t xml:space="preserve">Colonne360</t>
  </si>
  <si>
    <t xml:space="preserve">Colonne361</t>
  </si>
  <si>
    <t xml:space="preserve">Colonne362</t>
  </si>
  <si>
    <t xml:space="preserve">Colonne363</t>
  </si>
  <si>
    <t xml:space="preserve">Colonne364</t>
  </si>
  <si>
    <t xml:space="preserve">Colonne365</t>
  </si>
  <si>
    <t xml:space="preserve">Colonne366</t>
  </si>
  <si>
    <t xml:space="preserve">Colonne367</t>
  </si>
  <si>
    <t xml:space="preserve">Colonne368</t>
  </si>
  <si>
    <t xml:space="preserve">Colonne369</t>
  </si>
  <si>
    <t xml:space="preserve">Colonne370</t>
  </si>
  <si>
    <t xml:space="preserve">Colonne371</t>
  </si>
  <si>
    <t xml:space="preserve">Colonne372</t>
  </si>
  <si>
    <t xml:space="preserve">Colonne373</t>
  </si>
  <si>
    <t xml:space="preserve">Colonne374</t>
  </si>
  <si>
    <t xml:space="preserve">Colonne375</t>
  </si>
  <si>
    <t xml:space="preserve">Colonne376</t>
  </si>
  <si>
    <t xml:space="preserve">Colonne377</t>
  </si>
  <si>
    <t xml:space="preserve">Colonne378</t>
  </si>
  <si>
    <t xml:space="preserve">Colonne379</t>
  </si>
  <si>
    <t xml:space="preserve">Colonne380</t>
  </si>
  <si>
    <t xml:space="preserve">Colonne381</t>
  </si>
  <si>
    <t xml:space="preserve">Colonne382</t>
  </si>
  <si>
    <t xml:space="preserve">Colonne383</t>
  </si>
  <si>
    <t xml:space="preserve">Colonne384</t>
  </si>
  <si>
    <t xml:space="preserve">Colonne385</t>
  </si>
  <si>
    <t xml:space="preserve">Colonne386</t>
  </si>
  <si>
    <t xml:space="preserve">Colonne387</t>
  </si>
  <si>
    <t xml:space="preserve">Colonne388</t>
  </si>
  <si>
    <t xml:space="preserve">Colonne389</t>
  </si>
  <si>
    <t xml:space="preserve">Colonne390</t>
  </si>
  <si>
    <t xml:space="preserve">Colonne391</t>
  </si>
  <si>
    <t xml:space="preserve">Colonne392</t>
  </si>
  <si>
    <t xml:space="preserve">Colonne393</t>
  </si>
  <si>
    <t xml:space="preserve">Colonne394</t>
  </si>
  <si>
    <t xml:space="preserve">Colonne395</t>
  </si>
  <si>
    <t xml:space="preserve">Colonne396</t>
  </si>
  <si>
    <t xml:space="preserve">Colonne397</t>
  </si>
  <si>
    <t xml:space="preserve">Colonne398</t>
  </si>
  <si>
    <t xml:space="preserve">Colonne399</t>
  </si>
  <si>
    <t xml:space="preserve">Colonne400</t>
  </si>
  <si>
    <t xml:space="preserve">Colonne401</t>
  </si>
  <si>
    <t xml:space="preserve">Colonne402</t>
  </si>
  <si>
    <t xml:space="preserve">Colonne403</t>
  </si>
  <si>
    <t xml:space="preserve">Colonne404</t>
  </si>
  <si>
    <t xml:space="preserve">Colonne405</t>
  </si>
  <si>
    <t xml:space="preserve">Colonne406</t>
  </si>
  <si>
    <t xml:space="preserve">Colonne407</t>
  </si>
  <si>
    <t xml:space="preserve">Colonne408</t>
  </si>
  <si>
    <t xml:space="preserve">Colonne409</t>
  </si>
  <si>
    <t xml:space="preserve">Colonne410</t>
  </si>
  <si>
    <t xml:space="preserve">Colonne411</t>
  </si>
  <si>
    <t xml:space="preserve">Colonne412</t>
  </si>
  <si>
    <t xml:space="preserve">Colonne413</t>
  </si>
  <si>
    <t xml:space="preserve">Colonne414</t>
  </si>
  <si>
    <t xml:space="preserve">Colonne415</t>
  </si>
  <si>
    <t xml:space="preserve">Colonne416</t>
  </si>
  <si>
    <t xml:space="preserve">Colonne417</t>
  </si>
  <si>
    <t xml:space="preserve">Colonne418</t>
  </si>
  <si>
    <t xml:space="preserve">Colonne419</t>
  </si>
  <si>
    <t xml:space="preserve">Colonne420</t>
  </si>
  <si>
    <t xml:space="preserve">Colonne421</t>
  </si>
  <si>
    <t xml:space="preserve">Colonne422</t>
  </si>
  <si>
    <t xml:space="preserve">Colonne423</t>
  </si>
  <si>
    <t xml:space="preserve">Colonne424</t>
  </si>
  <si>
    <t xml:space="preserve">Colonne425</t>
  </si>
  <si>
    <t xml:space="preserve">Colonne426</t>
  </si>
  <si>
    <t xml:space="preserve">Colonne427</t>
  </si>
  <si>
    <t xml:space="preserve">Colonne428</t>
  </si>
  <si>
    <t xml:space="preserve">Colonne429</t>
  </si>
  <si>
    <t xml:space="preserve">Colonne430</t>
  </si>
  <si>
    <t xml:space="preserve">Colonne431</t>
  </si>
  <si>
    <t xml:space="preserve">Colonne432</t>
  </si>
  <si>
    <t xml:space="preserve">Colonne433</t>
  </si>
  <si>
    <t xml:space="preserve">Colonne434</t>
  </si>
  <si>
    <t xml:space="preserve">Colonne435</t>
  </si>
  <si>
    <t xml:space="preserve">Colonne436</t>
  </si>
  <si>
    <t xml:space="preserve">Colonne437</t>
  </si>
  <si>
    <t xml:space="preserve">Colonne438</t>
  </si>
  <si>
    <t xml:space="preserve">Colonne439</t>
  </si>
  <si>
    <t xml:space="preserve">Colonne440</t>
  </si>
  <si>
    <t xml:space="preserve">Colonne441</t>
  </si>
  <si>
    <t xml:space="preserve">Colonne442</t>
  </si>
  <si>
    <t xml:space="preserve">Colonne443</t>
  </si>
  <si>
    <t xml:space="preserve">Colonne444</t>
  </si>
  <si>
    <t xml:space="preserve">Colonne445</t>
  </si>
  <si>
    <t xml:space="preserve">Colonne446</t>
  </si>
  <si>
    <t xml:space="preserve">Colonne447</t>
  </si>
  <si>
    <t xml:space="preserve">Colonne448</t>
  </si>
  <si>
    <t xml:space="preserve">Colonne449</t>
  </si>
  <si>
    <t xml:space="preserve">Colonne450</t>
  </si>
  <si>
    <t xml:space="preserve">Colonne451</t>
  </si>
  <si>
    <t xml:space="preserve">Colonne452</t>
  </si>
  <si>
    <t xml:space="preserve">Colonne453</t>
  </si>
  <si>
    <t xml:space="preserve">Colonne454</t>
  </si>
  <si>
    <t xml:space="preserve">Colonne455</t>
  </si>
  <si>
    <t xml:space="preserve">Colonne456</t>
  </si>
  <si>
    <t xml:space="preserve">Colonne457</t>
  </si>
  <si>
    <t xml:space="preserve">Colonne458</t>
  </si>
  <si>
    <t xml:space="preserve">Colonne459</t>
  </si>
  <si>
    <t xml:space="preserve">Colonne460</t>
  </si>
  <si>
    <t xml:space="preserve">Colonne461</t>
  </si>
  <si>
    <t xml:space="preserve">Colonne462</t>
  </si>
  <si>
    <t xml:space="preserve">Colonne463</t>
  </si>
  <si>
    <t xml:space="preserve">Colonne464</t>
  </si>
  <si>
    <t xml:space="preserve">Colonne465</t>
  </si>
  <si>
    <t xml:space="preserve">Colonne466</t>
  </si>
  <si>
    <t xml:space="preserve">Colonne467</t>
  </si>
  <si>
    <t xml:space="preserve">Colonne468</t>
  </si>
  <si>
    <t xml:space="preserve">Colonne469</t>
  </si>
  <si>
    <t xml:space="preserve">Colonne470</t>
  </si>
  <si>
    <t xml:space="preserve">Colonne471</t>
  </si>
  <si>
    <t xml:space="preserve">Colonne472</t>
  </si>
  <si>
    <t xml:space="preserve">Colonne473</t>
  </si>
  <si>
    <t xml:space="preserve">Colonne474</t>
  </si>
  <si>
    <t xml:space="preserve">Colonne475</t>
  </si>
  <si>
    <t xml:space="preserve">Colonne476</t>
  </si>
  <si>
    <t xml:space="preserve">Colonne477</t>
  </si>
  <si>
    <t xml:space="preserve">Colonne478</t>
  </si>
  <si>
    <t xml:space="preserve">Colonne479</t>
  </si>
  <si>
    <t xml:space="preserve">Colonne480</t>
  </si>
  <si>
    <t xml:space="preserve">Colonne481</t>
  </si>
  <si>
    <t xml:space="preserve">Colonne482</t>
  </si>
  <si>
    <t xml:space="preserve">Colonne483</t>
  </si>
  <si>
    <t xml:space="preserve">Colonne484</t>
  </si>
  <si>
    <t xml:space="preserve">Colonne485</t>
  </si>
  <si>
    <t xml:space="preserve">Colonne486</t>
  </si>
  <si>
    <t xml:space="preserve">Colonne487</t>
  </si>
  <si>
    <t xml:space="preserve">Colonne488</t>
  </si>
  <si>
    <t xml:space="preserve">Colonne489</t>
  </si>
  <si>
    <t xml:space="preserve">Colonne490</t>
  </si>
  <si>
    <t xml:space="preserve">Colonne491</t>
  </si>
  <si>
    <t xml:space="preserve">Colonne492</t>
  </si>
  <si>
    <t xml:space="preserve">Colonne493</t>
  </si>
  <si>
    <t xml:space="preserve">Colonne494</t>
  </si>
  <si>
    <t xml:space="preserve">Colonne495</t>
  </si>
  <si>
    <t xml:space="preserve">Colonne496</t>
  </si>
  <si>
    <t xml:space="preserve">Colonne497</t>
  </si>
  <si>
    <t xml:space="preserve">Colonne498</t>
  </si>
  <si>
    <t xml:space="preserve">Colonne499</t>
  </si>
  <si>
    <t xml:space="preserve">Colonne500</t>
  </si>
  <si>
    <t xml:space="preserve">Colonne501</t>
  </si>
  <si>
    <t xml:space="preserve">Colonne502</t>
  </si>
  <si>
    <t xml:space="preserve">Colonne503</t>
  </si>
  <si>
    <t xml:space="preserve">Colonne504</t>
  </si>
  <si>
    <t xml:space="preserve">Colonne505</t>
  </si>
  <si>
    <t xml:space="preserve">Colonne506</t>
  </si>
  <si>
    <t xml:space="preserve">Colonne507</t>
  </si>
  <si>
    <t xml:space="preserve">Colonne508</t>
  </si>
  <si>
    <t xml:space="preserve">Colonne509</t>
  </si>
  <si>
    <t xml:space="preserve">Colonne510</t>
  </si>
  <si>
    <t xml:space="preserve">Colonne511</t>
  </si>
  <si>
    <t xml:space="preserve">Colonne512</t>
  </si>
  <si>
    <t xml:space="preserve">Colonne513</t>
  </si>
  <si>
    <t xml:space="preserve">Colonne514</t>
  </si>
  <si>
    <t xml:space="preserve">Colonne515</t>
  </si>
  <si>
    <t xml:space="preserve">Colonne516</t>
  </si>
  <si>
    <t xml:space="preserve">Colonne517</t>
  </si>
  <si>
    <t xml:space="preserve">Colonne518</t>
  </si>
  <si>
    <t xml:space="preserve">Colonne519</t>
  </si>
  <si>
    <t xml:space="preserve">Colonne520</t>
  </si>
  <si>
    <t xml:space="preserve">Colonne521</t>
  </si>
  <si>
    <t xml:space="preserve">Colonne522</t>
  </si>
  <si>
    <t xml:space="preserve">Colonne523</t>
  </si>
  <si>
    <t xml:space="preserve">Colonne524</t>
  </si>
  <si>
    <t xml:space="preserve">Colonne525</t>
  </si>
  <si>
    <t xml:space="preserve">Colonne526</t>
  </si>
  <si>
    <t xml:space="preserve">Colonne527</t>
  </si>
  <si>
    <t xml:space="preserve">Colonne528</t>
  </si>
  <si>
    <t xml:space="preserve">Colonne529</t>
  </si>
  <si>
    <t xml:space="preserve">Colonne530</t>
  </si>
  <si>
    <t xml:space="preserve">Colonne531</t>
  </si>
  <si>
    <t xml:space="preserve">Colonne532</t>
  </si>
  <si>
    <t xml:space="preserve">Colonne533</t>
  </si>
  <si>
    <t xml:space="preserve">Colonne534</t>
  </si>
  <si>
    <t xml:space="preserve">Colonne535</t>
  </si>
  <si>
    <t xml:space="preserve">Colonne536</t>
  </si>
  <si>
    <t xml:space="preserve">Colonne537</t>
  </si>
  <si>
    <t xml:space="preserve">Colonne538</t>
  </si>
  <si>
    <t xml:space="preserve">Colonne539</t>
  </si>
  <si>
    <t xml:space="preserve">Colonne540</t>
  </si>
  <si>
    <t xml:space="preserve">Colonne541</t>
  </si>
  <si>
    <t xml:space="preserve">Colonne542</t>
  </si>
  <si>
    <t xml:space="preserve">Colonne543</t>
  </si>
  <si>
    <t xml:space="preserve">Colonne544</t>
  </si>
  <si>
    <t xml:space="preserve">Colonne545</t>
  </si>
  <si>
    <t xml:space="preserve">Colonne546</t>
  </si>
  <si>
    <t xml:space="preserve">Colonne547</t>
  </si>
  <si>
    <t xml:space="preserve">Colonne548</t>
  </si>
  <si>
    <t xml:space="preserve">Colonne549</t>
  </si>
  <si>
    <t xml:space="preserve">Colonne550</t>
  </si>
  <si>
    <t xml:space="preserve">Colonne551</t>
  </si>
  <si>
    <t xml:space="preserve">Colonne552</t>
  </si>
  <si>
    <t xml:space="preserve">Colonne553</t>
  </si>
  <si>
    <t xml:space="preserve">Colonne554</t>
  </si>
  <si>
    <t xml:space="preserve">Colonne555</t>
  </si>
  <si>
    <t xml:space="preserve">Colonne556</t>
  </si>
  <si>
    <t xml:space="preserve">Colonne557</t>
  </si>
  <si>
    <t xml:space="preserve">Colonne558</t>
  </si>
  <si>
    <t xml:space="preserve">Colonne559</t>
  </si>
  <si>
    <t xml:space="preserve">Colonne560</t>
  </si>
  <si>
    <t xml:space="preserve">Colonne561</t>
  </si>
  <si>
    <t xml:space="preserve">Colonne562</t>
  </si>
  <si>
    <t xml:space="preserve">Colonne563</t>
  </si>
  <si>
    <t xml:space="preserve">Colonne564</t>
  </si>
  <si>
    <t xml:space="preserve">Colonne565</t>
  </si>
  <si>
    <t xml:space="preserve">Colonne566</t>
  </si>
  <si>
    <t xml:space="preserve">Colonne567</t>
  </si>
  <si>
    <t xml:space="preserve">Colonne568</t>
  </si>
  <si>
    <t xml:space="preserve">Colonne569</t>
  </si>
  <si>
    <t xml:space="preserve">Colonne570</t>
  </si>
  <si>
    <t xml:space="preserve">Colonne571</t>
  </si>
  <si>
    <t xml:space="preserve">Colonne572</t>
  </si>
  <si>
    <t xml:space="preserve">Colonne573</t>
  </si>
  <si>
    <t xml:space="preserve">Colonne574</t>
  </si>
  <si>
    <t xml:space="preserve">Colonne575</t>
  </si>
  <si>
    <t xml:space="preserve">Colonne576</t>
  </si>
  <si>
    <t xml:space="preserve">Colonne577</t>
  </si>
  <si>
    <t xml:space="preserve">Colonne578</t>
  </si>
  <si>
    <t xml:space="preserve">Colonne579</t>
  </si>
  <si>
    <t xml:space="preserve">Colonne580</t>
  </si>
  <si>
    <t xml:space="preserve">Colonne581</t>
  </si>
  <si>
    <t xml:space="preserve">Colonne582</t>
  </si>
  <si>
    <t xml:space="preserve">Colonne583</t>
  </si>
  <si>
    <t xml:space="preserve">Colonne584</t>
  </si>
  <si>
    <t xml:space="preserve">Colonne585</t>
  </si>
  <si>
    <t xml:space="preserve">Colonne586</t>
  </si>
  <si>
    <t xml:space="preserve">Colonne587</t>
  </si>
  <si>
    <t xml:space="preserve">Colonne588</t>
  </si>
  <si>
    <t xml:space="preserve">Colonne589</t>
  </si>
  <si>
    <t xml:space="preserve">Colonne590</t>
  </si>
  <si>
    <t xml:space="preserve">Colonne591</t>
  </si>
  <si>
    <t xml:space="preserve">Colonne592</t>
  </si>
  <si>
    <t xml:space="preserve">Colonne593</t>
  </si>
  <si>
    <t xml:space="preserve">Colonne594</t>
  </si>
  <si>
    <t xml:space="preserve">Colonne595</t>
  </si>
  <si>
    <t xml:space="preserve">Colonne596</t>
  </si>
  <si>
    <t xml:space="preserve">Colonne597</t>
  </si>
  <si>
    <t xml:space="preserve">Colonne598</t>
  </si>
  <si>
    <t xml:space="preserve">Colonne599</t>
  </si>
  <si>
    <t xml:space="preserve">Colonne600</t>
  </si>
  <si>
    <t xml:space="preserve">Colonne601</t>
  </si>
  <si>
    <t xml:space="preserve">Colonne602</t>
  </si>
  <si>
    <t xml:space="preserve">Colonne603</t>
  </si>
  <si>
    <t xml:space="preserve">Colonne604</t>
  </si>
  <si>
    <t xml:space="preserve">Colonne605</t>
  </si>
  <si>
    <t xml:space="preserve">Colonne606</t>
  </si>
  <si>
    <t xml:space="preserve">Colonne607</t>
  </si>
  <si>
    <t xml:space="preserve">Colonne608</t>
  </si>
  <si>
    <t xml:space="preserve">Colonne609</t>
  </si>
  <si>
    <t xml:space="preserve">Colonne610</t>
  </si>
  <si>
    <t xml:space="preserve">Colonne611</t>
  </si>
  <si>
    <t xml:space="preserve">Colonne612</t>
  </si>
  <si>
    <t xml:space="preserve">Colonne613</t>
  </si>
  <si>
    <t xml:space="preserve">Colonne614</t>
  </si>
  <si>
    <t xml:space="preserve">Colonne615</t>
  </si>
  <si>
    <t xml:space="preserve">Colonne616</t>
  </si>
  <si>
    <t xml:space="preserve">Colonne617</t>
  </si>
  <si>
    <t xml:space="preserve">Colonne618</t>
  </si>
  <si>
    <t xml:space="preserve">Colonne619</t>
  </si>
  <si>
    <t xml:space="preserve">Colonne620</t>
  </si>
  <si>
    <t xml:space="preserve">Colonne621</t>
  </si>
  <si>
    <t xml:space="preserve">Colonne622</t>
  </si>
  <si>
    <t xml:space="preserve">Colonne623</t>
  </si>
  <si>
    <t xml:space="preserve">Colonne624</t>
  </si>
  <si>
    <t xml:space="preserve">Colonne625</t>
  </si>
  <si>
    <t xml:space="preserve">Colonne626</t>
  </si>
  <si>
    <t xml:space="preserve">Colonne627</t>
  </si>
  <si>
    <t xml:space="preserve">Colonne628</t>
  </si>
  <si>
    <t xml:space="preserve">Colonne629</t>
  </si>
  <si>
    <t xml:space="preserve">Colonne630</t>
  </si>
  <si>
    <t xml:space="preserve">Colonne631</t>
  </si>
  <si>
    <t xml:space="preserve">Colonne632</t>
  </si>
  <si>
    <t xml:space="preserve">Colonne633</t>
  </si>
  <si>
    <t xml:space="preserve">Colonne634</t>
  </si>
  <si>
    <t xml:space="preserve">Colonne635</t>
  </si>
  <si>
    <t xml:space="preserve">Colonne636</t>
  </si>
  <si>
    <t xml:space="preserve">Colonne637</t>
  </si>
  <si>
    <t xml:space="preserve">Colonne638</t>
  </si>
  <si>
    <t xml:space="preserve">Colonne639</t>
  </si>
  <si>
    <t xml:space="preserve">Colonne640</t>
  </si>
  <si>
    <t xml:space="preserve">Colonne641</t>
  </si>
  <si>
    <t xml:space="preserve">Colonne642</t>
  </si>
  <si>
    <t xml:space="preserve">Colonne643</t>
  </si>
  <si>
    <t xml:space="preserve">Colonne644</t>
  </si>
  <si>
    <t xml:space="preserve">Colonne645</t>
  </si>
  <si>
    <t xml:space="preserve">Colonne646</t>
  </si>
  <si>
    <t xml:space="preserve">Colonne647</t>
  </si>
  <si>
    <t xml:space="preserve">Colonne648</t>
  </si>
  <si>
    <t xml:space="preserve">Colonne649</t>
  </si>
  <si>
    <t xml:space="preserve">Colonne650</t>
  </si>
  <si>
    <t xml:space="preserve">Colonne651</t>
  </si>
  <si>
    <t xml:space="preserve">Colonne652</t>
  </si>
  <si>
    <t xml:space="preserve">Colonne653</t>
  </si>
  <si>
    <t xml:space="preserve">Colonne654</t>
  </si>
  <si>
    <t xml:space="preserve">Colonne655</t>
  </si>
  <si>
    <t xml:space="preserve">Colonne656</t>
  </si>
  <si>
    <t xml:space="preserve">Colonne657</t>
  </si>
  <si>
    <t xml:space="preserve">Colonne658</t>
  </si>
  <si>
    <t xml:space="preserve">Colonne659</t>
  </si>
  <si>
    <t xml:space="preserve">Colonne660</t>
  </si>
  <si>
    <t xml:space="preserve">Colonne661</t>
  </si>
  <si>
    <t xml:space="preserve">Colonne662</t>
  </si>
  <si>
    <t xml:space="preserve">Colonne663</t>
  </si>
  <si>
    <t xml:space="preserve">Colonne664</t>
  </si>
  <si>
    <t xml:space="preserve">Colonne665</t>
  </si>
  <si>
    <t xml:space="preserve">Colonne666</t>
  </si>
  <si>
    <t xml:space="preserve">Colonne667</t>
  </si>
  <si>
    <t xml:space="preserve">Colonne668</t>
  </si>
  <si>
    <t xml:space="preserve">Colonne669</t>
  </si>
  <si>
    <t xml:space="preserve">Colonne670</t>
  </si>
  <si>
    <t xml:space="preserve">Colonne671</t>
  </si>
  <si>
    <t xml:space="preserve">Colonne672</t>
  </si>
  <si>
    <t xml:space="preserve">Colonne673</t>
  </si>
  <si>
    <t xml:space="preserve">Colonne674</t>
  </si>
  <si>
    <t xml:space="preserve">Colonne675</t>
  </si>
  <si>
    <t xml:space="preserve">Colonne676</t>
  </si>
  <si>
    <t xml:space="preserve">Colonne677</t>
  </si>
  <si>
    <t xml:space="preserve">Colonne678</t>
  </si>
  <si>
    <t xml:space="preserve">Colonne679</t>
  </si>
  <si>
    <t xml:space="preserve">Colonne680</t>
  </si>
  <si>
    <t xml:space="preserve">Colonne681</t>
  </si>
  <si>
    <t xml:space="preserve">Colonne682</t>
  </si>
  <si>
    <t xml:space="preserve">Colonne683</t>
  </si>
  <si>
    <t xml:space="preserve">Colonne684</t>
  </si>
  <si>
    <t xml:space="preserve">Colonne685</t>
  </si>
  <si>
    <t xml:space="preserve">Colonne686</t>
  </si>
  <si>
    <t xml:space="preserve">Colonne687</t>
  </si>
  <si>
    <t xml:space="preserve">Colonne688</t>
  </si>
  <si>
    <t xml:space="preserve">Colonne689</t>
  </si>
  <si>
    <t xml:space="preserve">Colonne690</t>
  </si>
  <si>
    <t xml:space="preserve">Colonne691</t>
  </si>
  <si>
    <t xml:space="preserve">Colonne692</t>
  </si>
  <si>
    <t xml:space="preserve">Colonne693</t>
  </si>
  <si>
    <t xml:space="preserve">Colonne694</t>
  </si>
  <si>
    <t xml:space="preserve">Colonne695</t>
  </si>
  <si>
    <t xml:space="preserve">Colonne696</t>
  </si>
  <si>
    <t xml:space="preserve">Colonne697</t>
  </si>
  <si>
    <t xml:space="preserve">Colonne698</t>
  </si>
  <si>
    <t xml:space="preserve">Colonne699</t>
  </si>
  <si>
    <t xml:space="preserve">Colonne700</t>
  </si>
  <si>
    <t xml:space="preserve">Colonne701</t>
  </si>
  <si>
    <t xml:space="preserve">Colonne702</t>
  </si>
  <si>
    <t xml:space="preserve">Colonne703</t>
  </si>
  <si>
    <t xml:space="preserve">Colonne704</t>
  </si>
  <si>
    <t xml:space="preserve">Colonne705</t>
  </si>
  <si>
    <t xml:space="preserve">Colonne706</t>
  </si>
  <si>
    <t xml:space="preserve">Colonne707</t>
  </si>
  <si>
    <t xml:space="preserve">Colonne708</t>
  </si>
  <si>
    <t xml:space="preserve">Colonne709</t>
  </si>
  <si>
    <t xml:space="preserve">Colonne710</t>
  </si>
  <si>
    <t xml:space="preserve">Colonne711</t>
  </si>
  <si>
    <t xml:space="preserve">Colonne712</t>
  </si>
  <si>
    <t xml:space="preserve">Colonne713</t>
  </si>
  <si>
    <t xml:space="preserve">Colonne714</t>
  </si>
  <si>
    <t xml:space="preserve">Colonne715</t>
  </si>
  <si>
    <t xml:space="preserve">Colonne716</t>
  </si>
  <si>
    <t xml:space="preserve">Colonne717</t>
  </si>
  <si>
    <t xml:space="preserve">Colonne718</t>
  </si>
  <si>
    <t xml:space="preserve">Colonne719</t>
  </si>
  <si>
    <t xml:space="preserve">Colonne720</t>
  </si>
  <si>
    <t xml:space="preserve">Colonne721</t>
  </si>
  <si>
    <t xml:space="preserve">Colonne722</t>
  </si>
  <si>
    <t xml:space="preserve">Colonne723</t>
  </si>
  <si>
    <t xml:space="preserve">Colonne724</t>
  </si>
  <si>
    <t xml:space="preserve">Colonne725</t>
  </si>
  <si>
    <t xml:space="preserve">Colonne726</t>
  </si>
  <si>
    <t xml:space="preserve">Colonne727</t>
  </si>
  <si>
    <t xml:space="preserve">Colonne728</t>
  </si>
  <si>
    <t xml:space="preserve">Colonne729</t>
  </si>
  <si>
    <t xml:space="preserve">Colonne730</t>
  </si>
  <si>
    <t xml:space="preserve">Colonne731</t>
  </si>
  <si>
    <t xml:space="preserve">Colonne732</t>
  </si>
  <si>
    <t xml:space="preserve">Colonne733</t>
  </si>
  <si>
    <t xml:space="preserve">Colonne734</t>
  </si>
  <si>
    <t xml:space="preserve">Colonne735</t>
  </si>
  <si>
    <t xml:space="preserve">Colonne736</t>
  </si>
  <si>
    <t xml:space="preserve">Colonne737</t>
  </si>
  <si>
    <t xml:space="preserve">Colonne738</t>
  </si>
  <si>
    <t xml:space="preserve">Colonne739</t>
  </si>
  <si>
    <t xml:space="preserve">Colonne740</t>
  </si>
  <si>
    <t xml:space="preserve">Colonne741</t>
  </si>
  <si>
    <t xml:space="preserve">Colonne742</t>
  </si>
  <si>
    <t xml:space="preserve">Colonne743</t>
  </si>
  <si>
    <t xml:space="preserve">Colonne744</t>
  </si>
  <si>
    <t xml:space="preserve">Colonne745</t>
  </si>
  <si>
    <t xml:space="preserve">Colonne746</t>
  </si>
  <si>
    <t xml:space="preserve">Colonne747</t>
  </si>
  <si>
    <t xml:space="preserve">Colonne748</t>
  </si>
  <si>
    <t xml:space="preserve">Colonne749</t>
  </si>
  <si>
    <t xml:space="preserve">Colonne750</t>
  </si>
  <si>
    <t xml:space="preserve">Colonne751</t>
  </si>
  <si>
    <t xml:space="preserve">Colonne752</t>
  </si>
  <si>
    <t xml:space="preserve">Colonne753</t>
  </si>
  <si>
    <t xml:space="preserve">Colonne754</t>
  </si>
  <si>
    <t xml:space="preserve">Colonne755</t>
  </si>
  <si>
    <t xml:space="preserve">Colonne756</t>
  </si>
  <si>
    <t xml:space="preserve">Colonne757</t>
  </si>
  <si>
    <t xml:space="preserve">Colonne758</t>
  </si>
  <si>
    <t xml:space="preserve">Colonne759</t>
  </si>
  <si>
    <t xml:space="preserve">Colonne760</t>
  </si>
  <si>
    <t xml:space="preserve">Colonne761</t>
  </si>
  <si>
    <t xml:space="preserve">Colonne762</t>
  </si>
  <si>
    <t xml:space="preserve">Colonne763</t>
  </si>
  <si>
    <t xml:space="preserve">Colonne764</t>
  </si>
  <si>
    <t xml:space="preserve">Colonne765</t>
  </si>
  <si>
    <t xml:space="preserve">Colonne766</t>
  </si>
  <si>
    <t xml:space="preserve">Colonne767</t>
  </si>
  <si>
    <t xml:space="preserve">Colonne768</t>
  </si>
  <si>
    <t xml:space="preserve">Colonne769</t>
  </si>
  <si>
    <t xml:space="preserve">Colonne770</t>
  </si>
  <si>
    <t xml:space="preserve">Colonne771</t>
  </si>
  <si>
    <t xml:space="preserve">Colonne772</t>
  </si>
  <si>
    <t xml:space="preserve">Colonne773</t>
  </si>
  <si>
    <t xml:space="preserve">Colonne774</t>
  </si>
  <si>
    <t xml:space="preserve">Colonne775</t>
  </si>
  <si>
    <t xml:space="preserve">Colonne776</t>
  </si>
  <si>
    <t xml:space="preserve">Colonne777</t>
  </si>
  <si>
    <t xml:space="preserve">Colonne778</t>
  </si>
  <si>
    <t xml:space="preserve">Colonne779</t>
  </si>
  <si>
    <t xml:space="preserve">Colonne780</t>
  </si>
  <si>
    <t xml:space="preserve">Colonne781</t>
  </si>
  <si>
    <t xml:space="preserve">Colonne782</t>
  </si>
  <si>
    <t xml:space="preserve">Colonne783</t>
  </si>
  <si>
    <t xml:space="preserve">Colonne784</t>
  </si>
  <si>
    <t xml:space="preserve">Colonne785</t>
  </si>
  <si>
    <t xml:space="preserve">Colonne786</t>
  </si>
  <si>
    <t xml:space="preserve">Colonne787</t>
  </si>
  <si>
    <t xml:space="preserve">Colonne788</t>
  </si>
  <si>
    <t xml:space="preserve">Colonne789</t>
  </si>
  <si>
    <t xml:space="preserve">Colonne790</t>
  </si>
  <si>
    <t xml:space="preserve">Colonne791</t>
  </si>
  <si>
    <t xml:space="preserve">Colonne792</t>
  </si>
  <si>
    <t xml:space="preserve">Colonne793</t>
  </si>
  <si>
    <t xml:space="preserve">Colonne794</t>
  </si>
  <si>
    <t xml:space="preserve">Colonne795</t>
  </si>
  <si>
    <t xml:space="preserve">Colonne796</t>
  </si>
  <si>
    <t xml:space="preserve">Colonne797</t>
  </si>
  <si>
    <t xml:space="preserve">Colonne798</t>
  </si>
  <si>
    <t xml:space="preserve">Colonne799</t>
  </si>
  <si>
    <t xml:space="preserve">Colonne800</t>
  </si>
  <si>
    <t xml:space="preserve">Colonne801</t>
  </si>
  <si>
    <t xml:space="preserve">Colonne802</t>
  </si>
  <si>
    <t xml:space="preserve">Colonne803</t>
  </si>
  <si>
    <t xml:space="preserve">Colonne804</t>
  </si>
  <si>
    <t xml:space="preserve">Colonne805</t>
  </si>
  <si>
    <t xml:space="preserve">Colonne806</t>
  </si>
  <si>
    <t xml:space="preserve">Colonne807</t>
  </si>
  <si>
    <t xml:space="preserve">Colonne808</t>
  </si>
  <si>
    <t xml:space="preserve">Colonne809</t>
  </si>
  <si>
    <t xml:space="preserve">Colonne810</t>
  </si>
  <si>
    <t xml:space="preserve">Colonne811</t>
  </si>
  <si>
    <t xml:space="preserve">Colonne812</t>
  </si>
  <si>
    <t xml:space="preserve">Colonne813</t>
  </si>
  <si>
    <t xml:space="preserve">Colonne814</t>
  </si>
  <si>
    <t xml:space="preserve">Colonne815</t>
  </si>
  <si>
    <t xml:space="preserve">Colonne816</t>
  </si>
  <si>
    <t xml:space="preserve">Colonne817</t>
  </si>
  <si>
    <t xml:space="preserve">Colonne818</t>
  </si>
  <si>
    <t xml:space="preserve">Colonne819</t>
  </si>
  <si>
    <t xml:space="preserve">Colonne820</t>
  </si>
  <si>
    <t xml:space="preserve">Colonne821</t>
  </si>
  <si>
    <t xml:space="preserve">Colonne822</t>
  </si>
  <si>
    <t xml:space="preserve">Colonne823</t>
  </si>
  <si>
    <t xml:space="preserve">Colonne824</t>
  </si>
  <si>
    <t xml:space="preserve">Colonne825</t>
  </si>
  <si>
    <t xml:space="preserve">Colonne826</t>
  </si>
  <si>
    <t xml:space="preserve">Colonne827</t>
  </si>
  <si>
    <t xml:space="preserve">Colonne828</t>
  </si>
  <si>
    <t xml:space="preserve">Colonne829</t>
  </si>
  <si>
    <t xml:space="preserve">Colonne830</t>
  </si>
  <si>
    <t xml:space="preserve">Colonne831</t>
  </si>
  <si>
    <t xml:space="preserve">Colonne832</t>
  </si>
  <si>
    <t xml:space="preserve">Colonne833</t>
  </si>
  <si>
    <t xml:space="preserve">Colonne834</t>
  </si>
  <si>
    <t xml:space="preserve">Colonne835</t>
  </si>
  <si>
    <t xml:space="preserve">Colonne836</t>
  </si>
  <si>
    <t xml:space="preserve">Colonne837</t>
  </si>
  <si>
    <t xml:space="preserve">Colonne838</t>
  </si>
  <si>
    <t xml:space="preserve">Colonne839</t>
  </si>
  <si>
    <t xml:space="preserve">Colonne840</t>
  </si>
  <si>
    <t xml:space="preserve">Colonne841</t>
  </si>
  <si>
    <t xml:space="preserve">Colonne842</t>
  </si>
  <si>
    <t xml:space="preserve">Colonne843</t>
  </si>
  <si>
    <t xml:space="preserve">Colonne844</t>
  </si>
  <si>
    <t xml:space="preserve">Colonne845</t>
  </si>
  <si>
    <t xml:space="preserve">Colonne846</t>
  </si>
  <si>
    <t xml:space="preserve">Colonne847</t>
  </si>
  <si>
    <t xml:space="preserve">Colonne848</t>
  </si>
  <si>
    <t xml:space="preserve">Colonne849</t>
  </si>
  <si>
    <t xml:space="preserve">Colonne850</t>
  </si>
  <si>
    <t xml:space="preserve">Colonne851</t>
  </si>
  <si>
    <t xml:space="preserve">Colonne852</t>
  </si>
  <si>
    <t xml:space="preserve">Colonne853</t>
  </si>
  <si>
    <t xml:space="preserve">Colonne854</t>
  </si>
  <si>
    <t xml:space="preserve">Colonne855</t>
  </si>
  <si>
    <t xml:space="preserve">Colonne856</t>
  </si>
  <si>
    <t xml:space="preserve">Colonne857</t>
  </si>
  <si>
    <t xml:space="preserve">Colonne858</t>
  </si>
  <si>
    <t xml:space="preserve">Colonne859</t>
  </si>
  <si>
    <t xml:space="preserve">Colonne860</t>
  </si>
  <si>
    <t xml:space="preserve">Colonne861</t>
  </si>
  <si>
    <t xml:space="preserve">Colonne862</t>
  </si>
  <si>
    <t xml:space="preserve">Colonne863</t>
  </si>
  <si>
    <t xml:space="preserve">Colonne864</t>
  </si>
  <si>
    <t xml:space="preserve">Colonne865</t>
  </si>
  <si>
    <t xml:space="preserve">Colonne866</t>
  </si>
  <si>
    <t xml:space="preserve">Colonne867</t>
  </si>
  <si>
    <t xml:space="preserve">Colonne868</t>
  </si>
  <si>
    <t xml:space="preserve">Colonne869</t>
  </si>
  <si>
    <t xml:space="preserve">Colonne870</t>
  </si>
  <si>
    <t xml:space="preserve">Colonne871</t>
  </si>
  <si>
    <t xml:space="preserve">Colonne872</t>
  </si>
  <si>
    <t xml:space="preserve">Colonne873</t>
  </si>
  <si>
    <t xml:space="preserve">Colonne874</t>
  </si>
  <si>
    <t xml:space="preserve">Colonne875</t>
  </si>
  <si>
    <t xml:space="preserve">Colonne876</t>
  </si>
  <si>
    <t xml:space="preserve">Colonne877</t>
  </si>
  <si>
    <t xml:space="preserve">Colonne878</t>
  </si>
  <si>
    <t xml:space="preserve">Colonne879</t>
  </si>
  <si>
    <t xml:space="preserve">Colonne880</t>
  </si>
  <si>
    <t xml:space="preserve">Colonne881</t>
  </si>
  <si>
    <t xml:space="preserve">Colonne882</t>
  </si>
  <si>
    <t xml:space="preserve">Colonne883</t>
  </si>
  <si>
    <t xml:space="preserve">Colonne884</t>
  </si>
  <si>
    <t xml:space="preserve">Colonne885</t>
  </si>
  <si>
    <t xml:space="preserve">Colonne886</t>
  </si>
  <si>
    <t xml:space="preserve">Colonne887</t>
  </si>
  <si>
    <t xml:space="preserve">Colonne888</t>
  </si>
  <si>
    <t xml:space="preserve">Colonne889</t>
  </si>
  <si>
    <t xml:space="preserve">Colonne890</t>
  </si>
  <si>
    <t xml:space="preserve">Colonne891</t>
  </si>
  <si>
    <t xml:space="preserve">Colonne892</t>
  </si>
  <si>
    <t xml:space="preserve">Colonne893</t>
  </si>
  <si>
    <t xml:space="preserve">Colonne894</t>
  </si>
  <si>
    <t xml:space="preserve">Colonne895</t>
  </si>
  <si>
    <t xml:space="preserve">Colonne896</t>
  </si>
  <si>
    <t xml:space="preserve">Colonne897</t>
  </si>
  <si>
    <t xml:space="preserve">Colonne898</t>
  </si>
  <si>
    <t xml:space="preserve">Colonne899</t>
  </si>
  <si>
    <t xml:space="preserve">Colonne900</t>
  </si>
  <si>
    <t xml:space="preserve">Colonne901</t>
  </si>
  <si>
    <t xml:space="preserve">Colonne902</t>
  </si>
  <si>
    <t xml:space="preserve">Colonne903</t>
  </si>
  <si>
    <t xml:space="preserve">Colonne904</t>
  </si>
  <si>
    <t xml:space="preserve">Colonne905</t>
  </si>
  <si>
    <t xml:space="preserve">Colonne906</t>
  </si>
  <si>
    <t xml:space="preserve">Colonne907</t>
  </si>
  <si>
    <t xml:space="preserve">Colonne908</t>
  </si>
  <si>
    <t xml:space="preserve">Colonne909</t>
  </si>
  <si>
    <t xml:space="preserve">Colonne910</t>
  </si>
  <si>
    <t xml:space="preserve">Colonne911</t>
  </si>
  <si>
    <t xml:space="preserve">Colonne912</t>
  </si>
  <si>
    <t xml:space="preserve">Colonne913</t>
  </si>
  <si>
    <t xml:space="preserve">Colonne914</t>
  </si>
  <si>
    <t xml:space="preserve">Colonne915</t>
  </si>
  <si>
    <t xml:space="preserve">Colonne916</t>
  </si>
  <si>
    <t xml:space="preserve">Colonne917</t>
  </si>
  <si>
    <t xml:space="preserve">Colonne918</t>
  </si>
  <si>
    <t xml:space="preserve">Colonne919</t>
  </si>
  <si>
    <t xml:space="preserve">Colonne920</t>
  </si>
  <si>
    <t xml:space="preserve">Colonne921</t>
  </si>
  <si>
    <t xml:space="preserve">Colonne922</t>
  </si>
  <si>
    <t xml:space="preserve">Colonne923</t>
  </si>
  <si>
    <t xml:space="preserve">Colonne924</t>
  </si>
  <si>
    <t xml:space="preserve">Colonne925</t>
  </si>
  <si>
    <t xml:space="preserve">Colonne926</t>
  </si>
  <si>
    <t xml:space="preserve">Colonne927</t>
  </si>
  <si>
    <t xml:space="preserve">Colonne928</t>
  </si>
  <si>
    <t xml:space="preserve">Colonne929</t>
  </si>
  <si>
    <t xml:space="preserve">Colonne930</t>
  </si>
  <si>
    <t xml:space="preserve">Colonne931</t>
  </si>
  <si>
    <t xml:space="preserve">Colonne932</t>
  </si>
  <si>
    <t xml:space="preserve">Colonne933</t>
  </si>
  <si>
    <t xml:space="preserve">Colonne934</t>
  </si>
  <si>
    <t xml:space="preserve">Colonne935</t>
  </si>
  <si>
    <t xml:space="preserve">Colonne936</t>
  </si>
  <si>
    <t xml:space="preserve">Colonne937</t>
  </si>
  <si>
    <t xml:space="preserve">Colonne938</t>
  </si>
  <si>
    <t xml:space="preserve">Colonne939</t>
  </si>
  <si>
    <t xml:space="preserve">Colonne940</t>
  </si>
  <si>
    <t xml:space="preserve">Colonne941</t>
  </si>
  <si>
    <t xml:space="preserve">Colonne942</t>
  </si>
  <si>
    <t xml:space="preserve">Colonne943</t>
  </si>
  <si>
    <t xml:space="preserve">Colonne944</t>
  </si>
  <si>
    <t xml:space="preserve">Colonne945</t>
  </si>
  <si>
    <t xml:space="preserve">Colonne946</t>
  </si>
  <si>
    <t xml:space="preserve">Colonne947</t>
  </si>
  <si>
    <t xml:space="preserve">Colonne948</t>
  </si>
  <si>
    <t xml:space="preserve">Colonne949</t>
  </si>
  <si>
    <t xml:space="preserve">Colonne950</t>
  </si>
  <si>
    <t xml:space="preserve">Colonne951</t>
  </si>
  <si>
    <t xml:space="preserve">Colonne952</t>
  </si>
  <si>
    <t xml:space="preserve">Colonne953</t>
  </si>
  <si>
    <t xml:space="preserve">Colonne954</t>
  </si>
  <si>
    <t xml:space="preserve">Colonne955</t>
  </si>
  <si>
    <t xml:space="preserve">Colonne956</t>
  </si>
  <si>
    <t xml:space="preserve">Colonne957</t>
  </si>
  <si>
    <t xml:space="preserve">Colonne958</t>
  </si>
  <si>
    <t xml:space="preserve">Colonne959</t>
  </si>
  <si>
    <t xml:space="preserve">Colonne960</t>
  </si>
  <si>
    <t xml:space="preserve">Colonne961</t>
  </si>
  <si>
    <t xml:space="preserve">Colonne962</t>
  </si>
  <si>
    <t xml:space="preserve">Colonne963</t>
  </si>
  <si>
    <t xml:space="preserve">Colonne964</t>
  </si>
  <si>
    <t xml:space="preserve">Colonne965</t>
  </si>
  <si>
    <t xml:space="preserve">Colonne966</t>
  </si>
  <si>
    <t xml:space="preserve">Colonne967</t>
  </si>
  <si>
    <t xml:space="preserve">Colonne968</t>
  </si>
  <si>
    <t xml:space="preserve">Colonne969</t>
  </si>
  <si>
    <t xml:space="preserve">Colonne970</t>
  </si>
  <si>
    <t xml:space="preserve">Colonne971</t>
  </si>
  <si>
    <t xml:space="preserve">Colonne972</t>
  </si>
  <si>
    <t xml:space="preserve">Colonne973</t>
  </si>
  <si>
    <t xml:space="preserve">Colonne974</t>
  </si>
  <si>
    <t xml:space="preserve">Colonne975</t>
  </si>
  <si>
    <t xml:space="preserve">Colonne976</t>
  </si>
  <si>
    <t xml:space="preserve">Colonne977</t>
  </si>
  <si>
    <t xml:space="preserve">Colonne978</t>
  </si>
  <si>
    <t xml:space="preserve">Colonne979</t>
  </si>
  <si>
    <t xml:space="preserve">Colonne980</t>
  </si>
  <si>
    <t xml:space="preserve">Colonne981</t>
  </si>
  <si>
    <t xml:space="preserve">Colonne982</t>
  </si>
  <si>
    <t xml:space="preserve">Colonne983</t>
  </si>
  <si>
    <t xml:space="preserve">Colonne984</t>
  </si>
  <si>
    <t xml:space="preserve">Colonne985</t>
  </si>
  <si>
    <t xml:space="preserve">Colonne986</t>
  </si>
  <si>
    <t xml:space="preserve">Colonne987</t>
  </si>
  <si>
    <t xml:space="preserve">Colonne988</t>
  </si>
  <si>
    <t xml:space="preserve">Colonne989</t>
  </si>
  <si>
    <t xml:space="preserve">Colonne990</t>
  </si>
  <si>
    <t xml:space="preserve">Colonne991</t>
  </si>
  <si>
    <t xml:space="preserve">Colonne992</t>
  </si>
  <si>
    <t xml:space="preserve">Colonne993</t>
  </si>
  <si>
    <t xml:space="preserve">Colonne994</t>
  </si>
  <si>
    <t xml:space="preserve">Colonne995</t>
  </si>
  <si>
    <t xml:space="preserve">Colonne996</t>
  </si>
  <si>
    <t xml:space="preserve">Colonne997</t>
  </si>
  <si>
    <t xml:space="preserve">Colonne998</t>
  </si>
  <si>
    <t xml:space="preserve">Colonne999</t>
  </si>
  <si>
    <t xml:space="preserve">Identifiant affaire/dossier</t>
  </si>
  <si>
    <t xml:space="preserve">fr.health.samu440.DRFR15440241550012</t>
  </si>
  <si>
    <t xml:space="preserve">caseId</t>
  </si>
  <si>
    <t xml:space="preserve">REGEX: ^([a-zA-Z0-9_-]+\.?){4,10}$</t>
  </si>
  <si>
    <t xml:space="preserve">Identifiant local de l'affaire/dossier</t>
  </si>
  <si>
    <t xml:space="preserve">A valoriser avec le numéro du dossier dans le SI de l'émetteur du message.
</t>
  </si>
  <si>
    <t xml:space="preserve">DRFR15440241550012</t>
  </si>
  <si>
    <t xml:space="preserve">senderCaseId</t>
  </si>
  <si>
    <t xml:space="preserve">Date Heure de création de l'affaire/dossier</t>
  </si>
  <si>
    <t xml:space="preserve">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</si>
  <si>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 xml:space="preserve">2022-09-27T08:23:34+02:00</t>
  </si>
  <si>
    <t xml:space="preserve">creation</t>
  </si>
  <si>
    <t xml:space="preserve">Format datetime décrit dans le DST</t>
  </si>
  <si>
    <t xml:space="preserve">Version des nomenclatures du référentiel CISU</t>
  </si>
  <si>
    <t xml:space="preserve">Indique le numéro de version du référentiel des nomenclatures des codes transmis. 
Cela permet aux différents systèmes de s'assurer qu'ils utilisent la même version des codes de nomenclature que leurs partenaires.</t>
  </si>
  <si>
    <t xml:space="preserve">1.2</t>
  </si>
  <si>
    <t xml:space="preserve">referenceVersion</t>
  </si>
  <si>
    <t xml:space="preserve">Identifiant partagé de l'évènement</t>
  </si>
  <si>
    <t xml:space="preserve">Identifiant partagé de l’évènement, généré une seule fois par le système qui créé l’évènement et le partage (SI-SAMU, SSE, etc.)
Valorisé comme suit lors de sa création : 
{OrgId émetteur}.event.{n°évènement unique dans le système émetteur}</t>
  </si>
  <si>
    <t xml:space="preserve">fr.health.si-samu780.event.1234567896</t>
  </si>
  <si>
    <t xml:space="preserve">event</t>
  </si>
  <si>
    <t xml:space="preserve">REGEX: ^([a-zA-Z0-9_-]+\.){3,8}event(\.[a-zA-Z0-9_-]+){1,2}$</t>
  </si>
  <si>
    <t xml:space="preserve">Filière</t>
  </si>
  <si>
    <t xml:space="preserve">Sert à indiquer à quelle filière du CRRA destinataire le dossier doit être adressé/affiché, lorsque celle-ci est spécifique ou dédiée.</t>
  </si>
  <si>
    <t xml:space="preserve">AMU</t>
  </si>
  <si>
    <t xml:space="preserve">NOMENCLATURE: HubSante.filiere</t>
  </si>
  <si>
    <t xml:space="preserve">Type d'intervention</t>
  </si>
  <si>
    <t xml:space="preserve">A valoriser en indiquant s'il s'agit d'un dossier dit primaire (première intervention urgente) ou secondaire (par exemple TIH)</t>
  </si>
  <si>
    <t xml:space="preserve">T1</t>
  </si>
  <si>
    <t xml:space="preserve">interventionType</t>
  </si>
  <si>
    <t xml:space="preserve">NOMENCLATURE: HubSante.intervention</t>
  </si>
  <si>
    <t xml:space="preserve">Qualification</t>
  </si>
  <si>
    <t xml:space="preserve">Objet qui permet de qualifier l'affaire/dossier en général. 
Spécificités 15-18 : 
La qualification est issue d'une interprétation métier synthétisant l'ensemble des alertes reçues.</t>
  </si>
  <si>
    <t xml:space="preserve">qualification</t>
  </si>
  <si>
    <t xml:space="preserve">Origine de l'appel</t>
  </si>
  <si>
    <t xml:space="preserve">A valoriser avec le numéro de provenance de l'appel.</t>
  </si>
  <si>
    <t xml:space="preserve">15, 112, FDO</t>
  </si>
  <si>
    <t xml:space="preserve">origin</t>
  </si>
  <si>
    <t xml:space="preserve">NOMENCLATURE: HubSante.origine</t>
  </si>
  <si>
    <t xml:space="preserve">Risque, menace et sensibilité</t>
  </si>
  <si>
    <t xml:space="preserve"># Voir type codeAndLabel</t>
  </si>
  <si>
    <t xml:space="preserve">Décrit les risques, menaces et sensibilités : cf.nomenclature associée.</t>
  </si>
  <si>
    <t xml:space="preserve">riskThreat</t>
  </si>
  <si>
    <t xml:space="preserve">0..n</t>
  </si>
  <si>
    <t xml:space="preserve">codeAndLabel</t>
  </si>
  <si>
    <t xml:space="preserve">Code</t>
  </si>
  <si>
    <t xml:space="preserve">A valoriser avec le code de la nomenclature associée</t>
  </si>
  <si>
    <t xml:space="preserve">C07.13.02</t>
  </si>
  <si>
    <t xml:space="preserve">code</t>
  </si>
  <si>
    <t xml:space="preserve">REGEX: ^R\d{2}$</t>
  </si>
  <si>
    <t xml:space="preserve">Libellé</t>
  </si>
  <si>
    <t xml:space="preserve">A valoriser avec le libellé de la nomenclature associée.
Dans le cas où un système n'est pas en mesure de reconnaître un code, il peut choisir d'afficher le libellé qui est obligatoirement fourni avec le code.</t>
  </si>
  <si>
    <t xml:space="preserve">Rodéo automobile</t>
  </si>
  <si>
    <t xml:space="preserve">label</t>
  </si>
  <si>
    <t xml:space="preserve">Nature de fait</t>
  </si>
  <si>
    <t xml:space="preserve">Décrit la nature de fait de l'alerte : cf.nomenclature associée.</t>
  </si>
  <si>
    <t xml:space="preserve">whatsHappen</t>
  </si>
  <si>
    <t xml:space="preserve">REGEX: ^C\d{2}(\.\d{2}){2}$</t>
  </si>
  <si>
    <t xml:space="preserve">Type de lieu</t>
  </si>
  <si>
    <t xml:space="preserve">Décrit le type de lieu : cf.nomenclature associée.</t>
  </si>
  <si>
    <t xml:space="preserve">locationKind</t>
  </si>
  <si>
    <t xml:space="preserve">REGEX: ^L\d{2}(\.\d{2}){2}$</t>
  </si>
  <si>
    <t xml:space="preserve">Motif de recours médico-secouriste</t>
  </si>
  <si>
    <t xml:space="preserve">Décrit le motif de recours médico-secouriste : cf.nomenclature associée.</t>
  </si>
  <si>
    <t xml:space="preserve">healthMotive</t>
  </si>
  <si>
    <t xml:space="preserve">REGEX: ^M\d{2}\.\d{2}$</t>
  </si>
  <si>
    <t xml:space="preserve">Détails du dossier </t>
  </si>
  <si>
    <t xml:space="preserve">Objet qui permet de décrire les détails du dossier</t>
  </si>
  <si>
    <t xml:space="preserve">details</t>
  </si>
  <si>
    <t xml:space="preserve">caseDetails</t>
  </si>
  <si>
    <t xml:space="preserve">Etat du dossier</t>
  </si>
  <si>
    <t xml:space="preserve">A valoriser avec l'état du dossier dans le système émetteur
Spécificité 15-15 : peut être ignoré en réception, partagé à titre indicatif uniquement
Spécificité 15-SMUR : à utiliser à minima pour transmettre le statut CLOTURE à la tablette</t>
  </si>
  <si>
    <t xml:space="preserve">ACTIF</t>
  </si>
  <si>
    <t xml:space="preserve">NOMENCLATURE: HubSante.etat</t>
  </si>
  <si>
    <t xml:space="preserve">Type de dossier</t>
  </si>
  <si>
    <t xml:space="preserve">D/DR/DRM si cycle SI-SAMU implémenté</t>
  </si>
  <si>
    <t xml:space="preserve">DR</t>
  </si>
  <si>
    <t xml:space="preserve">type</t>
  </si>
  <si>
    <t xml:space="preserve">ENUM: D, DR, DRM</t>
  </si>
  <si>
    <t xml:space="preserve">Attribution du dossier</t>
  </si>
  <si>
    <t xml:space="preserve">Décrit le type de professionnel médical à qui le dossier est attribué : médecin généraliste, médecin urgentiste etc.</t>
  </si>
  <si>
    <t xml:space="preserve">DRM.MRU.MU</t>
  </si>
  <si>
    <t xml:space="preserve">attribution</t>
  </si>
  <si>
    <t xml:space="preserve">NOMENCLATURE: HubSante.attribution</t>
  </si>
  <si>
    <t xml:space="preserve">Priorité de régulation médicale</t>
  </si>
  <si>
    <t xml:space="preserve">Décrit la priorité de régulation médicale du dossier : P0, P1, P2, P3</t>
  </si>
  <si>
    <t xml:space="preserve">P1</t>
  </si>
  <si>
    <t xml:space="preserve">priority</t>
  </si>
  <si>
    <t xml:space="preserve">NOMENCLATURE: HubSante.priorite</t>
  </si>
  <si>
    <t xml:space="preserve">Niveau de soins du dossier</t>
  </si>
  <si>
    <t xml:space="preserve">Décrit le niveau de soins global du dossier identifié au cours de l'acte de régulation médicale : s'il y a plusieurs niveaux de soins différents pour chaque patient, on indique ici le niveau le plus grave.
cf.nomenclature associée.</t>
  </si>
  <si>
    <t xml:space="preserve">R1</t>
  </si>
  <si>
    <t xml:space="preserve">careLevel</t>
  </si>
  <si>
    <t xml:space="preserve">NOMENCLATURE: HubSante.niveauSoin</t>
  </si>
  <si>
    <t xml:space="preserve">Patients-Victimes</t>
  </si>
  <si>
    <t xml:space="preserve">victims</t>
  </si>
  <si>
    <t xml:space="preserve">Nombre de patients-victimes</t>
  </si>
  <si>
    <t xml:space="preserve">Indique le nombre de victimes selon la nomenclature du référentiel CISU</t>
  </si>
  <si>
    <t xml:space="preserve">PLUSIEURS</t>
  </si>
  <si>
    <t xml:space="preserve">count</t>
  </si>
  <si>
    <t xml:space="preserve">NOMENCLATURE: HubSante.nbVictimes</t>
  </si>
  <si>
    <t xml:space="preserve">Type du patient-victime principal</t>
  </si>
  <si>
    <t xml:space="preserve">Identifie le type de la principale victime (celle dont l'état de santé provoque le déclenchement de l'envoi des secours). Prend les valeurs du référentiel CISU. Entre dans la détermination des partenaires impliqués par NexSIS.</t>
  </si>
  <si>
    <t xml:space="preserve">ENFANT</t>
  </si>
  <si>
    <t xml:space="preserve">mainVictim</t>
  </si>
  <si>
    <t xml:space="preserve">NOMENCLATURE: HubSante.patient</t>
  </si>
  <si>
    <t xml:space="preserve">Informations complémentaires sur les patients-victimes</t>
  </si>
  <si>
    <t xml:space="preserve">Permet de complémenter en commentaire libre la(les) victime(s)</t>
  </si>
  <si>
    <t xml:space="preserve">Jeanne Dupont, 6 ans, ne répond plus</t>
  </si>
  <si>
    <t xml:space="preserve">freetext</t>
  </si>
  <si>
    <t xml:space="preserve">Localisation</t>
  </si>
  <si>
    <t xml:space="preserve">Objet qui permet de décrire la localisation du lieu d'intervention.</t>
  </si>
  <si>
    <t xml:space="preserve">location</t>
  </si>
  <si>
    <t xml:space="preserve">Identifiant technique de localisation</t>
  </si>
  <si>
    <t xml:space="preserve">ID technique et provisoire permettant d'identifier le lieu dans le cadre des échanges de cette affaire.</t>
  </si>
  <si>
    <t xml:space="preserve">111fb03a-6fd9-41e0-8e81-990c45188887</t>
  </si>
  <si>
    <t xml:space="preserve">locID</t>
  </si>
  <si>
    <t xml:space="preserve">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</si>
  <si>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</si>
  <si>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 xml:space="preserve">Lycée Pierre de Coubertin - 12 rue de l'Amitié 77288 Melun, Musée Bossuet - Accès 2 - 77048 Saint-Albray</t>
  </si>
  <si>
    <t xml:space="preserve">locLabel</t>
  </si>
  <si>
    <t xml:space="preserve">Nom du lieu</t>
  </si>
  <si>
    <t xml:space="preserve">A valoriser avec le nom de lieu : nom commercial, nom d'établissement, forêt de Fontainebleau, lac du Der, etc.</t>
  </si>
  <si>
    <t xml:space="preserve">Lycée Pierre de Coubertin</t>
  </si>
  <si>
    <t xml:space="preserve">Identifiant(s) du lieu</t>
  </si>
  <si>
    <t xml:space="preserve">Objet qui permet de transmettre le lien avec l'identifiant du lieu dans une base de données externes possiblement connue des autres acteurs</t>
  </si>
  <si>
    <t xml:space="preserve">externalLocationId</t>
  </si>
  <si>
    <t xml:space="preserve">Source  /  type d'identifiant</t>
  </si>
  <si>
    <t xml:space="preserve">A valoriser avec le type de l'identifiant fourni. Cf nomenclature associée.</t>
  </si>
  <si>
    <t xml:space="preserve">FINESS géographique, FINESS administratif, SIREN, SIRET, APE, NAF</t>
  </si>
  <si>
    <t xml:space="preserve">NOMENCLATURE: HubSante.idLieu</t>
  </si>
  <si>
    <t xml:space="preserve">Identifiant</t>
  </si>
  <si>
    <t xml:space="preserve">A valoriser avec l'identifiant en lui-même</t>
  </si>
  <si>
    <t xml:space="preserve">920000650 </t>
  </si>
  <si>
    <t xml:space="preserve">value</t>
  </si>
  <si>
    <t xml:space="preserve">REGEX: ^([0-9A-Z]{2}0\d{5}\d|\d{9}|\d{14}|\d{4}[A-Za-z])$</t>
  </si>
  <si>
    <t xml:space="preserve">Détails de l'adresse</t>
  </si>
  <si>
    <t xml:space="preserve">detailedAddress</t>
  </si>
  <si>
    <t xml:space="preserve">Autoroute</t>
  </si>
  <si>
    <t xml:space="preserve">Objet qui permet de transmettre les informations liés à une autoroute. S'utilise aussi pour les voies férées et navigables. </t>
  </si>
  <si>
    <t xml:space="preserve">highway</t>
  </si>
  <si>
    <t xml:space="preserve">Nom</t>
  </si>
  <si>
    <t xml:space="preserve">A valoriser avec le nom de l'autoroute, de la voie ferrée ou voie navigable.</t>
  </si>
  <si>
    <t xml:space="preserve">A4</t>
  </si>
  <si>
    <t xml:space="preserve">Point kilométrique</t>
  </si>
  <si>
    <t xml:space="preserve">A valoriser avec le point kilométrique de l'autoroute, de la voie ferrée ou voie navigable. </t>
  </si>
  <si>
    <t xml:space="preserve">PK10</t>
  </si>
  <si>
    <t xml:space="preserve">pk</t>
  </si>
  <si>
    <t xml:space="preserve">Sens</t>
  </si>
  <si>
    <t xml:space="preserve">A valoriser avec le sens de l'autoroute.</t>
  </si>
  <si>
    <t xml:space="preserve">Paris</t>
  </si>
  <si>
    <t xml:space="preserve">direction</t>
  </si>
  <si>
    <t xml:space="preserve">Numéro, type et nom de voie</t>
  </si>
  <si>
    <t xml:space="preserve">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</si>
  <si>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 xml:space="preserve">9 Bd du Montparnasse</t>
  </si>
  <si>
    <t xml:space="preserve">complete</t>
  </si>
  <si>
    <t xml:space="preserve">TEMPLATE: {number} {wayName}</t>
  </si>
  <si>
    <t xml:space="preserve">Numéro dans la voie</t>
  </si>
  <si>
    <t xml:space="preserve">A valoriser avec le numéro dans l'adresse. La valeur de l'attribut inclut l'indice de répétition associé au numéro (par exemple bis, a…).
Spécificités 15-18 :  inclut le point kilométrique sur l'autoroute, voie ferrée ou voie navigable.</t>
  </si>
  <si>
    <t xml:space="preserve">9, 4bis, PK10, …</t>
  </si>
  <si>
    <t xml:space="preserve">number</t>
  </si>
  <si>
    <t xml:space="preserve">Type et nom de voie</t>
  </si>
  <si>
    <t xml:space="preserve">Objet qui permet de décrire de manière structurée le type de voie et le nom de voie.</t>
  </si>
  <si>
    <t xml:space="preserve">wayName</t>
  </si>
  <si>
    <t xml:space="preserve">Type et nom</t>
  </si>
  <si>
    <t xml:space="preserve">A valoriser avec le type et le nom de la voie.
Si les attributs "type" et "name" de "wayName" sont également renseignés, alors "complete" doit être valorisé ainsi : "{type} {nom}".</t>
  </si>
  <si>
    <t xml:space="preserve">Boulevard du Montparnasse</t>
  </si>
  <si>
    <t xml:space="preserve">TEMPLATE: {type} {name}</t>
  </si>
  <si>
    <t xml:space="preserve">Type</t>
  </si>
  <si>
    <t xml:space="preserve">A valoriser avec le type de la voie</t>
  </si>
  <si>
    <t xml:space="preserve">Boulevard</t>
  </si>
  <si>
    <t xml:space="preserve">A valoriser avec le nom de la voie</t>
  </si>
  <si>
    <t xml:space="preserve">du Montparnasse</t>
  </si>
  <si>
    <t xml:space="preserve">Détails de la commune</t>
  </si>
  <si>
    <t xml:space="preserve">Objet qui permet de transmettre les détails de la commune</t>
  </si>
  <si>
    <t xml:space="preserve">city</t>
  </si>
  <si>
    <t xml:space="preserve">Nom de la commune</t>
  </si>
  <si>
    <t xml:space="preserve">A valoriser avec le nom officiel de la commune</t>
  </si>
  <si>
    <t xml:space="preserve">Lille</t>
  </si>
  <si>
    <t xml:space="preserve">Code INSEE de la commune</t>
  </si>
  <si>
    <t xml:space="preserve">A valoriser avec le code INSEE de la commune actuelle sur la base du Code Officiel géographique en vigueur. 
La valeur du code INSEE est obligatoire dès que le nom de la commune est renseigné (city.name).</t>
  </si>
  <si>
    <t xml:space="preserve">inseeCode</t>
  </si>
  <si>
    <t xml:space="preserve">REGEX: ^[0-9]{5}$</t>
  </si>
  <si>
    <t xml:space="preserve">Complément de commune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</si>
  <si>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</si>
  <si>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Quartie Melun Nord, Lhomme, …</t>
  </si>
  <si>
    <t xml:space="preserve">detail</t>
  </si>
  <si>
    <t xml:space="preserve">Détails d'accès</t>
  </si>
  <si>
    <t xml:space="preserve">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</si>
  <si>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 xml:space="preserve">access</t>
  </si>
  <si>
    <t xml:space="preserve">Etage</t>
  </si>
  <si>
    <t xml:space="preserve">A valoriser avec le numéro ou nom de l'étage </t>
  </si>
  <si>
    <t xml:space="preserve">RDC</t>
  </si>
  <si>
    <t xml:space="preserve">floor</t>
  </si>
  <si>
    <t xml:space="preserve">Numéro de porte</t>
  </si>
  <si>
    <t xml:space="preserve">A valoriser avec le numéro d'appartement, de chambre, de bureau</t>
  </si>
  <si>
    <t xml:space="preserve">A16</t>
  </si>
  <si>
    <t xml:space="preserve">roomNumber</t>
  </si>
  <si>
    <t xml:space="preserve">Interphone</t>
  </si>
  <si>
    <t xml:space="preserve">A valoriser avec les informations nécessaires à l'identification de l'interphone (numéro, nom)</t>
  </si>
  <si>
    <t xml:space="preserve">Dupont</t>
  </si>
  <si>
    <t xml:space="preserve">interphone</t>
  </si>
  <si>
    <t xml:space="preserve">Digicode</t>
  </si>
  <si>
    <t xml:space="preserve">A valoriser avec le ou les digicodes, dans l'ordre de progression dans le bâtiment.</t>
  </si>
  <si>
    <t xml:space="preserve">1234A</t>
  </si>
  <si>
    <t xml:space="preserve">accessCode</t>
  </si>
  <si>
    <t xml:space="preserve">Ascenseur/escalier</t>
  </si>
  <si>
    <t xml:space="preserve">A valoriser avec le nom ou le numéro de l'ascenseur ou de la cage d'escalier </t>
  </si>
  <si>
    <t xml:space="preserve">C3</t>
  </si>
  <si>
    <t xml:space="preserve">elevator</t>
  </si>
  <si>
    <t xml:space="preserve">Bâtiment</t>
  </si>
  <si>
    <t xml:space="preserve">A valoriser avec le nom du bâtiment</t>
  </si>
  <si>
    <t xml:space="preserve">Batiment B</t>
  </si>
  <si>
    <t xml:space="preserve">buildingName</t>
  </si>
  <si>
    <t xml:space="preserve">Entrée</t>
  </si>
  <si>
    <t xml:space="preserve">A valoriser avec le nom de l'entrée</t>
  </si>
  <si>
    <t xml:space="preserve">entrance</t>
  </si>
  <si>
    <t xml:space="preserve">Service</t>
  </si>
  <si>
    <t xml:space="preserve">A valoriser avec le nom du service concerné au sein de l'établissement : infirmerie, service finance, service comptabilité.</t>
  </si>
  <si>
    <t xml:space="preserve">Infirmerie</t>
  </si>
  <si>
    <t xml:space="preserve">entity</t>
  </si>
  <si>
    <t xml:space="preserve">N° de téléphone du lieu</t>
  </si>
  <si>
    <t xml:space="preserve">A valoriser avec le numéro de téléphone du lieu de l'intervention, par exemple : téléphone du secrétariat, téléphone du service administratif ou se trouve le patient/ la victime.
Le format attendu est le suivant : +{indicatif pays}{numéro de téléphone}</t>
  </si>
  <si>
    <t xml:space="preserve">+33123452323</t>
  </si>
  <si>
    <t xml:space="preserve">phoneNumber</t>
  </si>
  <si>
    <t xml:space="preserve">REGEX: ^\+\d{5,18}$</t>
  </si>
  <si>
    <t xml:space="preserve">Géometrie associée</t>
  </si>
  <si>
    <t xml:space="preserve">Objet qui permettre de transmettre la géométrie du lien d'intervention</t>
  </si>
  <si>
    <t xml:space="preserve">geometry</t>
  </si>
  <si>
    <t xml:space="preserve">Heure du dernier relevé</t>
  </si>
  <si>
    <t xml:space="preserve">A valoriser avec le groupe date heure de renseignement des coordonnées du point clé de la localisation. 
Permet de connaître la fraîcheur et donc la pertinence des informations pour intervenir.</t>
  </si>
  <si>
    <t xml:space="preserve">Point </t>
  </si>
  <si>
    <t xml:space="preserve">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</si>
  <si>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 xml:space="preserve">point</t>
  </si>
  <si>
    <t xml:space="preserve">Coordonnées</t>
  </si>
  <si>
    <t xml:space="preserve">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</si>
  <si>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 xml:space="preserve">coord</t>
  </si>
  <si>
    <t xml:space="preserve">Latitude</t>
  </si>
  <si>
    <t xml:space="preserve">A valoriser avec la latitude du point clé de la localisation - dans le système de coordonnées EPSG-4326 (indiquant l'utilisation de WGS-84) </t>
  </si>
  <si>
    <t xml:space="preserve">48.866667</t>
  </si>
  <si>
    <t xml:space="preserve">lat</t>
  </si>
  <si>
    <t xml:space="preserve">Longitude</t>
  </si>
  <si>
    <t xml:space="preserve">A valoriser avec la longitude du point clé de la localisation - dans le système de coordonnées EPSG-4326 (indiquant l'utilisation de WGS-84) </t>
  </si>
  <si>
    <t xml:space="preserve">2.333333</t>
  </si>
  <si>
    <t xml:space="preserve">lon</t>
  </si>
  <si>
    <t xml:space="preserve">Altitude </t>
  </si>
  <si>
    <t xml:space="preserve">A valoriser avec l'altitude du point clé de la localisation, en mètres.
Spécificité 15-18 :  ignoré côté NexSIS. </t>
  </si>
  <si>
    <t xml:space="preserve">height</t>
  </si>
  <si>
    <t xml:space="preserve">Cap</t>
  </si>
  <si>
    <t xml:space="preserve">A valoriser avec le cap, en degré</t>
  </si>
  <si>
    <t xml:space="preserve">heading</t>
  </si>
  <si>
    <t xml:space="preserve">Vitesse</t>
  </si>
  <si>
    <t xml:space="preserve">Vitesse en km/h, notamment fournie par eCall, tel, nouveau AML, …</t>
  </si>
  <si>
    <t xml:space="preserve">speed</t>
  </si>
  <si>
    <t xml:space="preserve">Précision</t>
  </si>
  <si>
    <t xml:space="preserve">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</si>
  <si>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 xml:space="preserve">ADRESSE</t>
  </si>
  <si>
    <t xml:space="preserve">precision</t>
  </si>
  <si>
    <t xml:space="preserve">NOMENCLATURE: HubSante.precision</t>
  </si>
  <si>
    <t xml:space="preserve">Dispositif AML</t>
  </si>
  <si>
    <t xml:space="preserve">Attribut qui permet de préciser si les coordonnées fournies proviennent du dispositif AML (Advanced Mobile Location) - TRUE - ou non - FALSE. </t>
  </si>
  <si>
    <t xml:space="preserve">TRUE</t>
  </si>
  <si>
    <t xml:space="preserve">isAml</t>
  </si>
  <si>
    <t xml:space="preserve">Système de coordonnées</t>
  </si>
  <si>
    <t xml:space="preserve">Indique le type de coordonnées utilisé. Actuellement, la seule valeur valide est «EPSG-4326», indiquant l'utilisation de WGS-84. </t>
  </si>
  <si>
    <t xml:space="preserve">EPSG-4326</t>
  </si>
  <si>
    <t xml:space="preserve">sysCoord</t>
  </si>
  <si>
    <t xml:space="preserve">Formes géométriques</t>
  </si>
  <si>
    <t xml:space="preserve">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</si>
  <si>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 xml:space="preserve">sketch</t>
  </si>
  <si>
    <t xml:space="preserve">Liens aux systèmes externes</t>
  </si>
  <si>
    <t xml:space="preserve">Lien avec l'identifiant de l'adresse dans une base de données externes possiblement connue des autres acteurs.
L'identifiant BAN de l'adresse (clé d'interopérabilité) doit être partagé au maximum.</t>
  </si>
  <si>
    <t xml:space="preserve">externalInfo</t>
  </si>
  <si>
    <t xml:space="preserve">Nom de la source</t>
  </si>
  <si>
    <t xml:space="preserve">A valoriser avec le système fournissant le localisant</t>
  </si>
  <si>
    <t xml:space="preserve">BAN, IGN, NEXSIS, …</t>
  </si>
  <si>
    <t xml:space="preserve">NOMENCLATURE: HubSante.systeme</t>
  </si>
  <si>
    <t xml:space="preserve">Type </t>
  </si>
  <si>
    <t xml:space="preserve">A valoriser avec la définition du type d'objet dans le système
Exemple : SIG NexSIS / OSM ont plusieurs types de données (EGA, POI, tronçon de route, …)</t>
  </si>
  <si>
    <t xml:space="preserve">MANUEL, CARTE, AUTRE, PHOTO, SITE INTERNET</t>
  </si>
  <si>
    <t xml:space="preserve">NOMENCLATURE: HubSante.objetSource</t>
  </si>
  <si>
    <t xml:space="preserve">Identifiant dans le système concerné</t>
  </si>
  <si>
    <t xml:space="preserve">80021_6590_00008, id987</t>
  </si>
  <si>
    <t xml:space="preserve">uri</t>
  </si>
  <si>
    <t xml:space="preserve">Pays</t>
  </si>
  <si>
    <t xml:space="preserve">France</t>
  </si>
  <si>
    <t xml:space="preserve">country</t>
  </si>
  <si>
    <t xml:space="preserve">NOMENCLATURE: ISO 3166-ISO3166-2</t>
  </si>
  <si>
    <t xml:space="preserve">Informations complémentaires sur la localisation</t>
  </si>
  <si>
    <r>
      <rPr>
        <sz val="11"/>
        <color rgb="FF000000"/>
        <rFont val="Calibri"/>
        <family val="2"/>
        <charset val="1"/>
      </rPr>
      <t xml:space="preserve">Champ libre qui permet de compléter les informations liées à la localisation.
</t>
    </r>
    <r>
      <rPr>
        <b val="true"/>
        <u val="single"/>
        <sz val="11"/>
        <color rgb="FF000000"/>
        <rFont val="Calibri"/>
        <family val="2"/>
        <charset val="1"/>
      </rPr>
      <t xml:space="preserve">Spécificités 15-15 :
</t>
    </r>
    <r>
      <rPr>
        <sz val="11"/>
        <color rgb="FF000000"/>
        <rFont val="Calibri"/>
        <family val="2"/>
        <charset val="1"/>
      </rPr>
      <t xml:space="preserve">En envoi, il est souhaitable de mapper ici toute valeur en lien avec la localisation de l'intervention qui ne pourrait pas être transmise de manière structurée dans l'objet</t>
    </r>
    <r>
      <rPr>
        <i val="true"/>
        <sz val="11"/>
        <color rgb="FF000000"/>
        <rFont val="Calibri"/>
        <family val="2"/>
        <charset val="1"/>
      </rPr>
      <t xml:space="preserve"> location.</t>
    </r>
    <r>
      <rPr>
        <sz val="11"/>
        <color rgb="FF000000"/>
        <rFont val="Calibri"/>
        <family val="2"/>
        <charset val="1"/>
      </rPr>
      <t xml:space="preserve"> 
En réception, il est très important d'intégrer et d'afficher la valeur de cet attribut, qui est suceptible de contenir des informations d'accès importantes.</t>
    </r>
  </si>
  <si>
    <t xml:space="preserve">Clé derrière le pot de fleur</t>
  </si>
  <si>
    <t xml:space="preserve">Alerte initiale</t>
  </si>
  <si>
    <t xml:space="preserve">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</si>
  <si>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 xml:space="preserve">initialAlert</t>
  </si>
  <si>
    <t xml:space="preserve">alert</t>
  </si>
  <si>
    <t xml:space="preserve">Identifiant alerte</t>
  </si>
  <si>
    <t xml:space="preserve">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</si>
  <si>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 xml:space="preserve">SGO050-20230605-AL0123</t>
  </si>
  <si>
    <t xml:space="preserve">id</t>
  </si>
  <si>
    <t xml:space="preserve">Date et heure de réception de l'alerte</t>
  </si>
  <si>
    <t xml:space="preserve">A valoriser avec le groupe date heure de réception de l'alerte/appel</t>
  </si>
  <si>
    <t xml:space="preserve">2022-09-27T08:21:06+02:00</t>
  </si>
  <si>
    <t xml:space="preserve">reception</t>
  </si>
  <si>
    <t xml:space="preserve">Signalement</t>
  </si>
  <si>
    <t xml:space="preserve">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</si>
  <si>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 xml:space="preserve">STANDARD</t>
  </si>
  <si>
    <t xml:space="preserve">reporting</t>
  </si>
  <si>
    <t xml:space="preserve">NOMENCLATURE: HubSante.signalement</t>
  </si>
  <si>
    <t xml:space="preserve">Informations complémentaires sur l'alerte</t>
  </si>
  <si>
    <r>
      <rPr>
        <sz val="11"/>
        <color rgb="FF000000"/>
        <rFont val="Calibri"/>
        <family val="2"/>
        <charset val="1"/>
      </rPr>
      <t xml:space="preserve">Objet qui permet de fournir des informations supplémentaires concernant l'alerte.
</t>
    </r>
    <r>
      <rPr>
        <u val="single"/>
        <sz val="11"/>
        <color rgb="FF000000"/>
        <rFont val="Calibri"/>
        <family val="2"/>
        <charset val="1"/>
      </rPr>
      <t xml:space="preserve">Spécificités 15-15 :</t>
    </r>
    <r>
      <rPr>
        <sz val="11"/>
        <color rgb="FF000000"/>
        <rFont val="Calibri"/>
        <family val="2"/>
        <charset val="1"/>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</si>
  <si>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 xml:space="preserve">notes</t>
  </si>
  <si>
    <t xml:space="preserve">Date et heure de l'information complémentaire</t>
  </si>
  <si>
    <t xml:space="preserve">A valoriser avec le groupe date heure de création de l'information complémentaire</t>
  </si>
  <si>
    <t xml:space="preserve">Commentaire/Observations</t>
  </si>
  <si>
    <t xml:space="preserve">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</si>
  <si>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 xml:space="preserve">Accident de bricolage, accident domestique, déclenchement téléalarme, voisine sur les lieux</t>
  </si>
  <si>
    <t xml:space="preserve">Requérant</t>
  </si>
  <si>
    <t xml:space="preserve">Objet qui permet d'identifer la personne qui a alerté les secours et de la recontacter</t>
  </si>
  <si>
    <t xml:space="preserve">caller</t>
  </si>
  <si>
    <t xml:space="preserve">Contact</t>
  </si>
  <si>
    <t xml:space="preserve">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</si>
  <si>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 xml:space="preserve">callerContact</t>
  </si>
  <si>
    <t xml:space="preserve">contact</t>
  </si>
  <si>
    <t xml:space="preserve">Canal</t>
  </si>
  <si>
    <t xml:space="preserve">A valoriser avec  l'origine du canal établi : PERSONNE, APPLICATION, DAU, BAU, DEFIBRILLATEUR, ECALL</t>
  </si>
  <si>
    <t xml:space="preserve">PERSONNE</t>
  </si>
  <si>
    <t xml:space="preserve">channel</t>
  </si>
  <si>
    <t xml:space="preserve">NOMENCLATURE: HubSante.canal</t>
  </si>
  <si>
    <t xml:space="preserve">Type de contact</t>
  </si>
  <si>
    <t xml:space="preserve">A valoriser avec le type de l'URI utilisée.  Cf nomenclature associée.</t>
  </si>
  <si>
    <t xml:space="preserve">TEL</t>
  </si>
  <si>
    <t xml:space="preserve">NOMENCLATURE: HubSante.typeCom</t>
  </si>
  <si>
    <t xml:space="preserve">URI du contact</t>
  </si>
  <si>
    <t xml:space="preserve">A valoriser avec la valeur de l'URI utilisée.
Le format attendu pour un numéro de téléphone est le suivant : +{indicatif pays}{numéro de téléphone}</t>
  </si>
  <si>
    <t xml:space="preserve">+33671830530</t>
  </si>
  <si>
    <t xml:space="preserve">Contact de contre-appel</t>
  </si>
  <si>
    <t xml:space="preserve"># Voir type contact</t>
  </si>
  <si>
    <t xml:space="preserve">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</si>
  <si>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 xml:space="preserve">callbackContact</t>
  </si>
  <si>
    <t xml:space="preserve">Langue parlée</t>
  </si>
  <si>
    <t xml:space="preserve">A valoriser avec la langue parlée par le requérant. 
cf.nomenclature associée.</t>
  </si>
  <si>
    <t xml:space="preserve">FR</t>
  </si>
  <si>
    <t xml:space="preserve">language</t>
  </si>
  <si>
    <t xml:space="preserve">NOMENCLATURE: HubSante.langue</t>
  </si>
  <si>
    <t xml:space="preserve">Type de requérant</t>
  </si>
  <si>
    <t xml:space="preserve">A valoriser avec la relation du requérant avec l'incident / le patient / la victime.
cf. nomenclature associée.</t>
  </si>
  <si>
    <t xml:space="preserve">FAMILLE, TIERS</t>
  </si>
  <si>
    <t xml:space="preserve">NOMENCLATURE: HubSante.typeAppelant</t>
  </si>
  <si>
    <t xml:space="preserve">Difficulté de communication</t>
  </si>
  <si>
    <t xml:space="preserve">A valoriser avec la nature des éventuelles difficultés de communication rencontrées par le requérant. 
cf.nomenclature associée.</t>
  </si>
  <si>
    <t xml:space="preserve">Malentendant, aucune difficulté de communication</t>
  </si>
  <si>
    <t xml:space="preserve">communication</t>
  </si>
  <si>
    <t xml:space="preserve">NOMENCLATURE: HubSante.communication</t>
  </si>
  <si>
    <t xml:space="preserve">Informations complémentaires sur le requérant</t>
  </si>
  <si>
    <t xml:space="preserve">Champ libre qui permet de compléter les informations spécifiquement liées au requérant.</t>
  </si>
  <si>
    <t xml:space="preserve">témoin de l'accident</t>
  </si>
  <si>
    <t xml:space="preserve">Prénom &amp; nom usuel</t>
  </si>
  <si>
    <t xml:space="preserve">Objet qui permet de décrire le nom et le prénom usuel du requérant</t>
  </si>
  <si>
    <t xml:space="preserve">detailedName</t>
  </si>
  <si>
    <t xml:space="preserve">Prénom et nom</t>
  </si>
  <si>
    <t xml:space="preserve">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</si>
  <si>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 xml:space="preserve">Jean Dupont</t>
  </si>
  <si>
    <t xml:space="preserve">TEMPLATE: {callerLastName} {callerFirstName}</t>
  </si>
  <si>
    <t xml:space="preserve">A valoriser avec le nom usuel du requérant</t>
  </si>
  <si>
    <t xml:space="preserve">lastName</t>
  </si>
  <si>
    <t xml:space="preserve">Prénom</t>
  </si>
  <si>
    <t xml:space="preserve">A valoriser avec le prénom usuel du réquérant.
Par convention les prénoms composés doivent préférablement être séparés par le caractère "-"</t>
  </si>
  <si>
    <t xml:space="preserve">Jean</t>
  </si>
  <si>
    <t xml:space="preserve">firstName</t>
  </si>
  <si>
    <t xml:space="preserve">Localisation de l'alerte</t>
  </si>
  <si>
    <t xml:space="preserve"># Voir type location</t>
  </si>
  <si>
    <t xml:space="preserve">Objet qui permet de décrire la localisation
Spécificité 15-18 : Cet élément peut représenter la localisation du requérant si celle-ci diffère de celle de l'événement ou pointer vers la localisation d'accès à l'affaire si elle est confondue avec celle de l'alerte.</t>
  </si>
  <si>
    <t xml:space="preserve"># Voir type qualification</t>
  </si>
  <si>
    <t xml:space="preserve">Qualification de l'alerte.</t>
  </si>
  <si>
    <t xml:space="preserve">Agent</t>
  </si>
  <si>
    <t xml:space="preserve">Objet permettant d'identifer et recontacter l'opérateur ayant traité l'alerte</t>
  </si>
  <si>
    <t xml:space="preserve">callTaker</t>
  </si>
  <si>
    <t xml:space="preserve">Service d'urgence</t>
  </si>
  <si>
    <t xml:space="preserve">Décrit la structure ou le service à laquelle est rattachée l'agent (en fonction du niveau de précision disponible).
Se référer au DSF pour la structure normée des organisations.
Le format est le suivant {pays}.{domaine}.{organisation}.{structure interne}*.{unité fonctionnelle}*.</t>
  </si>
  <si>
    <t xml:space="preserve">fr.health.samu440</t>
  </si>
  <si>
    <t xml:space="preserve">organization</t>
  </si>
  <si>
    <t xml:space="preserve">Centre d'appels</t>
  </si>
  <si>
    <t xml:space="preserve">Décrit le centre d'appel auquel est rattaché l'agent</t>
  </si>
  <si>
    <t xml:space="preserve">CGA, CGO 21, CRRA 44, ...</t>
  </si>
  <si>
    <t xml:space="preserve">controlRoom</t>
  </si>
  <si>
    <t xml:space="preserve">Rôle agent</t>
  </si>
  <si>
    <t xml:space="preserve">Décrit le rôle de l'agent au sein du service selon la nomenclature PERSO (nomenclature SI-SAMU)</t>
  </si>
  <si>
    <t xml:space="preserve">ARM</t>
  </si>
  <si>
    <t xml:space="preserve">role</t>
  </si>
  <si>
    <t xml:space="preserve">Contact de l'agent</t>
  </si>
  <si>
    <t xml:space="preserve">Objet contact permettant d'indiquer le contact de l'agent</t>
  </si>
  <si>
    <t xml:space="preserve">calltakerContact</t>
  </si>
  <si>
    <t xml:space="preserve">ID de l'agent</t>
  </si>
  <si>
    <t xml:space="preserve">Identifiant unique de l'opérateur ayant traité l'alerte (peut être un identifiant technique, un numéro de carte CPS etc)</t>
  </si>
  <si>
    <t xml:space="preserve">id1234</t>
  </si>
  <si>
    <t xml:space="preserve">calltakerId</t>
  </si>
  <si>
    <t xml:space="preserve">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</si>
  <si>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</si>
  <si>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 xml:space="preserve">attachment</t>
  </si>
  <si>
    <t xml:space="preserve">Type ou description pj</t>
  </si>
  <si>
    <t xml:space="preserve">Décrit la ressource en précisant le type et le contenu, tels que «carte» ou «photo»</t>
  </si>
  <si>
    <t xml:space="preserve">photo, carte, …</t>
  </si>
  <si>
    <t xml:space="preserve">description</t>
  </si>
  <si>
    <t xml:space="preserve">Type MIME</t>
  </si>
  <si>
    <t xml:space="preserve">L'identifiant du type MIME de contenu et sous-type décrivant la ressource</t>
  </si>
  <si>
    <t xml:space="preserve">PDF, XML, JPEG, …</t>
  </si>
  <si>
    <t xml:space="preserve">mimeType</t>
  </si>
  <si>
    <t xml:space="preserve">Taille approximative</t>
  </si>
  <si>
    <t xml:space="preserve">Taille approximative de la ressource en kO</t>
  </si>
  <si>
    <t xml:space="preserve">1235, 35, …</t>
  </si>
  <si>
    <t xml:space="preserve">size</t>
  </si>
  <si>
    <t xml:space="preserve">integer</t>
  </si>
  <si>
    <t xml:space="preserve">Une URI, généralement une URL, qui permet d'atteindre la ressource sur Internet ou sur un réseau privé
Nous suggérons d'employer le format suivant de regex (https?|ftp|file):\/\/([a-zA-Z0-9_-]+(\.[a-zA-Z0-9_-]+)*)(\/[a-zA-Z0-9_\-\.]*)*\/?(\?[^\s]*)?</t>
  </si>
  <si>
    <t xml:space="preserve">https://hub.esante.gouv.fr/resourceExample</t>
  </si>
  <si>
    <t xml:space="preserve">URI base 64</t>
  </si>
  <si>
    <t xml:space="preserve">Peut être utilisé à la place de l'élément 'URI' pour envoyer la ressource encodée en base64 pour éviter des problèmes de transcodage (sur des double quotes qui casseraient le message, …)</t>
  </si>
  <si>
    <t xml:space="preserve">derefURI</t>
  </si>
  <si>
    <t xml:space="preserve">Hash</t>
  </si>
  <si>
    <t xml:space="preserve">Hash de la ressource pour confirmer la réception de la bonne ressource
La ressource est hashée avec le protocole SHA-256</t>
  </si>
  <si>
    <t xml:space="preserve">digest</t>
  </si>
  <si>
    <t xml:space="preserve">CRRA traitant</t>
  </si>
  <si>
    <t xml:space="preserve">Attribut qui permet de transférer la prise en charge d'un dossier à un autre CRAA
A valoriser avec l'identifiant de l'organisation concerné (orgId = {pays}.{domaine}.{organisation})</t>
  </si>
  <si>
    <t xml:space="preserve">owner</t>
  </si>
  <si>
    <t xml:space="preserve">REGEX: ^([a-zA-Z0-9_-]+\.?){4,9}$</t>
  </si>
  <si>
    <t xml:space="preserve">Patient</t>
  </si>
  <si>
    <t xml:space="preserve">Objet qui permet l'identification des patients / victimes</t>
  </si>
  <si>
    <t xml:space="preserve">patient</t>
  </si>
  <si>
    <t xml:space="preserve">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</si>
  <si>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</si>
  <si>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 xml:space="preserve">fr.health.samu690.patient.P23AZ59
fr.health.samu690.patient.DRFR15690242370035.1</t>
  </si>
  <si>
    <t xml:space="preserve">patientId</t>
  </si>
  <si>
    <t xml:space="preserve">REGEX: ^([a-zA-Z0-9_-]+\.){3,8}patient(\.[a-zA-Z0-9_-]+){1,2}$</t>
  </si>
  <si>
    <t xml:space="preserve">Dossier administratif</t>
  </si>
  <si>
    <t xml:space="preserve">Objet qui permet de décrire les données administratives liées au patient</t>
  </si>
  <si>
    <t xml:space="preserve">administrativeFile</t>
  </si>
  <si>
    <t xml:space="preserve">Identifiant(s) patient(s)</t>
  </si>
  <si>
    <t xml:space="preserve">Objet qui permet de décrire l'ensemble des identifiants qui permettent d'identifier le patient (autre que le matricule INS, qui ne doit jamais être partagé via cet objet)</t>
  </si>
  <si>
    <t xml:space="preserve">externalId</t>
  </si>
  <si>
    <t xml:space="preserve">Type de l'identifiant fourni</t>
  </si>
  <si>
    <t xml:space="preserve">NIR, SINUS, SI-VIC, …</t>
  </si>
  <si>
    <t xml:space="preserve">NOMENCLATURE: HubSante.typeIdPatient</t>
  </si>
  <si>
    <t xml:space="preserve">L'identifiant en lui-même</t>
  </si>
  <si>
    <t xml:space="preserve">Médecin traitant </t>
  </si>
  <si>
    <t xml:space="preserve">generalPractitioner</t>
  </si>
  <si>
    <t xml:space="preserve">Nom du médecin traitant du patient si connu</t>
  </si>
  <si>
    <t xml:space="preserve">Identifiant RPPS</t>
  </si>
  <si>
    <t xml:space="preserve">Numéro RPPS du médecin traitant</t>
  </si>
  <si>
    <t xml:space="preserve">rppsId</t>
  </si>
  <si>
    <t xml:space="preserve">Contact médecin</t>
  </si>
  <si>
    <t xml:space="preserve">Type et valeur des URI utilisées par le patient concerné. Permet de passer une adresse postale concaténée.</t>
  </si>
  <si>
    <t xml:space="preserve">personalContact</t>
  </si>
  <si>
    <t xml:space="preserve">A valoriser avec la valeur de l'URI utilisée.
Le format attendu pour un numéro de téléphone est le suivant : +{indicatif pays}{numéro de téléphone}.</t>
  </si>
  <si>
    <t xml:space="preserve">Adresse medecin</t>
  </si>
  <si>
    <t xml:space="preserve">A valoriser avec l'adresse postale du médecin traitant</t>
  </si>
  <si>
    <t xml:space="preserve">personalAddress</t>
  </si>
  <si>
    <t xml:space="preserve"># Voir type detailedAddress</t>
  </si>
  <si>
    <t xml:space="preserve">A valoriser avec le détail de l'adresse du médecin traitant</t>
  </si>
  <si>
    <t xml:space="preserve"># Voir type city</t>
  </si>
  <si>
    <t xml:space="preserve">A valoriser avec le détail de la commune du médecin traitant</t>
  </si>
  <si>
    <t xml:space="preserve">Adresse</t>
  </si>
  <si>
    <t xml:space="preserve"># Voir type personalAddress</t>
  </si>
  <si>
    <t xml:space="preserve">A valoriser avec l'adresse postale du patient uniquement : pas besoin du niveau de détail de l'adresse d'intervention qui est un objet différent</t>
  </si>
  <si>
    <t xml:space="preserve">Type et valeur des URI utilisées par le patient concerné</t>
  </si>
  <si>
    <t xml:space="preserve">Identité</t>
  </si>
  <si>
    <t xml:space="preserve">Objet qui permet de décrire l'identité du patient</t>
  </si>
  <si>
    <t xml:space="preserve">identity</t>
  </si>
  <si>
    <t xml:space="preserve">Identity</t>
  </si>
  <si>
    <t xml:space="preserve">Implémentation INS</t>
  </si>
  <si>
    <t xml:space="preserve">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</si>
  <si>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 xml:space="preserve">cycle</t>
  </si>
  <si>
    <t xml:space="preserve">insCycle</t>
  </si>
  <si>
    <t xml:space="preserve">Statut de l'identité</t>
  </si>
  <si>
    <t xml:space="preserve">ENUM: PROVISOIRE, VALIDEE, RECUPEREE, QUALIFIEE</t>
  </si>
  <si>
    <t xml:space="preserve">Attribut de l'identité</t>
  </si>
  <si>
    <t xml:space="preserve">Le RNIV recommande que les logiciels référentiels d’identités gèrent a minima les 3 attributs suivants :
- identité homonyme,
- identité douteuse,
- identité fictive.</t>
  </si>
  <si>
    <t xml:space="preserve">attribute</t>
  </si>
  <si>
    <t xml:space="preserve">ENUM: HOMONYME, FICTIVE, DOUTEUSE</t>
  </si>
  <si>
    <t xml:space="preserve">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</si>
  <si>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</si>
  <si>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 xml:space="preserve">insNumber</t>
  </si>
  <si>
    <t xml:space="preserve">Matricule </t>
  </si>
  <si>
    <t xml:space="preserve">2 77 01 01 154 002 29</t>
  </si>
  <si>
    <t xml:space="preserve">OID</t>
  </si>
  <si>
    <t xml:space="preserve">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</si>
  <si>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 xml:space="preserve">1.2.250.1.213.1.4.8</t>
  </si>
  <si>
    <t xml:space="preserve">oid</t>
  </si>
  <si>
    <t xml:space="preserve">Traits stricts de l'identité</t>
  </si>
  <si>
    <t xml:space="preserve">Objet qui permet de décrire les traits stricts de l'identité du patient</t>
  </si>
  <si>
    <t xml:space="preserve">strictFeatures</t>
  </si>
  <si>
    <t xml:space="preserve">insStrictFeatures</t>
  </si>
  <si>
    <t xml:space="preserve">Nom de naissance</t>
  </si>
  <si>
    <t xml:space="preserve">A valoriser avec le nom de naissance du patient. Egalement appelé nom de famille.</t>
  </si>
  <si>
    <t xml:space="preserve">birthName</t>
  </si>
  <si>
    <t xml:space="preserve">Premier prénom de naissance</t>
  </si>
  <si>
    <t xml:space="preserve">Doit être cohérent avec la liste des prénoms de naissance renvoyée par INSi. Ex: si la liste des prénoms renvoyée est "Pierre Alain Jacques", le premier prénom de naissance ne peut être que : 
Pierre
Pierre Alain
Pierre Alain Jacques</t>
  </si>
  <si>
    <t xml:space="preserve">birthFirstName</t>
  </si>
  <si>
    <t xml:space="preserve">Liste des prénoms de naissance</t>
  </si>
  <si>
    <t xml:space="preserve">Ensemble des prénoms de naissance (renvoyés par INSi)</t>
  </si>
  <si>
    <t xml:space="preserve">birthFirstNamesList</t>
  </si>
  <si>
    <t xml:space="preserve">Date de naissance</t>
  </si>
  <si>
    <t xml:space="preserve">A valoriser avec la date de naissance du patient</t>
  </si>
  <si>
    <t xml:space="preserve">birthDate</t>
  </si>
  <si>
    <t xml:space="preserve">date</t>
  </si>
  <si>
    <t xml:space="preserve">Sexe </t>
  </si>
  <si>
    <t xml:space="preserve">A valoriser avec le sexe du patient</t>
  </si>
  <si>
    <t xml:space="preserve">F</t>
  </si>
  <si>
    <t xml:space="preserve">sex</t>
  </si>
  <si>
    <t xml:space="preserve">NOMENCLATURE: HubSante.sexe</t>
  </si>
  <si>
    <t xml:space="preserve">Code lieu de naissance</t>
  </si>
  <si>
    <t xml:space="preserve">Il s’agit de la commune de naissance pour les personnes nées en France et du pays de naissance pour les personnes nées à l’étranger. Utilisation du code INSEE (différent du code postal), auquel est associé le nom de la commune ou du pays correspondant.</t>
  </si>
  <si>
    <t xml:space="preserve">birthPlaceCode</t>
  </si>
  <si>
    <t xml:space="preserve">Traits non stricts de l'identité</t>
  </si>
  <si>
    <t xml:space="preserve"># Voir type detailedName</t>
  </si>
  <si>
    <t xml:space="preserve">Objet qui permet de décrire les traits stricts de l'identité du patient, c’est-à-dire le nom et le prénom usuels du patient.</t>
  </si>
  <si>
    <t xml:space="preserve">nonStrictFeatures</t>
  </si>
  <si>
    <t xml:space="preserve">Décrit le motif de recours médico-secouriste associé spécifiquement à un patient : cf.nomenclature associée.</t>
  </si>
  <si>
    <t xml:space="preserve">NOMENCLATURE: HubSante.motif</t>
  </si>
  <si>
    <t xml:space="preserve">Informations patient</t>
  </si>
  <si>
    <t xml:space="preserve">Objet qui permet de décrire les caractéristiques du patient</t>
  </si>
  <si>
    <t xml:space="preserve">patientDetail</t>
  </si>
  <si>
    <t xml:space="preserve">Poids</t>
  </si>
  <si>
    <t xml:space="preserve">A valoriser avec le poids en kilogrammes</t>
  </si>
  <si>
    <t xml:space="preserve">weight</t>
  </si>
  <si>
    <t xml:space="preserve">Taille</t>
  </si>
  <si>
    <t xml:space="preserve">A valoriser avec la taille en centimètres du patient</t>
  </si>
  <si>
    <t xml:space="preserve">Age</t>
  </si>
  <si>
    <t xml:space="preserve">A valoriser avec l'age du patient.
Au format "Durée" de la norme ISO 8601 (https://fr.wikipedia.org/wiki/ISO_8601#Dur%C3%A9e) et en n'utilisant qu'une seule unité de durée (années, mois, semaines ou jours)</t>
  </si>
  <si>
    <t xml:space="preserve">P6Y</t>
  </si>
  <si>
    <t xml:space="preserve">age</t>
  </si>
  <si>
    <t xml:space="preserve">REGEX: ^P[0-9]{1,3}[YMWD]$</t>
  </si>
  <si>
    <t xml:space="preserve">Niveau de soin du patient</t>
  </si>
  <si>
    <t xml:space="preserve">A valoriser avec le niveau de soins spécifique au patient</t>
  </si>
  <si>
    <t xml:space="preserve">Antécédents</t>
  </si>
  <si>
    <t xml:space="preserve">Texte libre  pour décrire les antécédents du patient. 
Si ce n'est pas géré de manière structurés : à afficher dans une note liée au patient en réception. </t>
  </si>
  <si>
    <t xml:space="preserve">Arthrite, asthme</t>
  </si>
  <si>
    <t xml:space="preserve">medicalHistory</t>
  </si>
  <si>
    <t xml:space="preserve">Traitements</t>
  </si>
  <si>
    <t xml:space="preserve">Texte libre  pour décrire les traitements du patient.
Si ce n'est pas géré de manière structurés : à afficher dans une note liée au patient en réception. </t>
  </si>
  <si>
    <t xml:space="preserve">Amoxicilline 1 g  et paracétamol 1 g depuis 5 jours.</t>
  </si>
  <si>
    <t xml:space="preserve">treatment</t>
  </si>
  <si>
    <t xml:space="preserve">Allergies</t>
  </si>
  <si>
    <t xml:space="preserve">Texte libre pour décrire les allergies du patient.
Si ce n'est pas géré de manière structurés : à afficher dans une note liée au patient en réception. </t>
  </si>
  <si>
    <t xml:space="preserve">allergies</t>
  </si>
  <si>
    <t xml:space="preserve">Hypothèses de régulation médicale</t>
  </si>
  <si>
    <t xml:space="preserve">Objet qui permet de décrire les hypothèses de régulation médicale</t>
  </si>
  <si>
    <t xml:space="preserve">hypothesis</t>
  </si>
  <si>
    <t xml:space="preserve">Hypothèse de régulation médicale principale</t>
  </si>
  <si>
    <t xml:space="preserve">Hypothèse diagnostique principale émise par le médecin régulateur du CRAA. Norme CIM10.</t>
  </si>
  <si>
    <t xml:space="preserve">mainDiagnosis</t>
  </si>
  <si>
    <t xml:space="preserve">REGEX: ^[A-Z]\d{2}(\.[\d\+\-]{1,3})?$</t>
  </si>
  <si>
    <t xml:space="preserve">Hypothèses de régulation médicale secondaires</t>
  </si>
  <si>
    <t xml:space="preserve">Hypothèses diagnostiques secondaires émises par le médecin régulateur du CRAA. Norme CIM10.</t>
  </si>
  <si>
    <t xml:space="preserve">otherDiagnosis</t>
  </si>
  <si>
    <t xml:space="preserve">Diagnostic de l'effecteur</t>
  </si>
  <si>
    <t xml:space="preserve">Diagnostic posé par le médecin effecteur qui se trouve sur les lieux de l'affaire, ou diagnostic par le médecin régulateur après avoir reçu le retour de l'effecteur</t>
  </si>
  <si>
    <t xml:space="preserve">resourceDiagnosis</t>
  </si>
  <si>
    <t xml:space="preserve">Informations complémentaires sur le patient</t>
  </si>
  <si>
    <t xml:space="preserve">Champ libre qui permet de compléter les informations liées spécifiquement à l'identité ou aux caractéristiques du patient - en dehors de tout commentaire ou interrogatoire de nature médical. </t>
  </si>
  <si>
    <t xml:space="preserve">Observation médicale</t>
  </si>
  <si>
    <t xml:space="preserve">Observations de nature médicale. </t>
  </si>
  <si>
    <t xml:space="preserve">medicalNote</t>
  </si>
  <si>
    <t xml:space="preserve">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</si>
  <si>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 xml:space="preserve">Professionnel de santé qui réalise l'observation</t>
  </si>
  <si>
    <t xml:space="preserve">Objet qui permet de décrire le professionnel de santé qui réalise l'interrogatoire médical. </t>
  </si>
  <si>
    <t xml:space="preserve">operator</t>
  </si>
  <si>
    <t xml:space="preserve">Label</t>
  </si>
  <si>
    <t xml:space="preserve">A valoriser si besoin avec la valeur souhaitée, en fonction des préférences de chaque partenaire : cela peut être le nom et prénom de l'opérateur, ou un identifiant.</t>
  </si>
  <si>
    <t xml:space="preserve">Rôle</t>
  </si>
  <si>
    <t xml:space="preserve">A valoriser avec le rôle de l'opérateur au sein de l'entité émettrice du message : </t>
  </si>
  <si>
    <t xml:space="preserve">NOMENCLATURE: HubSante.role</t>
  </si>
  <si>
    <t xml:space="preserve">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</si>
  <si>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</si>
  <si>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 xml:space="preserve">fr.health.samu540.medicalNote.46585A
fr.health.samu540.medicalNote.DRFR15540241600125.20</t>
  </si>
  <si>
    <t xml:space="preserve">medicalNoteId</t>
  </si>
  <si>
    <t xml:space="preserve">REGEX: ^([a-zA-Z0-9_-]+\.){3,8}medicalNote(\.[a-zA-Z0-9_-]+){1,2}$</t>
  </si>
  <si>
    <t xml:space="preserve">Date Heure de l'observation</t>
  </si>
  <si>
    <t xml:space="preserve">A valoriser avec le groupe date heure de création de l'observation.  L'indicateur de fuseau horaire Z ne doit pas être utilisé.</t>
  </si>
  <si>
    <t xml:space="preserve">Observations et commentaires</t>
  </si>
  <si>
    <t xml:space="preserve">Champ libre qui permet de compléter les informations de nature médicales, faites par un ARM, un médecin ou un autre professionnel de santé.</t>
  </si>
  <si>
    <t xml:space="preserve">Décision</t>
  </si>
  <si>
    <t xml:space="preserve">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</si>
  <si>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decision</t>
  </si>
  <si>
    <t xml:space="preserve">Faut-il créer un type de message à part pour gérer le transfert du dossier médical ? </t>
  </si>
  <si>
    <t xml:space="preserve">a reporter dans autre message (partage de moyen/decision)</t>
  </si>
  <si>
    <t xml:space="preserve">A valoriser avec l'ID partagé du patient concerné par la décision, à chaque fois que la décision est liée à un patient dans le système émetteur</t>
  </si>
  <si>
    <t xml:space="preserve">Date Heure de la décision</t>
  </si>
  <si>
    <t xml:space="preserve">A valoriser avec le groupe date heure de création de la décision.  L'indicateur de fuseau horaire Z ne doit pas être utilisé.</t>
  </si>
  <si>
    <t xml:space="preserve">Opérateur décideur</t>
  </si>
  <si>
    <t xml:space="preserve"># Voir type operator</t>
  </si>
  <si>
    <t xml:space="preserve">Objet qui permet de décrire le professionnel de santé qui prend la décision</t>
  </si>
  <si>
    <t xml:space="preserve">Type de décision</t>
  </si>
  <si>
    <t xml:space="preserve">A valoriser avec le type de décision prise (cf.nomenclature associée)</t>
  </si>
  <si>
    <t xml:space="preserve">conseil médical  / décision d’intervention / décision d’orientation et de transport / Pas de décision supplémentaire</t>
  </si>
  <si>
    <t xml:space="preserve">decisionType</t>
  </si>
  <si>
    <t xml:space="preserve">NOMENCLATURE: HubSante.typeDecision</t>
  </si>
  <si>
    <t xml:space="preserve">Type de ressource</t>
  </si>
  <si>
    <t xml:space="preserve">A valoriser avec le type de ressource souhaitée ou engagée (cf.nomenclature associée) - en fonction du type de décision.
A fournir obligatoirement pour une décision d'intervention ou de transport/orientation.</t>
  </si>
  <si>
    <t xml:space="preserve">SMUR, Pompiers</t>
  </si>
  <si>
    <t xml:space="preserve">resourceType</t>
  </si>
  <si>
    <t xml:space="preserve">NOMENCLATURE: HubSante.typeRessource</t>
  </si>
  <si>
    <t xml:space="preserve">Type de vecteur</t>
  </si>
  <si>
    <t xml:space="preserve">A valoriser avec le type de vecteur souhaité / demandé (cf.nomenclature associée) en fonction du type de décision.
A fournir obligatoirement pour une décision d'intervention ou de transport/orientation.</t>
  </si>
  <si>
    <t xml:space="preserve">AR, VLM, VSAV</t>
  </si>
  <si>
    <t xml:space="preserve">vehicleType</t>
  </si>
  <si>
    <t xml:space="preserve">NOMENCLATURE: HubSante.typeVecteur</t>
  </si>
  <si>
    <t xml:space="preserve">Transport médicalisé</t>
  </si>
  <si>
    <t xml:space="preserve">A valoriser obligatoirement en cas de décision de transport, pour indiquer si ce dernier est médicalisé.
True = transport médicalisé
False = transport non médicalisé</t>
  </si>
  <si>
    <t xml:space="preserve">True</t>
  </si>
  <si>
    <t xml:space="preserve">medicalTransport</t>
  </si>
  <si>
    <t xml:space="preserve">Type d'orientation</t>
  </si>
  <si>
    <t xml:space="preserve">Indique le type de destination en cas de décision d'orientation (cf. nomenclature associée)</t>
  </si>
  <si>
    <t xml:space="preserve">EPHAD</t>
  </si>
  <si>
    <t xml:space="preserve">orientationType</t>
  </si>
  <si>
    <t xml:space="preserve">NOMENCLATURE: HubSante.typeOrientation</t>
  </si>
  <si>
    <t xml:space="preserve">Localisation de la destination d'orientation</t>
  </si>
  <si>
    <t xml:space="preserve">Objet qui permet de décrire la localisation de la destination en cas de décision d'orientation.</t>
  </si>
  <si>
    <t xml:space="preserve">destination</t>
  </si>
  <si>
    <t xml:space="preserve"># Voir type externalLocationId</t>
  </si>
  <si>
    <t xml:space="preserve">Hopital Henri Mignot</t>
  </si>
  <si>
    <t xml:space="preserve">Devenir du patient</t>
  </si>
  <si>
    <t xml:space="preserve">A valoriser avec le type de devenir du patient (cf. nomenclature associée)</t>
  </si>
  <si>
    <t xml:space="preserve">laissé sur place, décédé, ou transporté</t>
  </si>
  <si>
    <t xml:space="preserve">patientStatus</t>
  </si>
  <si>
    <t xml:space="preserve">NOMENCLATURE: SI-SAMU-NOMENC_DEVENIR_PAT</t>
  </si>
  <si>
    <t xml:space="preserve">Informations supplémentaires modifiées</t>
  </si>
  <si>
    <t xml:space="preserve">Champ libre qui permet de concaténer en une seule note toutes les autres valeurs modifiées dans le dossier, ne figurant pas de manière structurée dans le RS-EDA-MAJ.</t>
  </si>
  <si>
    <t xml:space="preserve">adresse : 7bis rue du château - Neuilly sur Seine</t>
  </si>
  <si>
    <t xml:space="preserve">Nouvelle alerte</t>
  </si>
  <si>
    <t xml:space="preserve"># Voir type initalAlert</t>
  </si>
  <si>
    <t xml:space="preserve">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</si>
  <si>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 xml:space="preserve">newAlert</t>
  </si>
  <si>
    <t xml:space="preserve">Description de l'affaire/dossier</t>
  </si>
  <si>
    <t xml:space="preserve">Texte libre permettant de donner des informations supplémentaires concernant l'affaire/dossier. Ces informations sont générales, et ont vocation à être échangées en inter-force. </t>
  </si>
  <si>
    <t xml:space="preserve">Le forcené n'est pas maîtrisé. Voiture renversée. Urgences fermées de 22h à 6h00.</t>
  </si>
  <si>
    <t xml:space="preserve">Informations complémentaires</t>
  </si>
  <si>
    <t xml:space="preserve">Objet qui permet d'ajouter jusqu'à 3 données supplémentaires, dans l'éventualité où ces dernières ne sont pas déjà prévues dans le modèle</t>
  </si>
  <si>
    <t xml:space="preserve">additionalInformation</t>
  </si>
  <si>
    <t xml:space="preserve">Clé valeur adaptable</t>
  </si>
  <si>
    <t xml:space="preserve">Objet qui permet de rajouter des clés-valeurs de façon libre afin d'adapter le modèle à des besoins locaux ou urgents</t>
  </si>
  <si>
    <t xml:space="preserve">customMap</t>
  </si>
  <si>
    <t xml:space="preserve">0..3</t>
  </si>
  <si>
    <t xml:space="preserve">Clé</t>
  </si>
  <si>
    <t xml:space="preserve">A valoriser avec le nom de la balise</t>
  </si>
  <si>
    <t xml:space="preserve">neighborhood</t>
  </si>
  <si>
    <t xml:space="preserve">key</t>
  </si>
  <si>
    <t xml:space="preserve">A valoriser avec le libellé correspondant</t>
  </si>
  <si>
    <t xml:space="preserve">Quartier</t>
  </si>
  <si>
    <t xml:space="preserve">Valeur</t>
  </si>
  <si>
    <t xml:space="preserve">A valoriser avec la valeur associée à la clé</t>
  </si>
  <si>
    <t xml:space="preserve">LYON 2e arrondissement</t>
  </si>
  <si>
    <t xml:space="preserve">Détails</t>
  </si>
  <si>
    <t xml:space="preserve">Informations complémentaires sur le contexte / utilisation de cette correspondance additionnelle</t>
  </si>
  <si>
    <t xml:space="preserve">Précision sur le quartier d'intervention</t>
  </si>
  <si>
    <t xml:space="preserve">RC-MATRAS : createCaseMatras</t>
  </si>
  <si>
    <t xml:space="preserve">MATRAS</t>
  </si>
  <si>
    <t xml:space="preserve">REGEX: ^fr(\.[a-zA-Z0-9_-]+){3,4}$</t>
  </si>
  <si>
    <t xml:space="preserve">Identifiant de corrélation </t>
  </si>
  <si>
    <t xml:space="preserve">Identifiant de corrélation entre messages et téléphonie</t>
  </si>
  <si>
    <t xml:space="preserve">correlationId</t>
  </si>
  <si>
    <t xml:space="preserve">REGEX: ^([\w-]+\.){3,4}event(\.[\w-]+){1,2}$</t>
  </si>
  <si>
    <t xml:space="preserve">Faisceau d’origine départemental</t>
  </si>
  <si>
    <t xml:space="preserve">Département donné par opérateur téléphonique</t>
  </si>
  <si>
    <t xml:space="preserve">county</t>
  </si>
  <si>
    <t xml:space="preserve">C04.00.00</t>
  </si>
  <si>
    <t xml:space="preserve">Incendie</t>
  </si>
  <si>
    <t xml:space="preserve">Priorité Matras</t>
  </si>
  <si>
    <t xml:space="preserve">Priorité de l’alerte (TU/U/MU) depuis un SI PSAP N1</t>
  </si>
  <si>
    <t xml:space="preserve">priorityN1</t>
  </si>
  <si>
    <t xml:space="preserve">Données AML</t>
  </si>
  <si>
    <t xml:space="preserve">amlData</t>
  </si>
  <si>
    <t xml:space="preserve">Ellipse</t>
  </si>
  <si>
    <t xml:space="preserve">Ellipse : Centre, rayon max, rayon min, orientation</t>
  </si>
  <si>
    <t xml:space="preserve">ellipse</t>
  </si>
  <si>
    <t xml:space="preserve">Polygone</t>
  </si>
  <si>
    <t xml:space="preserve">Polygone : ensemble de coordonnées</t>
  </si>
  <si>
    <t xml:space="preserve">polygon</t>
  </si>
  <si>
    <t xml:space="preserve">Arc-bande </t>
  </si>
  <si>
    <t xml:space="preserve">Arc-bande : Centre, angle intérieur, angle extérieur, angle du premier côté, angle d’ouverture</t>
  </si>
  <si>
    <t xml:space="preserve">arcBand</t>
  </si>
  <si>
    <t xml:space="preserve">Date et heure de fin de l'appel</t>
  </si>
  <si>
    <t xml:space="preserve">A valoriser avec le groupe date heure de fin de l'appel (vide si appel accompagné)</t>
  </si>
  <si>
    <t xml:space="preserve">end</t>
  </si>
  <si>
    <t xml:space="preserve">Nom de l’opérateur téléphonique/PFLAU</t>
  </si>
  <si>
    <t xml:space="preserve">A valoriser avec le nom de l'opérateur téléphonique</t>
  </si>
  <si>
    <t xml:space="preserve">telephonyOperatorName</t>
  </si>
  <si>
    <t xml:space="preserve">Localisation du requérant (PFLAU)</t>
  </si>
  <si>
    <t xml:space="preserve">Objet qui permet décrire la localisation du requérant</t>
  </si>
  <si>
    <t xml:space="preserve">callerLocation</t>
  </si>
  <si>
    <t xml:space="preserve">REGEX: ^fr(\.[\w-]+){2,3}$</t>
  </si>
  <si>
    <t xml:space="preserve">REGEX: ^([\w-]+\.){3,4}patient(\.[\w-]+){1,2}$</t>
  </si>
  <si>
    <t xml:space="preserve">REGEX: ^([\w-]+\.){3,4}medicalNote(\.[\w-]+){1,2}$</t>
  </si>
  <si>
    <t xml:space="preserve">EMSI:15-15:emsi</t>
  </si>
  <si>
    <t xml:space="preserve">EMSI</t>
  </si>
  <si>
    <t xml:space="preserve">emsi</t>
  </si>
  <si>
    <t xml:space="preserve">eda:1.9:emsi</t>
  </si>
  <si>
    <r>
      <rPr>
        <b val="true"/>
        <sz val="11"/>
        <color rgb="FFFFFFFF"/>
        <rFont val="Calibri"/>
        <family val="2"/>
        <charset val="1"/>
      </rPr>
      <t xml:space="preserve">Description EMSI (EN) </t>
    </r>
    <r>
      <rPr>
        <b val="true"/>
        <i val="true"/>
        <sz val="11"/>
        <color rgb="FFFFFFFF"/>
        <rFont val="Calibri"/>
        <family val="2"/>
        <charset val="1"/>
      </rPr>
      <t xml:space="preserve">- informatif</t>
    </r>
  </si>
  <si>
    <t xml:space="preserve">Usage NexSIS</t>
  </si>
  <si>
    <t xml:space="preserve">Cardinalité EMSI</t>
  </si>
  <si>
    <t xml:space="preserve">Cardinalité DC</t>
  </si>
  <si>
    <t xml:space="preserve">Cardinalité EO</t>
  </si>
  <si>
    <t xml:space="preserve"># cardinalité DC vs EO</t>
  </si>
  <si>
    <r>
      <rPr>
        <b val="true"/>
        <sz val="11"/>
        <color rgb="FFFFFFFF"/>
        <rFont val="Calibri"/>
        <family val="2"/>
        <charset val="1"/>
      </rPr>
      <t xml:space="preserve">Format (ou </t>
    </r>
    <r>
      <rPr>
        <i val="true"/>
        <sz val="11"/>
        <color rgb="FFFFFFFF"/>
        <rFont val="Calibri"/>
        <family val="2"/>
        <charset val="1"/>
      </rPr>
      <t xml:space="preserve">type</t>
    </r>
    <r>
      <rPr>
        <sz val="11"/>
        <color rgb="FFFFFFFF"/>
        <rFont val="Calibri"/>
        <family val="2"/>
        <charset val="1"/>
      </rPr>
      <t xml:space="preserve">)</t>
    </r>
  </si>
  <si>
    <t xml:space="preserve">Contexte</t>
  </si>
  <si>
    <t xml:space="preserve">L'objet contexte fournit certaines informations contextuelles pertienentes pour l'échange opérationnel</t>
  </si>
  <si>
    <t xml:space="preserve">Identifies the context of the EMSI.</t>
  </si>
  <si>
    <t xml:space="preserve">CONTEXT</t>
  </si>
  <si>
    <t xml:space="preserve">context</t>
  </si>
  <si>
    <t xml:space="preserve">A constituer par le rédacteur du présent EMSI pour être unique, il est préconisé de reprendre la valeur du champ messageId de l'entête RC-DE.</t>
  </si>
  <si>
    <t xml:space="preserve">Provides the identifier of the EMSI. It shall be unique.</t>
  </si>
  <si>
    <t xml:space="preserve">Longueur maximale : 40 caractères</t>
  </si>
  <si>
    <t xml:space="preserve">Mode</t>
  </si>
  <si>
    <t xml:space="preserve">Valeur constante dans le cadre des échanges LRM-NexSIS : ACTUAL</t>
  </si>
  <si>
    <t xml:space="preserve">States whether the EMSI is related to an actual event (ACTUAL value), an exercise (EXERCS value) or a test (SYSTEM value) for messages that support alert network internal functions or (TEST value) for technical testing only, all recipients disregard.</t>
  </si>
  <si>
    <t xml:space="preserve">MODE</t>
  </si>
  <si>
    <t xml:space="preserve">ENUM: ACTUAL, EXERCS, SYSTEM, TEST</t>
  </si>
  <si>
    <t xml:space="preserve">- A valoriser avec la valeur "ALERT" lors du premier échange entre systèmes.
- A valoriser avec la valeur constante "UPDATE" ensuite.
Peut ne pas être interprété par les LRM.</t>
  </si>
  <si>
    <t xml:space="preserve">Describes the nature of the message. </t>
  </si>
  <si>
    <t xml:space="preserve">UPDATE</t>
  </si>
  <si>
    <t xml:space="preserve">MSGTYPE</t>
  </si>
  <si>
    <t xml:space="preserve">ENUM: ACK, ALERT, CANCEL, ERROR, UPDATE</t>
  </si>
  <si>
    <t xml:space="preserve">Date et heure de création</t>
  </si>
  <si>
    <t xml:space="preserve">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</si>
  <si>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 xml:space="preserve">Describes the date and time when the EMSI was created.</t>
  </si>
  <si>
    <t xml:space="preserve">2022-09-27T08:25:54+02:00</t>
  </si>
  <si>
    <t xml:space="preserve">CREATION</t>
  </si>
  <si>
    <t xml:space="preserve">Format datetime décrit dans le DSF</t>
  </si>
  <si>
    <t xml:space="preserve">Lien</t>
  </si>
  <si>
    <t xml:space="preserve">Optionnel</t>
  </si>
  <si>
    <t xml:space="preserve">Provides a link to one or more EMSI files</t>
  </si>
  <si>
    <t xml:space="preserve">LINK</t>
  </si>
  <si>
    <t xml:space="preserve">link</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</si>
  <si>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t>
  </si>
  <si>
    <t xml:space="preserve">fr.health.samu440.DRFR15DDXAAJJJ0000</t>
  </si>
  <si>
    <t xml:space="preserve">Rôle du lien</t>
  </si>
  <si>
    <t xml:space="preserve">Optionnel : à valoriser avec la constante "SPRSDS" pour un message EMSI, incluant des missions RDC et/ou OPG et avec le libellé "ADDSTO" pour un message EMSI, incluant uniquement qu'une demande de concours (EMSI-DC).</t>
  </si>
  <si>
    <t xml:space="preserve">Define the relation of the linked EMSI.</t>
  </si>
  <si>
    <t xml:space="preserve">ADDSTO</t>
  </si>
  <si>
    <t xml:space="preserve">LINK_ROLE</t>
  </si>
  <si>
    <t xml:space="preserve">ENUM: ADDSTO, SPRSDS</t>
  </si>
  <si>
    <t xml:space="preserve">Niveau</t>
  </si>
  <si>
    <t xml:space="preserve">A valoriser avec la valeur constante "OPR" dans le cadre d'un message EMSI, incluant une mission OPG</t>
  </si>
  <si>
    <t xml:space="preserve">Describes the level of the node creating this EMSI file.</t>
  </si>
  <si>
    <t xml:space="preserve">OPR</t>
  </si>
  <si>
    <t xml:space="preserve">LEVEL</t>
  </si>
  <si>
    <t xml:space="preserve">ENUM: STRTGC, OPR, TACTCL</t>
  </si>
  <si>
    <t xml:space="preserve">Niveau de classification</t>
  </si>
  <si>
    <t xml:space="preserve">Optionnel
Dans NexSIS ; 
Les messages transmis par NexSIS auront un champ valorisé avec systématiquement le même code: "RESTRC"=restricted
Les LRM doivent également renseigner la valeur "RESTRC"</t>
  </si>
  <si>
    <t xml:space="preserve">Describes the security classification of the EMSI.</t>
  </si>
  <si>
    <t xml:space="preserve">RESTRC</t>
  </si>
  <si>
    <t xml:space="preserve">SECLASS</t>
  </si>
  <si>
    <t xml:space="preserve">ENUM: CONFID, RESTRC, SECRET, TOPSRT, UNCLAS, UNMARK</t>
  </si>
  <si>
    <t xml:space="preserve">Texte libre</t>
  </si>
  <si>
    <t xml:space="preserve">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</si>
  <si>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 xml:space="preserve">Allows free text description. Max 500 characters</t>
  </si>
  <si>
    <t xml:space="preserve">Contexte de grand incendie à Nantes</t>
  </si>
  <si>
    <t xml:space="preserve">FREETEXT</t>
  </si>
  <si>
    <t xml:space="preserve">Origine</t>
  </si>
  <si>
    <t xml:space="preserve">Provides the identity of the creator of the EMSI.</t>
  </si>
  <si>
    <t xml:space="preserve">ORIGIN</t>
  </si>
  <si>
    <t xml:space="preserve">Origine ID</t>
  </si>
  <si>
    <t xml:space="preserve">Optionnel, identifiant du service à l'origine de l'EMSI
Se référer au DSF pour la structure normée des organisations
Le format est le suivant {pays}.{domaine}.{organisation}.{structure interne}*.{unité fonctionnelle}*.</t>
  </si>
  <si>
    <t xml:space="preserve">The unique identifier of an organization element.</t>
  </si>
  <si>
    <t xml:space="preserve">ORG_ID</t>
  </si>
  <si>
    <t xml:space="preserve">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</si>
  <si>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</si>
  <si>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</si>
  <si>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 xml:space="preserve">USER_ID</t>
  </si>
  <si>
    <t xml:space="preserve">Nom Origine </t>
  </si>
  <si>
    <t xml:space="preserve">Optionnel, A constituer par le rédacteur pour être intelligible (exemple [structure] [code département]).
Ce champ n'est pas normé obligatoirement. Chaque service décide de la structure de son nom d'origine.</t>
  </si>
  <si>
    <t xml:space="preserve">It provides the name which identifies the agency and the EMSI node.
NOTE: Subsequently, other information such as contact point,
telephone number or address can be provided in this element.</t>
  </si>
  <si>
    <t xml:space="preserve">samu 44, cgo 77, codis 78, cdau 91, les pompiers du 23</t>
  </si>
  <si>
    <t xml:space="preserve">NAME</t>
  </si>
  <si>
    <t xml:space="preserve">Informations exterieures </t>
  </si>
  <si>
    <t xml:space="preserve">Optionnel
Permettra à terme d'indiquer des liens vers des objets du SGV de NexSIS</t>
  </si>
  <si>
    <t xml:space="preserve">Describes links to additional external infor- mation.
Originators should consider how this reference may affect the interpretation of the EMSI in the case where the referenced external information is not available to the recipient.</t>
  </si>
  <si>
    <t xml:space="preserve">EXTERNAL_INFO</t>
  </si>
  <si>
    <t xml:space="preserve">Texte libre </t>
  </si>
  <si>
    <t xml:space="preserve">Allows free text description of the external information.</t>
  </si>
  <si>
    <t xml:space="preserve">URI informations extérieures</t>
  </si>
  <si>
    <t xml:space="preserve">Provides a full absolute URI</t>
  </si>
  <si>
    <t xml:space="preserve">289d6939-d225-4c71-9a56-68c03ada2f5e</t>
  </si>
  <si>
    <t xml:space="preserve">Describes the type of the attached information. Table B.7 — CONTEXT EXTERNAL_INFO TYPE</t>
  </si>
  <si>
    <t xml:space="preserve">SPRSDS</t>
  </si>
  <si>
    <t xml:space="preserve">TYPE</t>
  </si>
  <si>
    <t xml:space="preserve">ENUM: MANUAL, MAP, OTHER, PHOTO, WEBSIT</t>
  </si>
  <si>
    <t xml:space="preserve">Niveau d'urgence de l'événement</t>
  </si>
  <si>
    <t xml:space="preserve">Niveau d'urgence pour l'affaire en cours
Dans le cadre des échanges LRM-NexSIS, optionnel</t>
  </si>
  <si>
    <t xml:space="preserve">Defines the urgency of the message. </t>
  </si>
  <si>
    <t xml:space="preserve">URGENT</t>
  </si>
  <si>
    <t xml:space="preserve">URGENCY</t>
  </si>
  <si>
    <t xml:space="preserve">ENUM: URGENT, NOT_URGENT</t>
  </si>
  <si>
    <t xml:space="preserve">Evenement</t>
  </si>
  <si>
    <t xml:space="preserve">Objet générique EVENT</t>
  </si>
  <si>
    <t xml:space="preserve">Describes the event that the EMSI relates to.</t>
  </si>
  <si>
    <t xml:space="preserve">EVENT</t>
  </si>
  <si>
    <t xml:space="preserve">Identifiant local de l'affaire</t>
  </si>
  <si>
    <t xml:space="preserve">A renseigner avec l'identifiant local de l'affaire dans le LRM ou NexSIS</t>
  </si>
  <si>
    <t xml:space="preserve">Describes the identifier of the event for the creator of the EMSI. Unique inside the node.</t>
  </si>
  <si>
    <t xml:space="preserve">DRFR15DDXAAJJJ0000</t>
  </si>
  <si>
    <t xml:space="preserve">Nom donné à l'événement</t>
  </si>
  <si>
    <t xml:space="preserve">Optionnel
Dans nexSIS; [libelle NF 1 métier] &amp; " - " &amp; [libelle TL 1 métier] &amp; " - " &amp; [libellé commune]</t>
  </si>
  <si>
    <t xml:space="preserve">Provides a name for the event. It is the responsibility of the node to have unique event names.</t>
  </si>
  <si>
    <t xml:space="preserve">Grand Incendie Nantes</t>
  </si>
  <si>
    <t xml:space="preserve">Identifiant de l'affaire partagé</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</si>
  <si>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</si>
  <si>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 xml:space="preserve">Provides a link to the main event ift he current event is a sub-event of this main event</t>
  </si>
  <si>
    <t xml:space="preserve">MAIN_EVENT_ID</t>
  </si>
  <si>
    <t xml:space="preserve">Type de l'événement</t>
  </si>
  <si>
    <t xml:space="preserve">The type of the event, which is the collation of
several facets.</t>
  </si>
  <si>
    <t xml:space="preserve">ETYPE</t>
  </si>
  <si>
    <t xml:space="preserve">etype</t>
  </si>
  <si>
    <t xml:space="preserve">Catégorie d'événement</t>
  </si>
  <si>
    <t xml:space="preserve">Le champ peut ne pas être interprété ou renseigné avec une valeur comme 'UKN' = 'UNKOWN'
A constituer depuis ref_mapping_EMSI&lt;ETYPE&gt;&lt;CATEGORY&gt;_NEXSIS</t>
  </si>
  <si>
    <t xml:space="preserve">The description of the scenario which leads to the event. Table B.12 — EVENT ETYPE CATEGORY</t>
  </si>
  <si>
    <t xml:space="preserve">FIR</t>
  </si>
  <si>
    <t xml:space="preserve">CATEGORY</t>
  </si>
  <si>
    <t xml:space="preserve">NOMENCLATURE: EMSI-EVENT.ETYPE.CATEGORY</t>
  </si>
  <si>
    <t xml:space="preserve">Acteurs</t>
  </si>
  <si>
    <t xml:space="preserve">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</si>
  <si>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 xml:space="preserve">Describes the type of the endangered object(s). Table B.11 — EVENT ETYPE ACTOR</t>
  </si>
  <si>
    <t xml:space="preserve">PPL/GRP</t>
  </si>
  <si>
    <t xml:space="preserve">ACTOR</t>
  </si>
  <si>
    <t xml:space="preserve">NOMENCLATURE: EMSI-EVENT.ETYPE.ACTOR</t>
  </si>
  <si>
    <t xml:space="preserve">Type de localisation</t>
  </si>
  <si>
    <t xml:space="preserve">Le champ peut ne pas être affiché. Par défaut, possible de renvoyer le code "OTH" =  "OTHER"</t>
  </si>
  <si>
    <t xml:space="preserve">Describes the type of the location where the event is taking place. Table B.14 — EVENT ETYPE LOCTYPE</t>
  </si>
  <si>
    <t xml:space="preserve">URB/STRT</t>
  </si>
  <si>
    <t xml:space="preserve">LOCTYPE</t>
  </si>
  <si>
    <t xml:space="preserve">Environnement</t>
  </si>
  <si>
    <t xml:space="preserve">Describes the general environment (or context) of the event. Table B.13 — EVENT ETYPE ENV</t>
  </si>
  <si>
    <t xml:space="preserve">CDIS/RIOT</t>
  </si>
  <si>
    <t xml:space="preserve">ENV</t>
  </si>
  <si>
    <t xml:space="preserve">NOMENCLATURE: EMSI-EVENT.ETYPE.ENV</t>
  </si>
  <si>
    <t xml:space="preserve">Source</t>
  </si>
  <si>
    <t xml:space="preserve">Describes the origin of the declaration of the event.
Possible values are: COMFOR (computer forecast), HUMDED (human deduction), HUMOBS (human observation), SENSOR (sensor observation).</t>
  </si>
  <si>
    <t xml:space="preserve">HUMOBS</t>
  </si>
  <si>
    <t xml:space="preserve">SOURCE</t>
  </si>
  <si>
    <t xml:space="preserve">ENUM: COMFOR, HUMDED, HUMOBS, SENSOR</t>
  </si>
  <si>
    <t xml:space="preserve">Echelle de sévérité de l'environnement</t>
  </si>
  <si>
    <t xml:space="preserve">Optionnel, Niveau de criticité de l'opération</t>
  </si>
  <si>
    <t xml:space="preserve">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</si>
  <si>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 xml:space="preserve">SCALE</t>
  </si>
  <si>
    <t xml:space="preserve">ENUM: 1, 2, 3, 4, 5</t>
  </si>
  <si>
    <t xml:space="preserve">Fiabilité</t>
  </si>
  <si>
    <t xml:space="preserve">Prend une valeur entière entre 0 et 100, et décrit à quel point l'alerte associée à l'événement est fiable
Optionnel</t>
  </si>
  <si>
    <t xml:space="preserve">Provides a percentage probability of occurrence of the event.
NOTE: This is typically used for computerised prediction of a future event such as a flood prediction according to meteorological models.</t>
  </si>
  <si>
    <t xml:space="preserve">CERTAINTY</t>
  </si>
  <si>
    <t xml:space="preserve">Date de déclaration de l'event</t>
  </si>
  <si>
    <t xml:space="preserve">Dans le cadre d'une demande de concours, ce champ est valorisé avec la date/heure de création de l'affaire ou de l'opération.
NexSIS transmettra la date/heure de création de l'opération dans ses systèmes (qui peut diverger de la date/heure de création de l'affaire)</t>
  </si>
  <si>
    <t xml:space="preserve">Describes the date and time of the declaration of the event. This may refer to a future occurrence.</t>
  </si>
  <si>
    <t xml:space="preserve">2022-09-27T08:24:50+02:00</t>
  </si>
  <si>
    <t xml:space="preserve">DECL_DATIME</t>
  </si>
  <si>
    <t xml:space="preserve">Décrit la date et le lieu de l'événement</t>
  </si>
  <si>
    <t xml:space="preserve">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</si>
  <si>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 xml:space="preserve">Describes the date and time of the occur- rence of the event. This may refer to a future occurrence.</t>
  </si>
  <si>
    <t xml:space="preserve">2022-09-27T08:20:50+02:00</t>
  </si>
  <si>
    <t xml:space="preserve">OCC_DATIME</t>
  </si>
  <si>
    <t xml:space="preserve">Date à laquelle l'observation la plus récente a été réalisée</t>
  </si>
  <si>
    <t xml:space="preserve">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</si>
  <si>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 xml:space="preserve">Describes the date and time of the information contained in this EMSI</t>
  </si>
  <si>
    <t xml:space="preserve">2022-09-27T08:26:00+02:00</t>
  </si>
  <si>
    <t xml:space="preserve">OBS_DATIME</t>
  </si>
  <si>
    <t xml:space="preserve">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</si>
  <si>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</si>
  <si>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 xml:space="preserve">Describes the current status of the event.</t>
  </si>
  <si>
    <t xml:space="preserve">IPR</t>
  </si>
  <si>
    <t xml:space="preserve">STATUS</t>
  </si>
  <si>
    <t xml:space="preserve">ENUM: COM, IPR, NST, STOP</t>
  </si>
  <si>
    <t xml:space="preserve">Prédiction sur le risque d'évolution de l'event</t>
  </si>
  <si>
    <t xml:space="preserve">States the predicted evolution of the event.
COM = event complete, IPR = event in progress, NST = event not started, STOP = STOP = event under control, no need for additional resource</t>
  </si>
  <si>
    <t xml:space="preserve">STABLE</t>
  </si>
  <si>
    <t xml:space="preserve">RISK_ASSESMENT</t>
  </si>
  <si>
    <t xml:space="preserve">ENUM: NCREA, DECREA, STABLE</t>
  </si>
  <si>
    <t xml:space="preserve">Lien vers d'autres objets événements EMSI</t>
  </si>
  <si>
    <t xml:space="preserve">Optionnel
Peut être renseigné avec les identifiants de l'affaire traitées dans d'autres systèmes partenaires</t>
  </si>
  <si>
    <t xml:space="preserve">Provides the list of events identifiers which may be related to the same event.
The software using the EMSI files in different nodes shall provide the capability to map identifiers for the same event coming from different nodes.</t>
  </si>
  <si>
    <t xml:space="preserve">REFERENCE</t>
  </si>
  <si>
    <t xml:space="preserve">ID de l'organisation</t>
  </si>
  <si>
    <t xml:space="preserve">Le format est le suivant {pays}.{domaine}.{organisation}.{structure interne}*.{unité fonctionnelle}*.
NB : ce champ (EVENT.REFERENCE.ORG_ID) ne peut pas être le même que le champ CONTEXT.LINK.ID ou EVENT.ID</t>
  </si>
  <si>
    <t xml:space="preserve">Defines the unique identifier for a node creating the EMSI.
If the element OTHER_EVENT_ID is provided.</t>
  </si>
  <si>
    <t xml:space="preserve">fr.fire.cgo044</t>
  </si>
  <si>
    <t xml:space="preserve">ID des autres event</t>
  </si>
  <si>
    <t xml:space="preserve">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</si>
  <si>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 xml:space="preserve">States the identifiers for the same event, used by other agencies.</t>
  </si>
  <si>
    <t xml:space="preserve">OTHER_EVENT_ID</t>
  </si>
  <si>
    <t xml:space="preserve">Victimes</t>
  </si>
  <si>
    <t xml:space="preserve">Dans le cadre d'une demande de concours, optionnel. Le champ peut ne pas être émis ni interprété</t>
  </si>
  <si>
    <t xml:space="preserve">Provides the number of the actual or predicted casualties.
This is the description of the actual casualties if there is no DATIME element or for predicted casualties, at the time of the DATIME element.</t>
  </si>
  <si>
    <t xml:space="preserve">CASUALTIES</t>
  </si>
  <si>
    <t xml:space="preserve">casualties</t>
  </si>
  <si>
    <t xml:space="preserve">Le champ doit être renseigné mais peut ne pas être interprété</t>
  </si>
  <si>
    <t xml:space="preserve">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</si>
  <si>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 xml:space="preserve">REQ_ACTION</t>
  </si>
  <si>
    <t xml:space="preserve">Timestamp du contexte</t>
  </si>
  <si>
    <t xml:space="preserve">Describes the date and time of the predicted context.</t>
  </si>
  <si>
    <t xml:space="preserve">2022-09-27T08:00:00+02:00</t>
  </si>
  <si>
    <t xml:space="preserve">DATIME</t>
  </si>
  <si>
    <t xml:space="preserve">Décontamination</t>
  </si>
  <si>
    <t xml:space="preserve">Provides the number of casualties who need treatment against CBRN agents in the current context.</t>
  </si>
  <si>
    <t xml:space="preserve">DECONT</t>
  </si>
  <si>
    <t xml:space="preserve">Triage Rouge</t>
  </si>
  <si>
    <t xml:space="preserve">Optionnel, Triage victime au sens EMSI</t>
  </si>
  <si>
    <t xml:space="preserve">Provides the number of casualties at the “RED” priority level in the current context - highest priority for treatment or evac- uation, as urgent resuscitative interventions are required to ensure survival of the casualty.</t>
  </si>
  <si>
    <t xml:space="preserve">TRIAGERED</t>
  </si>
  <si>
    <t xml:space="preserve">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</si>
  <si>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</si>
  <si>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 xml:space="preserve">TRIAGEYELLOW</t>
  </si>
  <si>
    <t xml:space="preserve">Triage Vert</t>
  </si>
  <si>
    <t xml:space="preserve">Provides the number of casualties at the “GREEN” priority level in the current context. Treatment is less urgent in this category and can be deferred if there are other casualties requiring limited treatment or evac- uation assets.</t>
  </si>
  <si>
    <t xml:space="preserve">TRIAGEGREEN</t>
  </si>
  <si>
    <t xml:space="preserve">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</si>
  <si>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</si>
  <si>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 xml:space="preserve">TRIAGEBLACK</t>
  </si>
  <si>
    <t xml:space="preserve">Disparus</t>
  </si>
  <si>
    <t xml:space="preserve">Provides the number of individuals reported or presumed missing, kidnapped, etc. in the current context.</t>
  </si>
  <si>
    <t xml:space="preserve">MISSING</t>
  </si>
  <si>
    <t xml:space="preserve">Evacués</t>
  </si>
  <si>
    <t xml:space="preserve">Provides the number of the evacuated people</t>
  </si>
  <si>
    <t xml:space="preserve">EVAC</t>
  </si>
  <si>
    <t xml:space="preserve">evac</t>
  </si>
  <si>
    <t xml:space="preserve">timestamp</t>
  </si>
  <si>
    <t xml:space="preserve">It provides the date and time of the predicted context.</t>
  </si>
  <si>
    <t xml:space="preserve">2022-09-27T10:00:00+02:00</t>
  </si>
  <si>
    <t xml:space="preserve">déplacés</t>
  </si>
  <si>
    <t xml:space="preserve">Provides the number of people who are moved due to the event in the current context.</t>
  </si>
  <si>
    <t xml:space="preserve">DISPLACED</t>
  </si>
  <si>
    <t xml:space="preserve">évacués</t>
  </si>
  <si>
    <t xml:space="preserve">Provides the number of individuals who are undergoing the process of being moved in the current context.</t>
  </si>
  <si>
    <t xml:space="preserve">EVACUATED</t>
  </si>
  <si>
    <t xml:space="preserve">Localisation de l'événement</t>
  </si>
  <si>
    <t xml:space="preserve">Optionnel
En effet, la localisation de l'affaire est déjà renseignée antérieurement et le lieu d'intervention souhaité est précisé dans un objet MISSION. Reprécise les coordonnées GPS de la localisation de l'affaire.</t>
  </si>
  <si>
    <t xml:space="preserve">Provides the geographical location of the event. Several geographical locations could be provided.</t>
  </si>
  <si>
    <t xml:space="preserve">EGEO</t>
  </si>
  <si>
    <t xml:space="preserve">egeo</t>
  </si>
  <si>
    <t xml:space="preserve">Date des dernières remontées de localisation</t>
  </si>
  <si>
    <t xml:space="preserve">Optionnel
La localisation de l'affaire est transmise en amont dans un message RC-EDA et le lieu souhaité pour l'intervention est systématiquement reprécisé dans un objet MISSION</t>
  </si>
  <si>
    <t xml:space="preserve">Describes the date and time for this geographical location. When provided, this element provides the date and time for a forecast. If it is not provided, it indicates that the information describes the current situation</t>
  </si>
  <si>
    <t xml:space="preserve">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</si>
  <si>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 xml:space="preserve">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</si>
  <si>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 xml:space="preserve">HLT</t>
  </si>
  <si>
    <t xml:space="preserve">NOMENCLATURE: EMSI-EVENT.EGEO.TYPE</t>
  </si>
  <si>
    <t xml:space="preserve">Condition météo</t>
  </si>
  <si>
    <t xml:space="preserve">Where several WEATHER elements are present, all are
applicable.
The complete list of values is in the codes dictionary. Table B.10 — EVENT EGEO WEATHER</t>
  </si>
  <si>
    <t xml:space="preserve">HUM/RAIN</t>
  </si>
  <si>
    <t xml:space="preserve">WEATHER</t>
  </si>
  <si>
    <t xml:space="preserve">NOMENCLATURE: EMSI-EVENT.EGEO.WEATHER</t>
  </si>
  <si>
    <t xml:space="preserve">Description de l'événement</t>
  </si>
  <si>
    <t xml:space="preserve">Provides free text information for
description of the location and its
significance in the context of the event.</t>
  </si>
  <si>
    <t xml:space="preserve">Un peu de pluie vers 8h</t>
  </si>
  <si>
    <t xml:space="preserve">Position de l'opération</t>
  </si>
  <si>
    <t xml:space="preserve">Provides the position of the EGEO element. All elements of POSITION are optional, but at least one shall be provided. </t>
  </si>
  <si>
    <t xml:space="preserve">POSITION</t>
  </si>
  <si>
    <t xml:space="preserve">position</t>
  </si>
  <si>
    <t xml:space="preserve">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</si>
  <si>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</si>
  <si>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 xml:space="preserve">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</si>
  <si>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 xml:space="preserve">LOC_ID</t>
  </si>
  <si>
    <t xml:space="preserve">Nom de position</t>
  </si>
  <si>
    <t xml:space="preserve">Optionnel, non utilisé par NexSIS nom de lieu</t>
  </si>
  <si>
    <t xml:space="preserve">NOTE: It is the responsibility of the agency to define a consistent approach to naming locations, for example, using names from a particular map, or, in a multi-lingual marked area, such as Belgium or Wales, putting both names in separated by a “/”.</t>
  </si>
  <si>
    <t xml:space="preserve">Optionnel
Dans le cadre de l'interface LRM NexSIS, seul le libellé POINT doit obligatoirement être interprétable par les deux partenaires.
Cf. Nomenclature EMSI - POSITION pour plus de détails</t>
  </si>
  <si>
    <t xml:space="preserve">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</si>
  <si>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 xml:space="preserve">POINT</t>
  </si>
  <si>
    <t xml:space="preserve">Indication sur l'utilisation de la balise altitude</t>
  </si>
  <si>
    <t xml:space="preserve">Provides the definition of the height parameter in the COORD element.
Values can be: MIN (minimum), MAX (maximum), AVE (average).</t>
  </si>
  <si>
    <t xml:space="preserve">MIN</t>
  </si>
  <si>
    <t xml:space="preserve">HEIGHT_ROLE</t>
  </si>
  <si>
    <t xml:space="preserve">Provides the definition of
the coordinate system in the
COORD element.</t>
  </si>
  <si>
    <t xml:space="preserve">COORDSYS</t>
  </si>
  <si>
    <t xml:space="preserve">COORD</t>
  </si>
  <si>
    <t xml:space="preserve">0…n</t>
  </si>
  <si>
    <t xml:space="preserve">Latitude </t>
  </si>
  <si>
    <t xml:space="preserve">dernière coordonnée x  connue de la ressource, entre −90 and +90</t>
  </si>
  <si>
    <t xml:space="preserve">Defines the latitude of the point in the provided coordinate system.</t>
  </si>
  <si>
    <t xml:space="preserve">47.221866</t>
  </si>
  <si>
    <t xml:space="preserve">LAT</t>
  </si>
  <si>
    <t xml:space="preserve">Optionnel. Dans le cas où aucun LOC_ID n'est transféré, permet de localiser le lieu d'intervention souhaité
dernière coordonnée y  connue de la ressource
entre −180 and +180</t>
  </si>
  <si>
    <t xml:space="preserve">Defines the longitude of the point in the provided coordinate system.</t>
  </si>
  <si>
    <t xml:space="preserve">-1.575807</t>
  </si>
  <si>
    <t xml:space="preserve">LONG</t>
  </si>
  <si>
    <t xml:space="preserve">Altitude</t>
  </si>
  <si>
    <t xml:space="preserve">Optionnel. Dans le cas où aucun LOC_ID n'est transféré, permet de localiser le lieu d'intervention souhaité
dernière coordonnée z  connue de la ressource, en mètres sans bornes
</t>
  </si>
  <si>
    <t xml:space="preserve">Defines the height above mean sea level in metres.</t>
  </si>
  <si>
    <t xml:space="preserve">HEIGHT</t>
  </si>
  <si>
    <t xml:space="preserve">Optionnel. Dans le cas d'un partage de position, les adresses transmises ne sont pas structurées.</t>
  </si>
  <si>
    <t xml:space="preserve">Provides a physical address for this position.</t>
  </si>
  <si>
    <t xml:space="preserve">Nantes centre ville</t>
  </si>
  <si>
    <t xml:space="preserve">ADDRESS</t>
  </si>
  <si>
    <t xml:space="preserve">Cause</t>
  </si>
  <si>
    <t xml:space="preserve">Cause of this event. Valid values are: ACC = accidental, DEL = deliberate, NAT = natural</t>
  </si>
  <si>
    <t xml:space="preserve">ACC</t>
  </si>
  <si>
    <t xml:space="preserve">CAUSE</t>
  </si>
  <si>
    <t xml:space="preserve">ENUM: ACC, DEL, NAT</t>
  </si>
  <si>
    <t xml:space="preserve">Provides free text information for describing the event. Max 500 characters </t>
  </si>
  <si>
    <t xml:space="preserve">Maison sur le côté droit de la route</t>
  </si>
  <si>
    <t xml:space="preserve">Missions</t>
  </si>
  <si>
    <t xml:space="preserve">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</si>
  <si>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 xml:space="preserve">Describes the missions which are completed, are ongoing, or are planned and is related to the event and context reported in the EMSI</t>
  </si>
  <si>
    <t xml:space="preserve">MISSION</t>
  </si>
  <si>
    <t xml:space="preserve">mission</t>
  </si>
  <si>
    <t xml:space="preserve">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</si>
  <si>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 xml:space="preserve">Defines the type of the mission. Table B.15 — MISSION TYPE</t>
  </si>
  <si>
    <t xml:space="preserve">SAV/ASC</t>
  </si>
  <si>
    <t xml:space="preserve">NOMENCLATURE: EMSI-MISSION.TYPE</t>
  </si>
  <si>
    <t xml:space="preserve">Contient des commentaires relatifs aux objectifs et  moyens sollicités dans le cadre de la demande de concours. Les équipements supplémentaires souhaités ou le nom/ prénom des patients à prendre en charge peuvent être explicitement indiqués ici.</t>
  </si>
  <si>
    <t xml:space="preserve">Provides free text description of the mission.</t>
  </si>
  <si>
    <t xml:space="preserve">Besoin d'un grand véhicule car patients à prendre en charge volumineux. Ne pas utiliser les gyrophares en approche</t>
  </si>
  <si>
    <t xml:space="preserve">Identifiant de la mission</t>
  </si>
  <si>
    <t xml:space="preserve">Contient un identifiant de demande de concours unique. Cet identifiant sera réutilisable par le partenaire pour répondre à cette demande.
Identifiant unique de la mission dans le système du partenaire la conduisant.</t>
  </si>
  <si>
    <t xml:space="preserve">Defines the unique identifier of the
mission inside the current node.</t>
  </si>
  <si>
    <t xml:space="preserve">/FF#bb511708-b004-4d7e-8820-1d56c19f1823</t>
  </si>
  <si>
    <t xml:space="preserve">Identifiant de l'organisation propriétaire</t>
  </si>
  <si>
    <t xml:space="preserve">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</si>
  <si>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 xml:space="preserve">Defines the unique identifier of the node which controls the mission. It can be omitted if the mission is controlled by the node which provides the EMSI.</t>
  </si>
  <si>
    <t xml:space="preserve">fr.fire.cgo440</t>
  </si>
  <si>
    <t xml:space="preserve">Nom de la mission</t>
  </si>
  <si>
    <t xml:space="preserve">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</si>
  <si>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 xml:space="preserve">Defines the name for the mission.
For example, “evacuation of the area of Elancourt”.</t>
  </si>
  <si>
    <t xml:space="preserve">#DEMANDE_CONCOURS#CARENCE#Z.01.00.00#</t>
  </si>
  <si>
    <t xml:space="preserve">Status de la mission</t>
  </si>
  <si>
    <t xml:space="preserve">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</si>
  <si>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 xml:space="preserve">Defines the current status of the mission.</t>
  </si>
  <si>
    <t xml:space="preserve">ENUM: ABO, NST, CANCLD, COM, IPR, PAU</t>
  </si>
  <si>
    <t xml:space="preserve">Début de la mission</t>
  </si>
  <si>
    <t xml:space="preserve">- Dans le cadre d'une réponse à Demande de Concours
Horraire cible pour l'arrivée sur les lieux décrites (peut diverger de l'horaire demandé)
- Dans le cadre d'une mission décrivant les opérations en cours :
Horaire effectif de début de la mission</t>
  </si>
  <si>
    <t xml:space="preserve">Describes the date and time of the Start of the mission.</t>
  </si>
  <si>
    <t xml:space="preserve">2022-09-27T08:25:00+02:00</t>
  </si>
  <si>
    <t xml:space="preserve">START_TIME</t>
  </si>
  <si>
    <t xml:space="preserve">Fin de la mission</t>
  </si>
  <si>
    <t xml:space="preserve">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</si>
  <si>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 xml:space="preserve">Describes the date and time of the End of the mission.</t>
  </si>
  <si>
    <t xml:space="preserve">2022-09-27T08:55:00+02:00</t>
  </si>
  <si>
    <t xml:space="preserve">END_TIME</t>
  </si>
  <si>
    <t xml:space="preserve">Ressource engagée</t>
  </si>
  <si>
    <t xml:space="preserve">Liste des identifiants des ressources engagées dans la mission (voir RESOURCE.ID)</t>
  </si>
  <si>
    <t xml:space="preserve">Defines the link with the description in the RESOURCE/ID element(s).</t>
  </si>
  <si>
    <t xml:space="preserve">77_45102#VSAV 1</t>
  </si>
  <si>
    <t xml:space="preserve">RESOURCE_ID</t>
  </si>
  <si>
    <t xml:space="preserve">Missions parentes</t>
  </si>
  <si>
    <t xml:space="preserve">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</si>
  <si>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 xml:space="preserve">Defines the list of the missions which shall be completed before the beginning of this mission.</t>
  </si>
  <si>
    <t xml:space="preserve">PARENT_MISSION_ID</t>
  </si>
  <si>
    <t xml:space="preserve">Missions filles</t>
  </si>
  <si>
    <t xml:space="preserve">Cf. DSF pour l'organisation liens entre MISSION (sous-section "Découpage de l'opération en missions")</t>
  </si>
  <si>
    <t xml:space="preserve">Defines the list of the missions which shall start when this mission is finished.</t>
  </si>
  <si>
    <t xml:space="preserve">CHILD_MISSION_ID</t>
  </si>
  <si>
    <t xml:space="preserve">Mission principale</t>
  </si>
  <si>
    <t xml:space="preserve">-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</si>
  <si>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</si>
  <si>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 xml:space="preserve">/FF#bb511708-b004-4d7e-8820-1d56c19f1855</t>
  </si>
  <si>
    <t xml:space="preserve">MAIN_MISSION_ID</t>
  </si>
  <si>
    <t xml:space="preserve">Position de la mission</t>
  </si>
  <si>
    <t xml:space="preserve"># Voir Position de l'opération</t>
  </si>
  <si>
    <t xml:space="preserve">Reprécise les coordonnées GPS du lieu d’intervention souhaité et fait le lien avec une localisation partagée préalablement en détails dans un message d’échange d’affaire.</t>
  </si>
  <si>
    <t xml:space="preserve">Priorité de la mission</t>
  </si>
  <si>
    <t xml:space="preserve">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</si>
  <si>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 xml:space="preserve">Defines the priority level for this mission. An integer from 0 = low priority to 5 = highest priority</t>
  </si>
  <si>
    <t xml:space="preserve">PRIORITY</t>
  </si>
  <si>
    <t xml:space="preserve">ENUM: 0, 1, 2, 3, 4, 5</t>
  </si>
  <si>
    <t xml:space="preserve">Ressource</t>
  </si>
  <si>
    <t xml:space="preserve">Objet resource pouvant modéliser un véhicule, du personnel, du matériel etc</t>
  </si>
  <si>
    <t xml:space="preserve">Describes the resources (human, vehicles, other hardware, etc...) which the EMSI node has the authority to deploy and is related to the event and context reported in the EMSI</t>
  </si>
  <si>
    <t xml:space="preserve">RESOURCE</t>
  </si>
  <si>
    <t xml:space="preserve">resource</t>
  </si>
  <si>
    <t xml:space="preserve">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</si>
  <si>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</si>
  <si>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 xml:space="preserve">Provides a detailed description of the resource</t>
  </si>
  <si>
    <t xml:space="preserve">RTYPE</t>
  </si>
  <si>
    <t xml:space="preserve">rtype</t>
  </si>
  <si>
    <t xml:space="preserve">Classes de la ressource</t>
  </si>
  <si>
    <t xml:space="preserve">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</si>
  <si>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 xml:space="preserve">Describes the type of the resource: rescue team, vehicle, tent, water purifier, etc… Table B.19 — RESOURCE RTYPE CLASS</t>
  </si>
  <si>
    <t xml:space="preserve">MAT/VEH/ROADVE/FRFGTN</t>
  </si>
  <si>
    <t xml:space="preserve">RCLASS</t>
  </si>
  <si>
    <t xml:space="preserve">NOMENCLATURE: EMSI-RESOURCE.RTYPE.CLASS</t>
  </si>
  <si>
    <t xml:space="preserve">Capacités de la ressource</t>
  </si>
  <si>
    <t xml:space="preserve">Permet d'indiquer les capacités de la ressource d'après le standard EMSI</t>
  </si>
  <si>
    <t xml:space="preserve">Describes the main domains of capabilities and competencies of the resource. Table B.17 — RESOURCE RTYPE CAPABILITY</t>
  </si>
  <si>
    <t xml:space="preserve">CAPABILITY</t>
  </si>
  <si>
    <t xml:space="preserve">voir DSF pour les détails</t>
  </si>
  <si>
    <t xml:space="preserve">Caractéristiques de la ressource</t>
  </si>
  <si>
    <t xml:space="preserve">Permet d'indiquer des caractéristique physiques de la ressource (hauteur, largeur, longueur et poids).
Le détail de fonctionnement de cette nomenclature est fournie en annexe.</t>
  </si>
  <si>
    <t xml:space="preserve">Provides information about the main
physical characteristics of the resource:
height, weight, size, etc. Table B.18 — RESOURCE RTYPE CHARACTERISTICS</t>
  </si>
  <si>
    <t xml:space="preserve">CHARACTERISTICS</t>
  </si>
  <si>
    <t xml:space="preserve">ID de la ressource</t>
  </si>
  <si>
    <t xml:space="preserve">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</si>
  <si>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 xml:space="preserve">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</si>
  <si>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 xml:space="preserve">voir description</t>
  </si>
  <si>
    <t xml:space="preserve">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</si>
  <si>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 xml:space="preserve">Defines the unique identifier of the node which controls the resource. It can be omitted if the resource is controlled by the node which provides the EMSI.</t>
  </si>
  <si>
    <t xml:space="preserve">Nom de la ressource</t>
  </si>
  <si>
    <t xml:space="preserve">Nom donné à la ressource par le partenaire. L'immatriculation peut être utilisée dans le nom courant des véhicules.
Dans le cas pompier, les véhicules sont nommés
Dans le cas d'équipier, cela peut être leur nom</t>
  </si>
  <si>
    <t xml:space="preserve">Provides a name for this resource (ex: person or team)</t>
  </si>
  <si>
    <t xml:space="preserve">VSAV 1 Nantes</t>
  </si>
  <si>
    <t xml:space="preserve">Description de la ressource</t>
  </si>
  <si>
    <t xml:space="preserve">Texte libre permettant de décrire la ressource où d'ajouter des précisions sur son engagement.
Permet aussi notamment de décrire des attributs librement pour la ressource.
Par exemple, pour un véhicule, sa plaque d'immatriculation.</t>
  </si>
  <si>
    <t xml:space="preserve">Localisation de la ressource</t>
  </si>
  <si>
    <t xml:space="preserve">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</si>
  <si>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 xml:space="preserve">Allows to define several positions of the resource at different times.</t>
  </si>
  <si>
    <t xml:space="preserve">RGEO</t>
  </si>
  <si>
    <t xml:space="preserve">rgeo</t>
  </si>
  <si>
    <t xml:space="preserve">Horaire de la localisation</t>
  </si>
  <si>
    <t xml:space="preserve">Horaire associé à l'arrivée de la ressource sur la position. En fonction du TYPE de position, peut indiquer un horaire de relevé de position, un horaire cible d'arrivée.</t>
  </si>
  <si>
    <t xml:space="preserve">It provides the date and time for the use of this geographical location, for example for
defining the estimated time of arrival (ETA) at the incident ground. Permet de fournir le délai souhaité</t>
  </si>
  <si>
    <t xml:space="preserve">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</si>
  <si>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</si>
  <si>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 xml:space="preserve">If an area can be classified with several types, it shall provide several RGEO elements. Table B.16 — RESOURCE RGEO TYPE</t>
  </si>
  <si>
    <t xml:space="preserve">CUR</t>
  </si>
  <si>
    <t xml:space="preserve">ENUM: ASP, CUR, INC, STG, TGT</t>
  </si>
  <si>
    <t xml:space="preserve">Permet de rajouter des précisions sur la localisation de la ressource transmise</t>
  </si>
  <si>
    <t xml:space="preserve">Position actualisée du VSAV 1 Nantes</t>
  </si>
  <si>
    <t xml:space="preserve">ID localisation</t>
  </si>
  <si>
    <t xml:space="preserve">Identifiant unique de la position dans le système du partenaire</t>
  </si>
  <si>
    <t xml:space="preserve">Defines the identifier for this geographical
area for later reference. This ID shall be unique inside an event for the node.</t>
  </si>
  <si>
    <t xml:space="preserve">Position géographique</t>
  </si>
  <si>
    <t xml:space="preserve">Détail de la position géographique</t>
  </si>
  <si>
    <t xml:space="preserve">Defines the position of the RESOURCE element. All elements of POSITION are optional, but at least one should be provided</t>
  </si>
  <si>
    <t xml:space="preserve">Quantité de la ressource</t>
  </si>
  <si>
    <t xml:space="preserve">Dans le cadre d'un échange d'opération, optionnel. Permet de quantifier une ressource :
- à ne pas utiliser pour les véhicules ni le personnel
- utilisable pour du matériel
- utilisable pour des consommables (dans le cas de consommable, à compléter avec le champ UM)</t>
  </si>
  <si>
    <t xml:space="preserve">Defines the quantity of this type of resource in the unit of measurement provided in the UM element.</t>
  </si>
  <si>
    <t xml:space="preserve">QUANTITY</t>
  </si>
  <si>
    <t xml:space="preserve">Unité de mesure pour la ressource</t>
  </si>
  <si>
    <t xml:space="preserve">Dans le cadre d'un échange d'opération, optionnel. Unité de mesure pour des ressources consommables</t>
  </si>
  <si>
    <t xml:space="preserve">Provides the unit of measure for the quantity.</t>
  </si>
  <si>
    <t xml:space="preserve">UM</t>
  </si>
  <si>
    <t xml:space="preserve">NOMENCLATURE: EMSI-RESOURCE.UM</t>
  </si>
  <si>
    <t xml:space="preserve">Statut de la ressource</t>
  </si>
  <si>
    <t xml:space="preserve">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</si>
  <si>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 xml:space="preserve">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</si>
  <si>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 xml:space="preserve">IN_USE/MOBILE</t>
  </si>
  <si>
    <t xml:space="preserve">ENUM: AVAILB, UNAV, MAINTC, RESRVD, VIRTUAL, IN_USE/MOBILE, IN_USE/ON_SCENE</t>
  </si>
  <si>
    <t xml:space="preserve">Nationalité de la ressource</t>
  </si>
  <si>
    <t xml:space="preserve">Nationalité d'une ressource, réemployer ISO 3166-1-alpha-2 code elements.</t>
  </si>
  <si>
    <t xml:space="preserve">Defines the national origin of this resource. It is a string, from the ISO 3166-1-alpha-2 code elements.</t>
  </si>
  <si>
    <t xml:space="preserve">NATIONALITY</t>
  </si>
  <si>
    <t xml:space="preserve">Contacts</t>
  </si>
  <si>
    <t xml:space="preserve">Liste de contacts utiles pour contacter par exemple le véhicule ou le personnel engagé dans l'opération.</t>
  </si>
  <si>
    <t xml:space="preserve">Defines the one or more types of contact information for a resource. This could be postal contact or electronic contact (the type is mandatory).</t>
  </si>
  <si>
    <t xml:space="preserve">CONTACTS</t>
  </si>
  <si>
    <t xml:space="preserve">Type de contact, voir énumération associée
1. PMRADD (si RFGI disponible)
2. PHNADD pour téléphonie</t>
  </si>
  <si>
    <t xml:space="preserve">Defines the type of contact.
Possible values are: PSTADD = postal address,
EMLADD = email address, IPADD = Internet address, FTPADD = FTP address, WWWADD = Web address, PHNADD = phone number, FAXADD = telefax address, PMRADD = professional radio number.</t>
  </si>
  <si>
    <t xml:space="preserve">PHNADD</t>
  </si>
  <si>
    <t xml:space="preserve">ENUM: PSTADD, EMLADD, IPADD, FTPADD, WWWADD, PHNADD, FAXADD, PMRADD</t>
  </si>
  <si>
    <t xml:space="preserve">Détails de contact</t>
  </si>
  <si>
    <t xml:space="preserve">1. RFGI du moyen NEXSIS (si RFGI disponible)
2. Numéro de téléphone</t>
  </si>
  <si>
    <t xml:space="preserve">Provides an actual contact detailed information of the resource.</t>
  </si>
  <si>
    <t xml:space="preserve">DETAIL</t>
  </si>
  <si>
    <t xml:space="preserve">RS-RI:15-15:resourcesInfo RS-ER:15-SMUR:resourcesEngagement</t>
  </si>
  <si>
    <t xml:space="preserve">RS-RI</t>
  </si>
  <si>
    <t xml:space="preserve">resourcesInfo</t>
  </si>
  <si>
    <t xml:space="preserve">resources.info</t>
  </si>
  <si>
    <t xml:space="preserve">eda:1.9:resourcesinfo</t>
  </si>
  <si>
    <t xml:space="preserve">RC-RI</t>
  </si>
  <si>
    <t xml:space="preserve">resourcesInfoCisu</t>
  </si>
  <si>
    <t xml:space="preserve">cisu.resources</t>
  </si>
  <si>
    <t xml:space="preserve">eda:1.9:resourcesInfoCisu</t>
  </si>
  <si>
    <t xml:space="preserve">RS-ER</t>
  </si>
  <si>
    <t xml:space="preserve">15-SMUR</t>
  </si>
  <si>
    <t xml:space="preserve">resourcesEngagement</t>
  </si>
  <si>
    <t xml:space="preserve">eda:1.9:resourcesengagement</t>
  </si>
  <si>
    <t xml:space="preserve">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</si>
  <si>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Objet permettant de communquer la liste des ressource et vecteurs mobilisés en 15-15 et 15-SMUR</t>
  </si>
  <si>
    <t xml:space="preserve">Date/heure de déclenchement</t>
  </si>
  <si>
    <t xml:space="preserve">A valoriser avec la date et heure d'engagement de la ressource/du vecteur</t>
  </si>
  <si>
    <t xml:space="preserve">ID Ressource partagé</t>
  </si>
  <si>
    <t xml:space="preserve">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</si>
  <si>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fr.health.samu770.resource.VLM250
fr.health.samu440.resource.DRFR15DDXAAJJJ0000.1</t>
  </si>
  <si>
    <t xml:space="preserve">resourceId</t>
  </si>
  <si>
    <t xml:space="preserve">REGEX: ^([a-zA-Z0-9_-]+\.){3,8}resource(\.[a-zA-Z0-9_-]+){1,2}$</t>
  </si>
  <si>
    <t xml:space="preserve">ID Demande partagé</t>
  </si>
  <si>
    <t xml:space="preserve">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</si>
  <si>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 xml:space="preserve">fr.health.samu770.request.1249875
fr.health.samu690.request.DRFR15690242370035.3</t>
  </si>
  <si>
    <t xml:space="preserve">requestId</t>
  </si>
  <si>
    <t xml:space="preserve">REGEX: ^([a-zA-Z0-9_-]+\.){3,8}request(\.[a-zA-Z0-9_-]+){1,2}$</t>
  </si>
  <si>
    <t xml:space="preserve">ID Mission local</t>
  </si>
  <si>
    <t xml:space="preserve">A valoriser avec le numéro de mission unique du central d’appel (PSAP, …) qui a déclenché le vecteur</t>
  </si>
  <si>
    <t xml:space="preserve">DRFR15DDXAAJJJ0000.M001</t>
  </si>
  <si>
    <t xml:space="preserve">missionId</t>
  </si>
  <si>
    <t xml:space="preserve">ID Organisation propriétaire</t>
  </si>
  <si>
    <t xml:space="preserve">A valoriser avec l'identifiant de l'organisation à laquelle appartient la ressource, normé comme suit : 
{pays}.{domaine}.{organisation}</t>
  </si>
  <si>
    <t xml:space="preserve">orgId</t>
  </si>
  <si>
    <t xml:space="preserve">ID partagé du patient transporté</t>
  </si>
  <si>
    <t xml:space="preserve">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</si>
  <si>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 xml:space="preserve">fr.health.samu440.patient.P23AZ59</t>
  </si>
  <si>
    <t xml:space="preserve">Nom du centre d’affectation</t>
  </si>
  <si>
    <t xml:space="preserve">A valoriser avec le lieu de garage principal</t>
  </si>
  <si>
    <t xml:space="preserve">CHU Nantes</t>
  </si>
  <si>
    <t xml:space="preserve">centerName</t>
  </si>
  <si>
    <t xml:space="preserve">A valoriser avec le yype de ressource mobilisée : cf.nomenclature associée.</t>
  </si>
  <si>
    <t xml:space="preserve">SMUR</t>
  </si>
  <si>
    <t xml:space="preserve">A valoriser avec le type de vecteur mobilisé : cf. nomenclature associée</t>
  </si>
  <si>
    <t xml:space="preserve">VLM</t>
  </si>
  <si>
    <t xml:space="preserve">ENUM: SMUR, SIS</t>
  </si>
  <si>
    <t xml:space="preserve">Immatriculation</t>
  </si>
  <si>
    <t xml:space="preserve">A valoriser avec le n° d'immatriculation du vecteur</t>
  </si>
  <si>
    <t xml:space="preserve">AB-123-CD</t>
  </si>
  <si>
    <t xml:space="preserve">plate</t>
  </si>
  <si>
    <t xml:space="preserve">Nom du vecteur</t>
  </si>
  <si>
    <t xml:space="preserve">A valoriser avec le nom donné à la ressource par l’organisation d’appartenance</t>
  </si>
  <si>
    <t xml:space="preserve">SMUR 123</t>
  </si>
  <si>
    <t xml:space="preserve">Type de centre d’affectation</t>
  </si>
  <si>
    <t xml:space="preserve">centerType</t>
  </si>
  <si>
    <t xml:space="preserve">Commune du centre d’affectation</t>
  </si>
  <si>
    <t xml:space="preserve">A valoriser avec le code INSEE de la commune du centre d'affectation</t>
  </si>
  <si>
    <t xml:space="preserve">centerCity</t>
  </si>
  <si>
    <t xml:space="preserve">Marque vecteur</t>
  </si>
  <si>
    <t xml:space="preserve">make</t>
  </si>
  <si>
    <t xml:space="preserve">Modèle vecteur</t>
  </si>
  <si>
    <t xml:space="preserve">model</t>
  </si>
  <si>
    <t xml:space="preserve">Equipe vecteur</t>
  </si>
  <si>
    <t xml:space="preserve">Objet qui décrit l'équipe à bord du vecteur</t>
  </si>
  <si>
    <t xml:space="preserve">team</t>
  </si>
  <si>
    <t xml:space="preserve">A valoriser avec le  niveau de médicalisation du vecteur. Cf. nomenclature associée</t>
  </si>
  <si>
    <t xml:space="preserve">MED</t>
  </si>
  <si>
    <t xml:space="preserve">medicalLevel</t>
  </si>
  <si>
    <t xml:space="preserve">NOMENCLATURE: HubSante.typePEC</t>
  </si>
  <si>
    <t xml:space="preserve">A valoriser avec le nom de l'équipe à bord du vecteur (celui communiqué par l'organisation à laquelle l'équipe appartient)</t>
  </si>
  <si>
    <t xml:space="preserve">Equipe A</t>
  </si>
  <si>
    <t xml:space="preserve">Etat vecteur</t>
  </si>
  <si>
    <t xml:space="preserve">Objet qui permet de décrire l'état d'un vecteur mobilisé - sous forme de liste, il permet de décrire l'historique des états connus d'un même vecteur. </t>
  </si>
  <si>
    <t xml:space="preserve">state</t>
  </si>
  <si>
    <t xml:space="preserve">Date/heure de changement de statut</t>
  </si>
  <si>
    <t xml:space="preserve">A valoriser avec la date et heure d'engagement de changement vers le nouveau statut</t>
  </si>
  <si>
    <t xml:space="preserve">Statut du vecteur</t>
  </si>
  <si>
    <t xml:space="preserve">A valoriser avec le statut du vecteur. Cf nomenclature associée.</t>
  </si>
  <si>
    <t xml:space="preserve">ARRIVE</t>
  </si>
  <si>
    <t xml:space="preserve">NOMENCLATURE: HubSante.statutVecteur</t>
  </si>
  <si>
    <t xml:space="preserve">Disponibilité du vecteur</t>
  </si>
  <si>
    <t xml:space="preserve">A valoriser de manière à indiquer la disponibilité du vecteur.
TRUE = DISPONIBLE
FALSE = INDISPONIBLE
VIDE = INCONNU</t>
  </si>
  <si>
    <t xml:space="preserve">FALSE</t>
  </si>
  <si>
    <t xml:space="preserve">availability</t>
  </si>
  <si>
    <t xml:space="preserve">Dernière géolocalisation du vecteur</t>
  </si>
  <si>
    <t xml:space="preserve">Objet qui permet de transmettre la dernière géolocalisation connue d'un vecteur, au moment de la création du RS-RI.</t>
  </si>
  <si>
    <t xml:space="preserve">A valoriser avec la latitude du point clé de la localisation </t>
  </si>
  <si>
    <t xml:space="preserve">A valoriser avec la longitude du point clé de la localisation</t>
  </si>
  <si>
    <t xml:space="preserve">A valoriser avec l'altitude du point clé de la localisation, en mètre, ignoré côté NexSIS. </t>
  </si>
  <si>
    <t xml:space="preserve">A valoriser en degrés</t>
  </si>
  <si>
    <t xml:space="preserve">A valoriser en km/h (notamment fournie par eCall, tel, nouveau AML)</t>
  </si>
  <si>
    <t xml:space="preserve">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</si>
  <si>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 xml:space="preserve">EXACTE</t>
  </si>
  <si>
    <t xml:space="preserve">Objet qui permet de décrire le type et la valeur de l'URI utilisée par un contact, ici spécifiquement le contact du vecteur mobilisé.</t>
  </si>
  <si>
    <t xml:space="preserve">Type de contact </t>
  </si>
  <si>
    <t xml:space="preserve">A valoriser avec le type de l'URI utilisée. Cf nomenclature associée.</t>
  </si>
  <si>
    <t xml:space="preserve">A valoriser avec la valeur de l'URI utilisée
Le format attendu pour un numéro de téléphone est le suivant : +{indicatif pays}{numéro de téléphone}</t>
  </si>
  <si>
    <t xml:space="preserve">Commentaires</t>
  </si>
  <si>
    <t xml:space="preserve">Texte libre permettant de passer toute autre information sur la ressource (équipements supplémentaires / spécifiques, particularités du vecteur, etc.)</t>
  </si>
  <si>
    <t xml:space="preserve">SMUR pédiatrique</t>
  </si>
  <si>
    <t xml:space="preserve">Lieu de prise en charge</t>
  </si>
  <si>
    <t xml:space="preserve">Permet de décrire le lieu d'intervention de la ressource, notamment s'il est différent du lieu d'intervention du dossier</t>
  </si>
  <si>
    <t xml:space="preserve">originLocation</t>
  </si>
  <si>
    <t xml:space="preserve">Type d'origine/destination</t>
  </si>
  <si>
    <t xml:space="preserve">Indique le type de d'origine /destination de la ressource : service d’urgences d’un Etablissement de santé, autres services d’un établissement de santé, cabinet d’un professionnel de santé, domicile personnel, EPHAD ou long séjour, autre</t>
  </si>
  <si>
    <t xml:space="preserve">Indique le nom de lieu : nom commercial, Etablissement, forêt de Fontainebleau, lac du Der (plutôt à destination des systèmes).</t>
  </si>
  <si>
    <t xml:space="preserve">Permet d'identifier une structure commerciale ou un établissement</t>
  </si>
  <si>
    <t xml:space="preserve">Numéro, type et nom de la voie. Utilisé pour tout type de voie :  autoroute (PK, nom et sens), voie ferrée, voie navigable…
15-18 : Obligatoire et seule valeur des détails de l'adresse fournie par NexSIS.</t>
  </si>
  <si>
    <t xml:space="preserve">Numéro dans l'adresse (inclut point kilométrique sur l'autoroute, voie ferrée ou voie navigable). Inclut l'indice de répétition associé au numéro (par exemple bis, a…).</t>
  </si>
  <si>
    <t xml:space="preserve">Type et nom de la voie (venant d'un référentiel ou non)
Si les champs type et name sont renseignés, le champ callerName doit être valorisé ainsi : "{type} {nom}".</t>
  </si>
  <si>
    <t xml:space="preserve">Type de la voie</t>
  </si>
  <si>
    <t xml:space="preserve">Nom de la voie</t>
  </si>
  <si>
    <t xml:space="preserve">Nom officiel de la commune actuelle</t>
  </si>
  <si>
    <t xml:space="preserve">Code INSEE de la commune actuelle sur la base du Code Officiel géographique en vigueur. Obligatoire si le nom de la commune est renseigné.</t>
  </si>
  <si>
    <t xml:space="preserve">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</si>
  <si>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</si>
  <si>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 xml:space="preserve">Spécifie numéro d'appartement, de chambre, de bureau</t>
  </si>
  <si>
    <t xml:space="preserve">Indique les informations nécessaires  à l'identification de l'interphone (numéro, nom)</t>
  </si>
  <si>
    <t xml:space="preserve">Indique le ou les digicodes dans l'ordre de progression dans le bâtiment</t>
  </si>
  <si>
    <t xml:space="preserve">Indique l'ascenseur ou la cage d'escalier </t>
  </si>
  <si>
    <t xml:space="preserve">Nom du bâtiment</t>
  </si>
  <si>
    <t xml:space="preserve">Zone Sud</t>
  </si>
  <si>
    <t xml:space="preserve">Nom du service concerné au sein de l'établissement : Infirmerie, service finance, service cardiologie, …</t>
  </si>
  <si>
    <t xml:space="preserve">Numéro de téléphone permettant d'accéder au lieu de l'intervention, par exemple : téléphone du secrétariat, téléphone du service administratif ou se trouve le patient/victime.</t>
  </si>
  <si>
    <t xml:space="preserve">Groupe date heure de renseignement des coordonnées du point clé de la localisation. Permet de connaître la fraîcheur et donc pertinence des informations pour intervenir.</t>
  </si>
  <si>
    <t xml:space="preserve">obsDatime</t>
  </si>
  <si>
    <t xml:space="preserve">Fournir au maximum même s'il est imprécis (et adapter le champs "Précision" en fonction). 
Par exemple, sans adresse, il est possible de fournir le point GPS de la commune et d'adapter et préciser l'adresse en cours d'intervention.
Sera toujours fourni par NexSIS.</t>
  </si>
  <si>
    <t xml:space="preserve">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</si>
  <si>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</si>
  <si>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 xml:space="preserve">Longitude du point clé de la localisation</t>
  </si>
  <si>
    <t xml:space="preserve">Altitude du point clé de la localisation, en mètre, ignoré côté NexSIS. </t>
  </si>
  <si>
    <t xml:space="preserve">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</si>
  <si>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 xml:space="preserve">Indique le type de coordonnées utilisé. Actuellement, la seule valeur valide est «EPSG-4326», indiquant l'utilisation de WGS-84. Si ce champ n'est pas renseigné, on considère que la valeur par défaut est «».</t>
  </si>
  <si>
    <t xml:space="preserve">Permet de partager l'identifiant d'un objet ayant servi à l'établissement de la localisation. L'objet reprend la structure EXTERNAL_INFO de l'EMSI
L'identifiant BAN de l'adresse (clé d'interopérabilité) doit être partagé au maximum.</t>
  </si>
  <si>
    <t xml:space="preserve">Système fournissant le localisant :  NexSiS ou l'ORG_ID (BAN, IGN, ...)</t>
  </si>
  <si>
    <t xml:space="preserve">NexSIS, BAN, IGN, …</t>
  </si>
  <si>
    <t xml:space="preserve">Définition du type d'objet dans le système
Ex : SIG NexSIS / OSM ont plusieurs types de données -&gt; savoir du quel on parle (POI, tronçon de route, …) pour faciliter le filtre | Aussi table dans une base de données</t>
  </si>
  <si>
    <t xml:space="preserve">ega, egr, egm, DIO (données d'influence opérationnelle), …</t>
  </si>
  <si>
    <t xml:space="preserve">Identifiant unique dans le type. Exemple : UUID d'un ega</t>
  </si>
  <si>
    <t xml:space="preserve">id987</t>
  </si>
  <si>
    <t xml:space="preserve">Champ libre pour compléter les informations de localisation</t>
  </si>
  <si>
    <t xml:space="preserve">Destination</t>
  </si>
  <si>
    <t xml:space="preserve"># Voir Origine (type location)</t>
  </si>
  <si>
    <t xml:space="preserve">Permet de décrire la destination d'une ressource, lorsqu'elle est connue. (Par exemple : suite à une décisition d'orientation, une nouvelle demande de ressource doit être envoyée, ou lors d'un TIH)</t>
  </si>
  <si>
    <t xml:space="preserve">destinationLocation</t>
  </si>
  <si>
    <t xml:space="preserve">RS-SR:15-15:resourcesStatus</t>
  </si>
  <si>
    <t xml:space="preserve">RS-SR</t>
  </si>
  <si>
    <t xml:space="preserve">resourcesStatus</t>
  </si>
  <si>
    <t xml:space="preserve">resources.status</t>
  </si>
  <si>
    <t xml:space="preserve">eda:1.9:resourcesstatus</t>
  </si>
  <si>
    <t xml:space="preserve">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</si>
  <si>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 xml:space="preserve">fr.health.samu770.resource.VLM250 ;
fr.health.samu440.resource.DRFR15DDXAAJJJ0000.1</t>
  </si>
  <si>
    <t xml:space="preserve">RS-DR:15-15:resourcesRequest</t>
  </si>
  <si>
    <t xml:space="preserve">RS-DR</t>
  </si>
  <si>
    <t xml:space="preserve">resourcesRequest</t>
  </si>
  <si>
    <t xml:space="preserve">resources.request</t>
  </si>
  <si>
    <t xml:space="preserve">eda:1.9:resourcesrequest</t>
  </si>
  <si>
    <t xml:space="preserve">Demande de ressource</t>
  </si>
  <si>
    <t xml:space="preserve">Objet qui permet de transmettre les détails de la demande de ressources</t>
  </si>
  <si>
    <t xml:space="preserve">request</t>
  </si>
  <si>
    <t xml:space="preserve">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</si>
  <si>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REGEX:^([a-zA-Z0-9_-]+\.){3,8}request(\.[a-zA-Z0-9_-]+){1,2}$</t>
  </si>
  <si>
    <t xml:space="preserve">Date Heure de création de la demande</t>
  </si>
  <si>
    <t xml:space="preserve">A valoriser avec le groupe date heure de création de la demande</t>
  </si>
  <si>
    <t xml:space="preserve">Cadre conventionnel</t>
  </si>
  <si>
    <t xml:space="preserve">A valoriser avec le cadre conventionnel de la demande. Cf nomenclature associée</t>
  </si>
  <si>
    <t xml:space="preserve">HORS</t>
  </si>
  <si>
    <t xml:space="preserve">convention</t>
  </si>
  <si>
    <t xml:space="preserve">NOMENCLATURE: HubSante.cadre</t>
  </si>
  <si>
    <t xml:space="preserve">Effet à obtenir</t>
  </si>
  <si>
    <t xml:space="preserve">A valoriser avec le motif de la demande de ressource auprès du partenaire. Cf Nomenclature associée.</t>
  </si>
  <si>
    <t xml:space="preserve">purpose</t>
  </si>
  <si>
    <t xml:space="preserve">NOMENCLATURE: HubSante.effet</t>
  </si>
  <si>
    <t xml:space="preserve">Délai d'intervention</t>
  </si>
  <si>
    <t xml:space="preserve">A valoriser avec le délai d'intervention maximum souhaité (cf. nomenclature associée)</t>
  </si>
  <si>
    <t xml:space="preserve">deadline</t>
  </si>
  <si>
    <t xml:space="preserve">NOMENCLATURE: HubSante.delai</t>
  </si>
  <si>
    <t xml:space="preserve">Précisions sur la demande</t>
  </si>
  <si>
    <t xml:space="preserve">Texte libre permettant de détailler la demande</t>
  </si>
  <si>
    <t xml:space="preserve">Prévoir un kit pédiatrique</t>
  </si>
  <si>
    <t xml:space="preserve">Etat annulation</t>
  </si>
  <si>
    <t xml:space="preserve">A valoriser avec l'état d'annulation de la demande le cas échéant</t>
  </si>
  <si>
    <t xml:space="preserve">ANNULEE</t>
  </si>
  <si>
    <t xml:space="preserve">NOMENCLATURE: HubSante.etatDemande</t>
  </si>
  <si>
    <t xml:space="preserve">Permet de décrire le lieu d'intervention, lorsqu'il est différent de celui porté au dossier. Par exemple dans un cas de jonction, ou pour un TIH.</t>
  </si>
  <si>
    <t xml:space="preserve">EPHAD OU LONG SEJOUR</t>
  </si>
  <si>
    <t xml:space="preserve">ENUM: SERVICE D URGENCES D UN ETABLISSEMENT DE SANTE, AUTRES SERVICES D UN ETABLISSEMENT DE SANTE, CABINET D UN PROFESSIONNEL DE SANTE, DOMICILE, EPHAD OU LONG SEJOUR, AUTRE</t>
  </si>
  <si>
    <t xml:space="preserve">NOMENCLATURE: ENUM-SOURCE_Id_Lieu</t>
  </si>
  <si>
    <t xml:space="preserve">REGEX: [0-9]{5}</t>
  </si>
  <si>
    <t xml:space="preserve">obsDatetime</t>
  </si>
  <si>
    <t xml:space="preserve">NOMENCLATURE: ENUM-PRECISION</t>
  </si>
  <si>
    <t xml:space="preserve">NOMENCLATURE: ENUM-SOURCE_Loc</t>
  </si>
  <si>
    <t xml:space="preserve">NOMENCLATURE: ENUM-TYPE_Objet_Sys</t>
  </si>
  <si>
    <t xml:space="preserve">RS-RR:15-15:resourcesResponse</t>
  </si>
  <si>
    <t xml:space="preserve">RS-RR</t>
  </si>
  <si>
    <t xml:space="preserve">resourcesResponse</t>
  </si>
  <si>
    <t xml:space="preserve">resources.response</t>
  </si>
  <si>
    <t xml:space="preserve">eda:1.9:resourcesresponse</t>
  </si>
  <si>
    <t xml:space="preserve">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</si>
  <si>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Réponse à la demande de ressources</t>
  </si>
  <si>
    <t xml:space="preserve">Objet permettant de transmettre les détails de la réponse à une demande de ressource</t>
  </si>
  <si>
    <t xml:space="preserve">response</t>
  </si>
  <si>
    <t xml:space="preserve">Date Heure de réponse</t>
  </si>
  <si>
    <t xml:space="preserve">Groupe date heure de début de la demande</t>
  </si>
  <si>
    <t xml:space="preserve">Réponse</t>
  </si>
  <si>
    <t xml:space="preserve">A valoriser avec la réponse apportée. Cf Nomenclature associée
ACCEPTEE, REFUSEE, PARTIELLE, DIFFEREE</t>
  </si>
  <si>
    <t xml:space="preserve">ACCEPTEE</t>
  </si>
  <si>
    <t xml:space="preserve">answer</t>
  </si>
  <si>
    <t xml:space="preserve">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</si>
  <si>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</si>
  <si>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 xml:space="preserve">Précisions sur la réponse</t>
  </si>
  <si>
    <t xml:space="preserve">Commentaire libre permettant d'apporter toutes précisions utiles à la réponse. Le motif de refus est notifié dans ce champ.</t>
  </si>
  <si>
    <t xml:space="preserve">SMUR 1 non dispo</t>
  </si>
  <si>
    <t xml:space="preserve">RS-RPIS:15-RPIS:rpis</t>
  </si>
  <si>
    <t xml:space="preserve">RS-RPIS</t>
  </si>
  <si>
    <t xml:space="preserve">rpis</t>
  </si>
  <si>
    <t xml:space="preserve">eda:1.9:rpis</t>
  </si>
  <si>
    <t xml:space="preserve">15-RPIS-WIP</t>
  </si>
  <si>
    <t xml:space="preserve">Evènement</t>
  </si>
  <si>
    <t xml:space="preserve">Identifiant de l'organisation du SAMU qui engage le SMUR</t>
  </si>
  <si>
    <t xml:space="preserve">Numéro du SAMU régulant la mission SMUR. 
A valoriser par fr.health.samuXXX :  {pays}.{domaine}.{organisation}
</t>
  </si>
  <si>
    <t xml:space="preserve">Identifiant local du dossier de régulation médicale (DRM)</t>
  </si>
  <si>
    <t xml:space="preserve">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</si>
  <si>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 xml:space="preserve">DRFR15DDXAAJJJ00000</t>
  </si>
  <si>
    <t xml:space="preserve">Date et heure de création du dossier de régulation</t>
  </si>
  <si>
    <t xml:space="preserve">s'exprime au format ISO 8601 YYY-MM-DDThh:mm:ss</t>
  </si>
  <si>
    <t xml:space="preserve">creationDate</t>
  </si>
  <si>
    <t xml:space="preserve">Date et heure de la décision d’engagement du SMUR</t>
  </si>
  <si>
    <t xml:space="preserve">decisionDate</t>
  </si>
  <si>
    <t xml:space="preserve">FINESS juridique </t>
  </si>
  <si>
    <t xml:space="preserve">FINESS juridique établissement rattachement SMUR</t>
  </si>
  <si>
    <t xml:space="preserve">ressourceFinessLegal</t>
  </si>
  <si>
    <t xml:space="preserve">FINESS géographique </t>
  </si>
  <si>
    <t xml:space="preserve">FINESS géographique établissement rattachement SMUR ou antenne SMUR</t>
  </si>
  <si>
    <t xml:space="preserve">ressourceFinessGeo</t>
  </si>
  <si>
    <t xml:space="preserve">Type de structure SMUR</t>
  </si>
  <si>
    <t xml:space="preserve">9 = Antenne SMUR, 0 = SMUR général, 1 = SMUR pédiatrique, 2 = SMUR neonatal </t>
  </si>
  <si>
    <t xml:space="preserve">ressourceStructure</t>
  </si>
  <si>
    <t xml:space="preserve">Régulation médicale</t>
  </si>
  <si>
    <t xml:space="preserve">regulation</t>
  </si>
  <si>
    <t xml:space="preserve">Circonstances ayant données lieu à l’appel</t>
  </si>
  <si>
    <t xml:space="preserve">A valoriser avec le code de la nomenclature associée.</t>
  </si>
  <si>
    <t xml:space="preserve">AVPAR</t>
  </si>
  <si>
    <t xml:space="preserve">NOMENCLATURE: HubSante.fait</t>
  </si>
  <si>
    <t xml:space="preserve">Libellé court</t>
  </si>
  <si>
    <t xml:space="preserve">Accident routier</t>
  </si>
  <si>
    <t xml:space="preserve">Motif de recours </t>
  </si>
  <si>
    <t xml:space="preserve"># Voir whatsHappen (type codeAndLabel)</t>
  </si>
  <si>
    <t xml:space="preserve">Niveau de médicalisation initial</t>
  </si>
  <si>
    <t xml:space="preserve">Type d’équipe (médical, paramédicale, secouriste).
A valoriser par un code de la nomenclature  SI-SAMU-NIVSOIN.
Permet de déduire avec la donnée "niveau de médicalisation du transport", si un UMHP est devenu un SMUR. </t>
  </si>
  <si>
    <t xml:space="preserve">PARAMED</t>
  </si>
  <si>
    <t xml:space="preserve">ID Patient</t>
  </si>
  <si>
    <r>
      <rPr>
        <sz val="11"/>
        <color rgb="FF000000"/>
        <rFont val="Calibri"/>
        <family val="2"/>
        <charset val="1"/>
      </rPr>
      <t xml:space="preserve">Identifiant unique du patient. 
A valoriser par {ID du SAMU qui engage le SMUR}.{ID du DRM}.P{numéro d’ordre chronologique} : </t>
    </r>
    <r>
      <rPr>
        <i val="true"/>
        <sz val="11"/>
        <color rgb="FF000000"/>
        <rFont val="Calibri"/>
        <family val="2"/>
        <charset val="1"/>
      </rPr>
      <t xml:space="preserve">fr.health.samu690.DRFR15DDXAAJJJ00001.P01</t>
    </r>
  </si>
  <si>
    <t xml:space="preserve">fr.health.samu690.patient.DRFR15DDXAAJJJ00001.1</t>
  </si>
  <si>
    <t xml:space="preserve">Date de naissance du patient</t>
  </si>
  <si>
    <t xml:space="preserve">17/02/1936</t>
  </si>
  <si>
    <t xml:space="preserve">Sexe</t>
  </si>
  <si>
    <t xml:space="preserve">Sexe du patient, suivant le libellé court de la nomenclature NOS-NOMENC_SEXE</t>
  </si>
  <si>
    <t xml:space="preserve">Adresse de résidence</t>
  </si>
  <si>
    <t xml:space="preserve">residentialAddress</t>
  </si>
  <si>
    <t xml:space="preserve">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</si>
  <si>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</si>
  <si>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 xml:space="preserve">Levallois-Perret</t>
  </si>
  <si>
    <t xml:space="preserve">Intervention</t>
  </si>
  <si>
    <t xml:space="preserve">intervention</t>
  </si>
  <si>
    <t xml:space="preserve">Lieu d'intervention</t>
  </si>
  <si>
    <t xml:space="preserve">Type de lieu d’intervention</t>
  </si>
  <si>
    <t xml:space="preserve">A valoriser avec un code de la nomenclature CISU-Code_Type_de_lieu.</t>
  </si>
  <si>
    <t xml:space="preserve">DOMPAV</t>
  </si>
  <si>
    <t xml:space="preserve">NOMENCLATURE: HubSante.lieu</t>
  </si>
  <si>
    <t xml:space="preserve">FINESS géographique de l’établissement </t>
  </si>
  <si>
    <t xml:space="preserve">Finess géographique et juridique de l’établissement de santé. 
A renseigner uniquement si l'intervention a lieu dans un établissement de santé. </t>
  </si>
  <si>
    <t xml:space="preserve">finessGeo</t>
  </si>
  <si>
    <t xml:space="preserve">Unité fonctionnelle </t>
  </si>
  <si>
    <t xml:space="preserve">Unité fonctionnelle de l'établissement de santé. 
A renseigner uniquement si l'intervention a lieu dans un établissement de santé. </t>
  </si>
  <si>
    <t xml:space="preserve">service</t>
  </si>
  <si>
    <t xml:space="preserve">Adresse de l'intervention</t>
  </si>
  <si>
    <t xml:space="preserve">Code INSEE de la commune actuelle sur la base du Code Officiel géographique en vigueur. Obligatoire si le nom de la commune est renseigné.
Le Code INSEE peut également précisé le pays d'intervention, si étranger. </t>
  </si>
  <si>
    <t xml:space="preserve">Composition de l'équipage</t>
  </si>
  <si>
    <t xml:space="preserve">Médecin</t>
  </si>
  <si>
    <t xml:space="preserve">Permet d'identifier si un médecin compose l'équipe.
Cette donnée peut être automatiquement déduite, dès que le nom et prénom du médecin est saisi sur la tablette. </t>
  </si>
  <si>
    <t xml:space="preserve">doctor</t>
  </si>
  <si>
    <t xml:space="preserve">Infirmier</t>
  </si>
  <si>
    <t xml:space="preserve">Permet d'identifier si un infirmier compose l'équipe.
Cette donnée peut être automatiquement déduite, dès que le nom et prénom de l'infirmier est saisi sur la tablette. </t>
  </si>
  <si>
    <t xml:space="preserve">nurse</t>
  </si>
  <si>
    <t xml:space="preserve">Ambulancier/Pilote</t>
  </si>
  <si>
    <t xml:space="preserve">Permet d'identifier si un ambulancier compose l'équipe.
Cette donnée peut être automatiquement déduite, dès que le nom et prénom de l'ambulancier est saisi sur la tablette. </t>
  </si>
  <si>
    <t xml:space="preserve">driver</t>
  </si>
  <si>
    <t xml:space="preserve">Statuts des horaires du SMUR</t>
  </si>
  <si>
    <t xml:space="preserve">smurStatus</t>
  </si>
  <si>
    <t xml:space="preserve">resourceStatus</t>
  </si>
  <si>
    <t xml:space="preserve">Date et heure du départ de la base SMUR</t>
  </si>
  <si>
    <t xml:space="preserve">Date et heure à laquelle le SMUR quitte sa base. 
s'exprime au format ISO 8601 YYY-MM-DDThh:mm:ss</t>
  </si>
  <si>
    <t xml:space="preserve">departSmur</t>
  </si>
  <si>
    <t xml:space="preserve">Date et heure de l’arrivée sur les lieux de l’intervention</t>
  </si>
  <si>
    <t xml:space="preserve">Date et heure à laquelle le SMUR arrive sur les lieux de l'intervention. 
s'exprime au format ISO 8601 YYY-MM-DDThh:mm:ss</t>
  </si>
  <si>
    <t xml:space="preserve">arrivedSmur</t>
  </si>
  <si>
    <t xml:space="preserve">Date et heure du départ des lieux de l’intervention</t>
  </si>
  <si>
    <t xml:space="preserve">Date et heure à laquelle le SMUR quitte les lieux de l'intervention. 
s'exprime au format ISO 8601 YYY-MM-DDThh:mm:ss</t>
  </si>
  <si>
    <t xml:space="preserve">departLocation</t>
  </si>
  <si>
    <t xml:space="preserve">Date et heure d’arrivée à destination</t>
  </si>
  <si>
    <t xml:space="preserve">Date et heure à laquelle le SMUR qui transporte arrive à destination. 
s'exprime au format ISO 8601 YYY-MM-DDThh:mm:ss</t>
  </si>
  <si>
    <t xml:space="preserve">arrivedDestination</t>
  </si>
  <si>
    <t xml:space="preserve">Date et heure de disponibilité de l’équipe</t>
  </si>
  <si>
    <t xml:space="preserve">Date et heure à laquelle le SMUR est disponible (dispose de tout les équipements pour faire une autre intervention). 
s'exprime au format ISO 8601 YYY-MM-DDThh:mm:ss</t>
  </si>
  <si>
    <t xml:space="preserve">teamAvailable</t>
  </si>
  <si>
    <t xml:space="preserve">Date et heure de retour à la base SMUR</t>
  </si>
  <si>
    <t xml:space="preserve">Date et heure à laquelle le SMUR est de retour à la base. 
s'exprime au format ISO 8601 YYY-MM-DDThh:mm:ss</t>
  </si>
  <si>
    <t xml:space="preserve">returnSmur</t>
  </si>
  <si>
    <t xml:space="preserve">Actes réalisés par le SMUR</t>
  </si>
  <si>
    <t xml:space="preserve">Précise aussi bien les actes réalisés par le SMUR sur le lieu de l'intervention à son arrivée que ceux réalisés avant son intervention. 
A valoriser avec un code de la nomenclature ACTES_SMUR(à venir).</t>
  </si>
  <si>
    <t xml:space="preserve">procedure</t>
  </si>
  <si>
    <t xml:space="preserve">Diagnostic principal SMUR</t>
  </si>
  <si>
    <t xml:space="preserve">Thésaurus SFMU-FEDORU.
A valoriser par un code de la nomenclature Diagnostic SMUR(à venir).</t>
  </si>
  <si>
    <t xml:space="preserve">MD30.Z</t>
  </si>
  <si>
    <t xml:space="preserve">Diagnostic associé  SMUR</t>
  </si>
  <si>
    <t xml:space="preserve">Thésaurus SFMU-FEDORU.
A valoriser par un code de la nomenclature Diagnostic SMUR (à venir).</t>
  </si>
  <si>
    <t xml:space="preserve">8B22.1</t>
  </si>
  <si>
    <t xml:space="preserve">associatedDiagnosis</t>
  </si>
  <si>
    <t xml:space="preserve">Décision d'orientation</t>
  </si>
  <si>
    <t xml:space="preserve">orientation</t>
  </si>
  <si>
    <t xml:space="preserve">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</si>
  <si>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</si>
  <si>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 xml:space="preserve">TEMP</t>
  </si>
  <si>
    <t xml:space="preserve">Pays de destination</t>
  </si>
  <si>
    <t xml:space="preserve">A valoriser par le code de la nomenclature associée</t>
  </si>
  <si>
    <t xml:space="preserve">destinationCountry</t>
  </si>
  <si>
    <t xml:space="preserve">Catégorie de l'établissement de destination</t>
  </si>
  <si>
    <t xml:space="preserve">destinationCategory</t>
  </si>
  <si>
    <t xml:space="preserve">Type d'activité de soins de l'unité fonctionnelle de destination</t>
  </si>
  <si>
    <t xml:space="preserve">A valoriser par le code de la nomenclature ActiviteOperationnelle (à venir). </t>
  </si>
  <si>
    <t xml:space="preserve">healthcareType</t>
  </si>
  <si>
    <t xml:space="preserve">FINESS géographique</t>
  </si>
  <si>
    <t xml:space="preserve">FINESS géographique de l’établissement de destination (9 chiffres)</t>
  </si>
  <si>
    <t xml:space="preserve">finess</t>
  </si>
  <si>
    <t xml:space="preserve">Transport</t>
  </si>
  <si>
    <t xml:space="preserve">Moyen de transport</t>
  </si>
  <si>
    <t xml:space="preserve">Précise le type de moyen engagé dans l'intervention (SMUR, TSU, HOSPIT, etc.). 
A valoriser par un code de la nomenclature SI-SAMU-TYPE_MOYEN.</t>
  </si>
  <si>
    <t xml:space="preserve">Type de vecteur de transport</t>
  </si>
  <si>
    <t xml:space="preserve">Précise le type de véhicule terrestre / aérien / maritime engagé dans l'intervention.
A valoriser par un code de la nomenclature SI-SAMU-TYPE_VECTEUR.</t>
  </si>
  <si>
    <t xml:space="preserve">Niveau de médicalisation du transport</t>
  </si>
  <si>
    <t xml:space="preserve">Type d’équipe (médical, paramédicale, secouriste).
A valoriser par un code de la nomenclature SI-SAMU-NIVSOIN.</t>
  </si>
  <si>
    <t xml:space="preserve">RS-BPV:15-SMUR:interventionReport</t>
  </si>
  <si>
    <t xml:space="preserve">RS-BPV</t>
  </si>
  <si>
    <t xml:space="preserve">interventionReport</t>
  </si>
  <si>
    <t xml:space="preserve">interventionreport</t>
  </si>
  <si>
    <t xml:space="preserve">eda:1.9:interventionreport</t>
  </si>
  <si>
    <t xml:space="preserve">15-TSU</t>
  </si>
  <si>
    <t xml:space="preserve">Identifiant partagé du dossier </t>
  </si>
  <si>
    <t xml:space="preserve">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</si>
  <si>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fr.health.samu440.DRFR15DDXAAJJJ00000</t>
  </si>
  <si>
    <t xml:space="preserve">Identifiant du bilan</t>
  </si>
  <si>
    <t xml:space="preserve">Identifiant du bilan du logiciel SMUR</t>
  </si>
  <si>
    <t xml:space="preserve">38978624DM</t>
  </si>
  <si>
    <t xml:space="preserve">reportId</t>
  </si>
  <si>
    <t xml:space="preserve">Professionnel de santé qui réalise le bilan</t>
  </si>
  <si>
    <t xml:space="preserve">Objet qui permet de décrire le professionnel de santé qui rédige le bilan. </t>
  </si>
  <si>
    <t xml:space="preserve">redactor</t>
  </si>
  <si>
    <t xml:space="preserve">A valoriser avec le prénom et le nom du rédacteur, un numéro RPPS, un matricule, etc. </t>
  </si>
  <si>
    <t xml:space="preserve">Julien Montclar</t>
  </si>
  <si>
    <t xml:space="preserve">A valoriser avec le rôle du rédacteur du bilan (ex. médecin, infirmier, ambulancier). </t>
  </si>
  <si>
    <t xml:space="preserve">MEDECIN</t>
  </si>
  <si>
    <t xml:space="preserve">Date et heure de l'envoi du bilan</t>
  </si>
  <si>
    <t xml:space="preserve">Type de lien </t>
  </si>
  <si>
    <t xml:space="preserve">URL</t>
  </si>
  <si>
    <t xml:space="preserve">URL du bilan qui permet à l'utilisateur du LRM d'ouvrir le bilan dans une page dédiée</t>
  </si>
  <si>
    <t xml:space="preserve">https://hub.esante.gouv.fr/</t>
  </si>
  <si>
    <t xml:space="preserve">url</t>
  </si>
  <si>
    <t xml:space="preserve">ID partagé du patient</t>
  </si>
  <si>
    <t xml:space="preserve">Nom de naissance du patient</t>
  </si>
  <si>
    <t xml:space="preserve">Nom usuel</t>
  </si>
  <si>
    <t xml:space="preserve">Nom usuel du patient</t>
  </si>
  <si>
    <t xml:space="preserve">Maleis</t>
  </si>
  <si>
    <t xml:space="preserve">Prénom usuel</t>
  </si>
  <si>
    <t xml:space="preserve">Prénom du patient</t>
  </si>
  <si>
    <t xml:space="preserve">La date de naissance n'est pas tout le temps connu, cette donnée permet d'indiquer un âge entier. </t>
  </si>
  <si>
    <t xml:space="preserve">PY69</t>
  </si>
  <si>
    <t xml:space="preserve">Sexe du patient, suivant le libellé court de la nomenclature SI-SAMU-NOMENC_SEXE</t>
  </si>
  <si>
    <t xml:space="preserve">Nationalité</t>
  </si>
  <si>
    <t xml:space="preserve">Nationalité du patient</t>
  </si>
  <si>
    <t xml:space="preserve">nationality</t>
  </si>
  <si>
    <t xml:space="preserve">NOMENCLATURE: CISU-Code_Type_de_lieu</t>
  </si>
  <si>
    <t xml:space="preserve">Numéro, type et nom de la voie. 
Utilisé pour tout type de voie :  autoroute (PK, nom et sens), voie ferrée, voie navigable…
Obligatoire et seule valeur des détails de l'adresse fournie par NexSIS.</t>
  </si>
  <si>
    <t xml:space="preserve">9 Boulevard du Montparnasse</t>
  </si>
  <si>
    <t xml:space="preserve">Evaluation / Diagnostic médical</t>
  </si>
  <si>
    <t xml:space="preserve">evaluation</t>
  </si>
  <si>
    <t xml:space="preserve">Actes réalisés par la ressource</t>
  </si>
  <si>
    <t xml:space="preserve">Précise aussi bien les actes réalisés par le SMUR sur le lieu de l'intervention à son arrivée que ceux réalisés avant son intervention. 
A valoriser avec un code de la nomenclature ACTES_SMUR.</t>
  </si>
  <si>
    <t xml:space="preserve">O20</t>
  </si>
  <si>
    <t xml:space="preserve">Thésaurus SFMU-FEDORU.
A valoriser par un code de la nomenclature Diagnostic SMUR.</t>
  </si>
  <si>
    <t xml:space="preserve">Paramètres vitaux</t>
  </si>
  <si>
    <t xml:space="preserve">parameter</t>
  </si>
  <si>
    <t xml:space="preserve">vital</t>
  </si>
  <si>
    <t xml:space="preserve">Type de constante</t>
  </si>
  <si>
    <t xml:space="preserve">Permet d'indiquer le type de constante associé à la valeur envoyée</t>
  </si>
  <si>
    <t xml:space="preserve">Fréquence cardiaque, Pression artérielle, Saturation en oxygène, Fréquence respiratoire, Température, Hemoglucotest, Glasgow</t>
  </si>
  <si>
    <t xml:space="preserve">ENUM: FREQUENCE_CARDIAQUE, PRESSION_ARTERIELLE, SATURATION_OXYGENE, FREQUENCE_RESPIRATOIRE, TEMPERATURE, HEMOGLOCOTEST, GLASGOW</t>
  </si>
  <si>
    <t xml:space="preserve">Valeur de la dernière constante prise</t>
  </si>
  <si>
    <t xml:space="preserve">Indique la valeur de la dernière constante prise</t>
  </si>
  <si>
    <t xml:space="preserve">Précision sur la mesure</t>
  </si>
  <si>
    <t xml:space="preserve">Permet d'apporter des précisions sur la constante prise (ex. le débit d'oxygène lors de la prise de constante de saturation en oxygène)</t>
  </si>
  <si>
    <t xml:space="preserve">bras droit/gauche, débit oxygène, …</t>
  </si>
  <si>
    <t xml:space="preserve">Précise les antécédents du patient</t>
  </si>
  <si>
    <t xml:space="preserve">Traitement</t>
  </si>
  <si>
    <t xml:space="preserve">Précise le traitement du patient</t>
  </si>
  <si>
    <t xml:space="preserve">Permettrait de concaténer dans une zone de commentaire d'autres champs (ex. anamnèse : allergies, traitements, symptomes, antécédents)</t>
  </si>
  <si>
    <t xml:space="preserve">RS-URL:15-SMUR:documentLink</t>
  </si>
  <si>
    <t xml:space="preserve">RS-URL</t>
  </si>
  <si>
    <t xml:space="preserve">documentLink</t>
  </si>
  <si>
    <t xml:space="preserve">documentlink</t>
  </si>
  <si>
    <t xml:space="preserve">eda:1.9:documentlink</t>
  </si>
  <si>
    <t xml:space="preserve">Identifiant partagé du dossier de régulation médicale (DRM)</t>
  </si>
  <si>
    <t xml:space="preserve">REGEX:^([a-zA-Z0-9_-]+\.?){4,10}$</t>
  </si>
  <si>
    <t xml:space="preserve">Identifiant partagé du patient</t>
  </si>
  <si>
    <t xml:space="preserve">Indique l'identifiant partagé du patient auquel les documents sont rattachés</t>
  </si>
  <si>
    <t xml:space="preserve">S'exprime au format ISO 8601 YYY-MM-DDThh:mm:ss</t>
  </si>
  <si>
    <t xml:space="preserve">Identifiant de connexion</t>
  </si>
  <si>
    <t xml:space="preserve">connectionDetail</t>
  </si>
  <si>
    <t xml:space="preserve">Login</t>
  </si>
  <si>
    <t xml:space="preserve">Indique l'identifiant à utiliser pour se connecter à l'application web et accéder à l'URL partagée</t>
  </si>
  <si>
    <t xml:space="preserve">dmartin</t>
  </si>
  <si>
    <t xml:space="preserve">login</t>
  </si>
  <si>
    <t xml:space="preserve">Mot de passe</t>
  </si>
  <si>
    <t xml:space="preserve">Indique le mot de passe à utiliser pour se connecter à l'application web et accéder à l'URL partagée</t>
  </si>
  <si>
    <t xml:space="preserve">638HG19*</t>
  </si>
  <si>
    <t xml:space="preserve">password</t>
  </si>
  <si>
    <t xml:space="preserve">Code d'accès au bilan</t>
  </si>
  <si>
    <t xml:space="preserve">Code unitaire par bilan qui permet à l'utilisateur qui reçoit ce lien d'ouvrir le bilan lorsque celui ci ne nécessite pas une connexion nominative mais un code bilan </t>
  </si>
  <si>
    <t xml:space="preserve">5f5h8s9</t>
  </si>
  <si>
    <t xml:space="preserve">Documents</t>
  </si>
  <si>
    <t xml:space="preserve">document</t>
  </si>
  <si>
    <t xml:space="preserve">Type de document</t>
  </si>
  <si>
    <t xml:space="preserve">Informe l'utilisateur du type de document que le lien URL permet d'ouvrir</t>
  </si>
  <si>
    <t xml:space="preserve">Photo, ECG, bilan pdf, prescription, carte d'identité</t>
  </si>
  <si>
    <t xml:space="preserve">documentType</t>
  </si>
  <si>
    <t xml:space="preserve">URL qui permet à l'utilisateur du LRM d'ouvrir le type de document précisé dans le champ précédent</t>
  </si>
  <si>
    <t xml:space="preserve">RS-RPIS-WIP:15-SMUR:rpisWip</t>
  </si>
  <si>
    <t xml:space="preserve">RS-RPIS-WIP</t>
  </si>
  <si>
    <t xml:space="preserve">rpisWip</t>
  </si>
  <si>
    <t xml:space="preserve">rpis.wip</t>
  </si>
  <si>
    <t xml:space="preserve">15-ATSU</t>
  </si>
  <si>
    <t xml:space="preserve">Identifiant du SAMU qui engage le SMUR</t>
  </si>
  <si>
    <t xml:space="preserve">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</si>
  <si>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Identifiant du dossier de régulation médicale (DRM)</t>
  </si>
  <si>
    <t xml:space="preserve">Valoriser avec le numéro du dossier dans le SI de l'émetteur du message. 
Ce champ est facultatif, il ne sera notamment pas transmis par NexSIS.
</t>
  </si>
  <si>
    <t xml:space="preserve">Date et heure du bilan initial</t>
  </si>
  <si>
    <t xml:space="preserve">Lien URL du bilan</t>
  </si>
  <si>
    <t xml:space="preserve">PDF du bilan</t>
  </si>
  <si>
    <t xml:space="preserve">pdf</t>
  </si>
  <si>
    <t xml:space="preserve">Electrocardiogramme</t>
  </si>
  <si>
    <t xml:space="preserve">ecg</t>
  </si>
  <si>
    <t xml:space="preserve">Autres</t>
  </si>
  <si>
    <t xml:space="preserve">Identité patient/victime</t>
  </si>
  <si>
    <t xml:space="preserve">Identifiant technique du patient pour permettre les rapprochements d'info</t>
  </si>
  <si>
    <t xml:space="preserve">fr.health.samu440.DRFR15DDXAAJJJ0000.P01</t>
  </si>
  <si>
    <t xml:space="preserve">sharedId</t>
  </si>
  <si>
    <t xml:space="preserve">ID patient local</t>
  </si>
  <si>
    <t xml:space="preserve">P12342</t>
  </si>
  <si>
    <t xml:space="preserve">localId</t>
  </si>
  <si>
    <t xml:space="preserve">Nom du patient</t>
  </si>
  <si>
    <t xml:space="preserve">Age valeur</t>
  </si>
  <si>
    <t xml:space="preserve">cityCode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</si>
  <si>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</si>
  <si>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Anamnèse</t>
  </si>
  <si>
    <t xml:space="preserve">medicalSummary</t>
  </si>
  <si>
    <t xml:space="preserve">summary</t>
  </si>
  <si>
    <t xml:space="preserve">Texte libre  pour décrire les antécédents du patient et familiaux</t>
  </si>
  <si>
    <t xml:space="preserve">Texte libre  pour décrire les traitements du patient</t>
  </si>
  <si>
    <t xml:space="preserve">treatments</t>
  </si>
  <si>
    <t xml:space="preserve">Texte libre pour décrire les allergies du patient</t>
  </si>
  <si>
    <t xml:space="preserve">Symptômes</t>
  </si>
  <si>
    <t xml:space="preserve">Texte libre pour décrire les symptomes actuels du patient</t>
  </si>
  <si>
    <t xml:space="preserve">symptoms</t>
  </si>
  <si>
    <t xml:space="preserve">Signes vitaux</t>
  </si>
  <si>
    <t xml:space="preserve">Fréquence cardiaque</t>
  </si>
  <si>
    <t xml:space="preserve">Exprimée en battements par minute (bpm)</t>
  </si>
  <si>
    <t xml:space="preserve">heartRate</t>
  </si>
  <si>
    <t xml:space="preserve">Pouls Régulier</t>
  </si>
  <si>
    <t xml:space="preserve">Si vrai, le poul est régulier, si faux, le poux est irrégulier. </t>
  </si>
  <si>
    <t xml:space="preserve">pulse</t>
  </si>
  <si>
    <t xml:space="preserve">Pression artérielle </t>
  </si>
  <si>
    <t xml:space="preserve">bloodPressure</t>
  </si>
  <si>
    <t xml:space="preserve">Saturation en oxygène</t>
  </si>
  <si>
    <t xml:space="preserve">oxygen</t>
  </si>
  <si>
    <t xml:space="preserve">Fréquence respiratoire</t>
  </si>
  <si>
    <t xml:space="preserve">La fréquence respiratoire est généralement exprimée en nombre de respirations par minute (rpm)</t>
  </si>
  <si>
    <t xml:space="preserve">breathingRate</t>
  </si>
  <si>
    <t xml:space="preserve">Coloration cutanée</t>
  </si>
  <si>
    <t xml:space="preserve">skinTone</t>
  </si>
  <si>
    <t xml:space="preserve">Sueurs</t>
  </si>
  <si>
    <t xml:space="preserve">sweats</t>
  </si>
  <si>
    <t xml:space="preserve">Température</t>
  </si>
  <si>
    <t xml:space="preserve">temperature</t>
  </si>
  <si>
    <t xml:space="preserve">Hemoglucotest</t>
  </si>
  <si>
    <t xml:space="preserve">glucoseTest</t>
  </si>
  <si>
    <t xml:space="preserve">Bilan neurologique</t>
  </si>
  <si>
    <t xml:space="preserve">neuroSummmary</t>
  </si>
  <si>
    <t xml:space="preserve">Conscience</t>
  </si>
  <si>
    <t xml:space="preserve">conscious</t>
  </si>
  <si>
    <t xml:space="preserve">Déficit neurologique/moteur</t>
  </si>
  <si>
    <t xml:space="preserve">Aigu, brutal, sensitif ou moteur</t>
  </si>
  <si>
    <t xml:space="preserve">motorDeficit</t>
  </si>
  <si>
    <t xml:space="preserve">Etat pupillair</t>
  </si>
  <si>
    <t xml:space="preserve">Symétrique, asymétrique, myosis, intermédiaire, mydraise</t>
  </si>
  <si>
    <t xml:space="preserve">eyes</t>
  </si>
  <si>
    <t xml:space="preserve">Désorienté</t>
  </si>
  <si>
    <t xml:space="preserve">Disoriented</t>
  </si>
  <si>
    <t xml:space="preserve">Convulsions en cours</t>
  </si>
  <si>
    <t xml:space="preserve">seizures</t>
  </si>
  <si>
    <t xml:space="preserve">Confusion</t>
  </si>
  <si>
    <t xml:space="preserve">confusion</t>
  </si>
  <si>
    <t xml:space="preserve">Perte de connaissance initiale</t>
  </si>
  <si>
    <t xml:space="preserve">initiallyUnconscious</t>
  </si>
  <si>
    <t xml:space="preserve">Hémorragie en cours</t>
  </si>
  <si>
    <t xml:space="preserve">hemorrhage</t>
  </si>
  <si>
    <t xml:space="preserve">Ventilation en cours</t>
  </si>
  <si>
    <t xml:space="preserve">ventilation</t>
  </si>
  <si>
    <t xml:space="preserve">Obstruction des voies respiratoires</t>
  </si>
  <si>
    <t xml:space="preserve">airwayObstruction</t>
  </si>
  <si>
    <t xml:space="preserve">Actes réalisés</t>
  </si>
  <si>
    <t xml:space="preserve">Position d'attente</t>
  </si>
  <si>
    <t xml:space="preserve">Tredelenburg, assis, PLS, Hamac</t>
  </si>
  <si>
    <t xml:space="preserve">waitingState</t>
  </si>
  <si>
    <t xml:space="preserve">Oxygène</t>
  </si>
  <si>
    <t xml:space="preserve">Lunettes, masques, débit</t>
  </si>
  <si>
    <t xml:space="preserve">Pansement</t>
  </si>
  <si>
    <t xml:space="preserve">bandage</t>
  </si>
  <si>
    <t xml:space="preserve">Garrot</t>
  </si>
  <si>
    <t xml:space="preserve">Attelles</t>
  </si>
  <si>
    <t xml:space="preserve">splint</t>
  </si>
  <si>
    <t xml:space="preserve">Immobilisation</t>
  </si>
  <si>
    <t xml:space="preserve">static</t>
  </si>
  <si>
    <t xml:space="preserve">Massage cardiaque externe</t>
  </si>
  <si>
    <t xml:space="preserve">Le geste d'urgence "Massage cardiaque externe" a-t-il été réalisé par l'équipe secouriste ?</t>
  </si>
  <si>
    <t xml:space="preserve">Ventilation artificielle</t>
  </si>
  <si>
    <t xml:space="preserve">Le geste d'urgence "Ventilation artificielle" a-t-il été réalisé par l'équipe secouriste ?</t>
  </si>
  <si>
    <t xml:space="preserve">Arrêt hémorragie grave</t>
  </si>
  <si>
    <t xml:space="preserve">Le geste d'urgence "Arrêt hémorragie grave" a-t-il été réalisé par l'équipe secouriste ?</t>
  </si>
  <si>
    <t xml:space="preserve">Choc électrique par défibrillation</t>
  </si>
  <si>
    <t xml:space="preserve">Le geste d'urgence "Choc électrique par défibrillation" a-t-il été réalisé par l'équipe secouriste ?</t>
  </si>
  <si>
    <t xml:space="preserve">Désobstruction des voies aériennes supérieures</t>
  </si>
  <si>
    <t xml:space="preserve">Le geste d'urgence "Désobstruction des voies aériennes supérieures" a-t-il été réalisé par l'équipe secouriste ?</t>
  </si>
  <si>
    <t xml:space="preserve">Dégagement d'urgence</t>
  </si>
  <si>
    <t xml:space="preserve">Le geste d'urgence "Dégagement d'urgence" a-t-il été réalisé par l'équipe secouriste ?</t>
  </si>
  <si>
    <t xml:space="preserve">Aucun geste d'urgence réalisé</t>
  </si>
  <si>
    <t xml:space="preserve">Le geste d'urgence "Aucun geste d'urgence réalisé" a-t-il été réalisé par l'équipe secouriste ?</t>
  </si>
  <si>
    <t xml:space="preserve">Orientation</t>
  </si>
  <si>
    <t xml:space="preserve">Orientation souhaitée par le SMUR</t>
  </si>
  <si>
    <t xml:space="preserve">wiish</t>
  </si>
  <si>
    <t xml:space="preserve">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</si>
  <si>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</si>
  <si>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 xml:space="preserve">Niveau de médicalisation souhaitée</t>
  </si>
  <si>
    <t xml:space="preserve">teamCare</t>
  </si>
  <si>
    <t xml:space="preserve">Destination souhaitée</t>
  </si>
  <si>
    <t xml:space="preserve">Type de moyen</t>
  </si>
  <si>
    <t xml:space="preserve">resourceCategory</t>
  </si>
  <si>
    <t xml:space="preserve">ID vecteur partagé</t>
  </si>
  <si>
    <t xml:space="preserve">Date et heure de départ vers la destination</t>
  </si>
  <si>
    <t xml:space="preserve">startTime</t>
  </si>
  <si>
    <t xml:space="preserve">Date et heure d’arrivée vers la destination </t>
  </si>
  <si>
    <t xml:space="preserve">arrivalTime</t>
  </si>
  <si>
    <t xml:space="preserve">RS-ENG:15-SMUR:createEngagement </t>
  </si>
  <si>
    <t xml:space="preserve">Couleurs</t>
  </si>
  <si>
    <t xml:space="preserve">DistributionElement</t>
  </si>
  <si>
    <t xml:space="preserve">Validations</t>
  </si>
  <si>
    <t xml:space="preserve">Commentaire Hub Santé</t>
  </si>
  <si>
    <t xml:space="preserve">Commentaire Philippe Dreyfus</t>
  </si>
  <si>
    <t xml:space="preserve">Commentaire FBE</t>
  </si>
  <si>
    <t xml:space="preserve">Commentaire Yann Penverne</t>
  </si>
  <si>
    <t xml:space="preserve">NexSIS</t>
  </si>
  <si>
    <t xml:space="preserve">NR</t>
  </si>
  <si>
    <t xml:space="preserve">Numéro de requête émise</t>
  </si>
  <si>
    <t xml:space="preserve">REGEX: ^([a-zA-Z0-9_-]+\.){3,9}$</t>
  </si>
  <si>
    <t xml:space="preserve">Quand on reçoit un dossier, on en crée un de notre côté aussi. Clé de pouvoir partager le numéro de dossier du voisin =&gt; pouvoir passer son ID locale dans un autre champs</t>
  </si>
  <si>
    <t xml:space="preserve">n'est-ce pas le numero de dossier ?</t>
  </si>
  <si>
    <t xml:space="preserve">NO</t>
  </si>
  <si>
    <t xml:space="preserve">Numéro de dossier de l'émetteur</t>
  </si>
  <si>
    <t xml:space="preserve">Décisions</t>
  </si>
  <si>
    <t xml:space="preserve">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</si>
  <si>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idPat</t>
  </si>
  <si>
    <t xml:space="preserve">nomenclature SI SAMU NOMENC_TYPE_DEC_ORiENT</t>
  </si>
  <si>
    <t xml:space="preserve">nomenclature si-samu</t>
  </si>
  <si>
    <t xml:space="preserve">a suppr ?</t>
  </si>
  <si>
    <t xml:space="preserve">Date Heure de création de la décision</t>
  </si>
  <si>
    <t xml:space="preserve">onglet Type de décision</t>
  </si>
  <si>
    <t xml:space="preserve">nomemclature guide de regul</t>
  </si>
  <si>
    <t xml:space="preserve">Détails décision d'intervention</t>
  </si>
  <si>
    <t xml:space="preserve">Objet qui permet de détailler la décision prise</t>
  </si>
  <si>
    <t xml:space="preserve">engagementDetails</t>
  </si>
  <si>
    <t xml:space="preserve">decisionDetails</t>
  </si>
  <si>
    <t xml:space="preserve">A valoriser avec le type de ressource souhaité / demandé (cf.nomenclature associée)</t>
  </si>
  <si>
    <t xml:space="preserve">categoryType</t>
  </si>
  <si>
    <t xml:space="preserve">A valoriser avec le type de vecteur souhaité / demandé (cf.nomenclature associée).</t>
  </si>
  <si>
    <t xml:space="preserve">Niveau de prise en charge</t>
  </si>
  <si>
    <t xml:space="preserve">A valoriser avec le niveau de prise en charge souhaité (cf.nomenclature associée)</t>
  </si>
  <si>
    <t xml:space="preserve">Médical, paramédical, secouriste</t>
  </si>
  <si>
    <t xml:space="preserve">teamCareInitial</t>
  </si>
  <si>
    <t xml:space="preserve">Détails décisions de transport et/ou d'orientation</t>
  </si>
  <si>
    <t xml:space="preserve"># Voir type decisionDetails</t>
  </si>
  <si>
    <t xml:space="preserve">transportDetails</t>
  </si>
  <si>
    <t xml:space="preserve">Objet qui permet de détailler la destination du vecteur de transport</t>
  </si>
  <si>
    <t xml:space="preserve">Voir pour  liaison avec les moyens mobilisés ?</t>
  </si>
  <si>
    <t xml:space="preserve">Type de destination</t>
  </si>
  <si>
    <t xml:space="preserve">Indique le type de destination (cf. nomenclature associée)</t>
  </si>
  <si>
    <t xml:space="preserve">Localisation de la destination</t>
  </si>
  <si>
    <t xml:space="preserve">Objet qui permet de décrire la localisation de la destination</t>
  </si>
  <si>
    <t xml:space="preserve">Decision</t>
  </si>
  <si>
    <t xml:space="preserve">15-XX</t>
  </si>
  <si>
    <t xml:space="preserve">Décision d'orientation transport</t>
  </si>
  <si>
    <t xml:space="preserve">Mesures prises par le Samu-Centre 15 en réponse à la demande exprimée en fonction de l’événement et de la situation du ou des patients</t>
  </si>
  <si>
    <t xml:space="preserve">ID partagé du patient concerné par la décision, lorsque le patient existe et est identifié</t>
  </si>
  <si>
    <t xml:space="preserve">Groupe date heure de création de la décision.  L'indicateur de fuseau horaire Z ne doit pas être utilisé.</t>
  </si>
  <si>
    <t xml:space="preserve">Décision(s) d'orientation prise par le médecin régulateur : 
- A transporter
- Laisser sur place</t>
  </si>
  <si>
    <t xml:space="preserve">Type de ressource/moyen</t>
  </si>
  <si>
    <t xml:space="preserve">Type de transport à engager pour la prise en charge du patient</t>
  </si>
  <si>
    <t xml:space="preserve">SMUR </t>
  </si>
  <si>
    <t xml:space="preserve">transportation</t>
  </si>
  <si>
    <t xml:space="preserve">AR</t>
  </si>
  <si>
    <t xml:space="preserve">Identifiant du véhicule terrestre / aérien / maritime de transport principal (= celui dans lequel se trouve le patient), permettant d'associer la décision à un véhicule spécifique + au patient. </t>
  </si>
  <si>
    <t xml:space="preserve">transportationID</t>
  </si>
  <si>
    <t xml:space="preserve">Type d’équipe (médical, paramédicale, non médicale, standard, incomplete, ...)</t>
  </si>
  <si>
    <t xml:space="preserve">Indique le type de destination de la ressource : service d’urgences d’un Etablissement de santé, autres services d’un établissement de santé, cabinet d’un professionnel de santé, domicile personnel, EPHAD ou long séjour, autre</t>
  </si>
  <si>
    <t xml:space="preserve">ENUM: service d’urgences d’un Etablissement de santé, autres services d’un établissement de santé, cabinet d’un professionnel de santé, domicile personnel, EPHAD ou long séjour, autre</t>
  </si>
  <si>
    <t xml:space="preserve">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</si>
  <si>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 xml:space="preserve">ENUM: FINESS administratif, FINESS géographique, SIREN, SIRET, APE/NAF</t>
  </si>
  <si>
    <t xml:space="preserve">énumération partielle pour le moment, nomenclature à créer</t>
  </si>
  <si>
    <t xml:space="preserve">nomenclature à créer</t>
  </si>
  <si>
    <t xml:space="preserve">pas d'intérêt à échanger cette variable (c'est le code INSEE qui est utile)</t>
  </si>
  <si>
    <t xml:space="preserve">REGEX:^[0-9]{5}$</t>
  </si>
  <si>
    <t xml:space="preserve">Non gérés par NexSIS : ne seront pas transmis au SAMU et seront affichés côté NexSIS en clés / valeurs dans le champ libre</t>
  </si>
  <si>
    <t xml:space="preserve">format téléphone</t>
  </si>
  <si>
    <t xml:space="preserve">format date/heure</t>
  </si>
  <si>
    <t xml:space="preserve">en décimales</t>
  </si>
  <si>
    <t xml:space="preserve">préciser l'unité utilisée (il existe au moins 3 formats)</t>
  </si>
  <si>
    <t xml:space="preserve">en mètres</t>
  </si>
  <si>
    <t xml:space="preserve">En degré</t>
  </si>
  <si>
    <t xml:space="preserve">en degrés</t>
  </si>
  <si>
    <t xml:space="preserve">en km/h</t>
  </si>
  <si>
    <t xml:space="preserve">ENUM: CITY, STREET, ADDRESS, EXACT, UNKNOWN</t>
  </si>
  <si>
    <t xml:space="preserve">ENUM: BAN, IGN, NexSIS</t>
  </si>
  <si>
    <t xml:space="preserve">nomenclature internationale</t>
  </si>
  <si>
    <t xml:space="preserve">ce n'est pas le nom du pays qu'il faut s'échanger mais son code iNSEE</t>
  </si>
  <si>
    <t xml:space="preserve">GEO-POS:15-15:geoPositionsUpdate</t>
  </si>
  <si>
    <t xml:space="preserve">GEO-POS</t>
  </si>
  <si>
    <t xml:space="preserve">geoPositionsUpdate</t>
  </si>
  <si>
    <t xml:space="preserve">geolocation</t>
  </si>
  <si>
    <t xml:space="preserve">eda:1.9:geopositionsupdate</t>
  </si>
  <si>
    <t xml:space="preserve">Position</t>
  </si>
  <si>
    <t xml:space="preserve">Objet de détail de la position de chaque ressource</t>
  </si>
  <si>
    <t xml:space="preserve">Identifiant de la ressource partagé</t>
  </si>
  <si>
    <t xml:space="preserve">Date et heure de réception des coordonnées</t>
  </si>
  <si>
    <t xml:space="preserve">Date et heure de réception des coordonnées transmises</t>
  </si>
  <si>
    <t xml:space="preserve">2024-01-27T08:44:00+02:00</t>
  </si>
  <si>
    <t xml:space="preserve">Permet de localiser la resource. </t>
  </si>
  <si>
    <t xml:space="preserve">Dernière coordonnée x connue de la ressource, entre −90 and +90</t>
  </si>
  <si>
    <t xml:space="preserve">Dernière coordonnée y connue de la ressource, entre −180 and +180</t>
  </si>
  <si>
    <t xml:space="preserve">Dernière coordonnée z connue de la ressource, en mètres sans bornes</t>
  </si>
  <si>
    <t xml:space="preserve">Vitesse de la ressource</t>
  </si>
  <si>
    <t xml:space="preserve">Vitesse de la ressource enregistrée, exprimée en km/h</t>
  </si>
  <si>
    <t xml:space="preserve">Direction de la ressource</t>
  </si>
  <si>
    <t xml:space="preserve">Direction de la ressource, exprimé en degrés</t>
  </si>
  <si>
    <t xml:space="preserve">cap</t>
  </si>
  <si>
    <t xml:space="preserve">Mouvement de la ressource</t>
  </si>
  <si>
    <t xml:space="preserve">Indique si la ressource est en mouvement (MOBILE) ou non (STATIQUE)</t>
  </si>
  <si>
    <t xml:space="preserve">MOBILE</t>
  </si>
  <si>
    <t xml:space="preserve">move</t>
  </si>
  <si>
    <t xml:space="preserve">ENUM: MOBILE, STATIQUE</t>
  </si>
  <si>
    <t xml:space="preserve">Etat du moteur de la ressource</t>
  </si>
  <si>
    <t xml:space="preserve">Indique si le moteur de la ressource est éteint (FAUX) ou allumé/en marche (VRAI)</t>
  </si>
  <si>
    <t xml:space="preserve">engineOn</t>
  </si>
  <si>
    <t xml:space="preserve">Etat de l'hélicoptère</t>
  </si>
  <si>
    <t xml:space="preserve">Indique si l'hélicoptère est au sol (VRAI) ou en l'air (FAUX)</t>
  </si>
  <si>
    <t xml:space="preserve">groundStatus</t>
  </si>
  <si>
    <t xml:space="preserve">Date et heure de la réception du statut</t>
  </si>
  <si>
    <t xml:space="preserve">Date et heure de réception du statut transmis</t>
  </si>
  <si>
    <t xml:space="preserve">2024-01-27T08:45:00+02:00</t>
  </si>
  <si>
    <t xml:space="preserve">statusDatetime</t>
  </si>
  <si>
    <t xml:space="preserve">Définit le statut de disponibilité d'une ressource.
- DISPONIBLE : Lorsque la ressource est disponible
- INDISPONIBLE : Lorsque la ressource n'est pas disponible, celle-ci peut être engagée ou en maintenance
- INCONNU : Lorsque le status est inconnu</t>
  </si>
  <si>
    <t xml:space="preserve">DISPONIBLE</t>
  </si>
  <si>
    <t xml:space="preserve">ENUM: DISPONIBLE, INDISPONIBLE, INCONNU</t>
  </si>
  <si>
    <t xml:space="preserve">Statut de la ressource engagée</t>
  </si>
  <si>
    <t xml:space="preserve">Précise le statut d'une ressource qui est engagée sur une mission</t>
  </si>
  <si>
    <t xml:space="preserve">PARTIE</t>
  </si>
  <si>
    <t xml:space="preserve">engagedStatus</t>
  </si>
  <si>
    <t xml:space="preserve">ENUM: ALERTEE, PARTIE, ARRIVEE_LIEU, TRANSPORT_DESTINATION, ARRIVEE_DESTINATION, FIN_MED, QUITTE_DESTINATION, RETOUR_DISPONIBLE, RETOUR_INDISPONIBLE, ARRIVEE_CENTRE</t>
  </si>
  <si>
    <t xml:space="preserve">GEO-REQ:15-15:geoResourcesRequest</t>
  </si>
  <si>
    <t xml:space="preserve">GEO-REQ</t>
  </si>
  <si>
    <t xml:space="preserve">geoResourcesRequest</t>
  </si>
  <si>
    <t xml:space="preserve">eda:1.9:georesourcesrequest</t>
  </si>
  <si>
    <t xml:space="preserve">Identifiant(s) de la ressource(s) partagé(s)</t>
  </si>
  <si>
    <t xml:space="preserve">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</si>
  <si>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GEO-RES:15-15:geoResourcesDetails</t>
  </si>
  <si>
    <t xml:space="preserve">GEO-RES</t>
  </si>
  <si>
    <t xml:space="preserve">geoResourcesDetails</t>
  </si>
  <si>
    <t xml:space="preserve">eda:1.9:georesourcesdetails</t>
  </si>
  <si>
    <t xml:space="preserve">Une liste d’objets Resource détaillant les ressources demandées ainsi que celles notifiées non encore décrites au demandeur</t>
  </si>
  <si>
    <t xml:space="preserve">Identifiant unique de l'organisme :  {pays}.{domaine}.{organisation}.{structure interne}*.{unité fonctionnelle}*
*données facultatives</t>
  </si>
  <si>
    <t xml:space="preserve">fr.health.samu76A</t>
  </si>
  <si>
    <t xml:space="preserve">Nom donné à la ressource par l'organisme propriétaire. 
L'immatriculation peut être utilisée dans le nom courant des véhicules.</t>
  </si>
  <si>
    <t xml:space="preserve">SMUR 1 Rouen</t>
  </si>
  <si>
    <t xml:space="preserve">Catégorie de la ressource (SMUR, SDIS, TSU, SNP, MSPE, navire)</t>
  </si>
  <si>
    <r>
      <rPr>
        <sz val="11"/>
        <color rgb="FF808080"/>
        <rFont val="Calibri"/>
        <family val="2"/>
        <charset val="1"/>
      </rPr>
      <t xml:space="preserve">ENUM: SMUR, </t>
    </r>
    <r>
      <rPr>
        <sz val="11"/>
        <color rgb="FFFF0000"/>
        <rFont val="Calibri"/>
        <family val="2"/>
        <charset val="1"/>
      </rPr>
      <t xml:space="preserve">SDIS</t>
    </r>
    <r>
      <rPr>
        <sz val="11"/>
        <color rgb="FF808080"/>
        <rFont val="Calibri"/>
        <family val="2"/>
        <charset val="1"/>
      </rPr>
      <t xml:space="preserve">, TSU, SNP, MSPE, SHIP</t>
    </r>
  </si>
  <si>
    <t xml:space="preserve">Nature de la ressource</t>
  </si>
  <si>
    <t xml:space="preserve">Nature de la ressource (effecteur, base)</t>
  </si>
  <si>
    <t xml:space="preserve">BASE</t>
  </si>
  <si>
    <t xml:space="preserve">nature</t>
  </si>
  <si>
    <t xml:space="preserve">ENUM: EFFECTEUR, BASE</t>
  </si>
  <si>
    <t xml:space="preserve">Mobilité de la ressource</t>
  </si>
  <si>
    <t xml:space="preserve">Mobilité de la ressource (fixe, vehicule, heliporté, navire)</t>
  </si>
  <si>
    <t xml:space="preserve">VEHICULE</t>
  </si>
  <si>
    <t xml:space="preserve">mobility</t>
  </si>
  <si>
    <t xml:space="preserve">ENUM: FIXE, VEHICULE, HELICOPTERE, SHIP </t>
  </si>
  <si>
    <t xml:space="preserve">Capacité de transport d'un patient</t>
  </si>
  <si>
    <t xml:space="preserve">MEDICALE</t>
  </si>
  <si>
    <t xml:space="preserve">capacity</t>
  </si>
  <si>
    <t xml:space="preserve">ENUM: URGENCE, MEDICALE, PARAMEDICALE, INCONNUE</t>
  </si>
  <si>
    <t xml:space="preserve">contacts</t>
  </si>
  <si>
    <t xml:space="preserve">Type de contact, voir énumération associée
1. PMRADD (si RFGI disponible)
2. PHNADD pour téléphonie</t>
  </si>
  <si>
    <t xml:space="preserve">ENUM: PMRADD, PHNADD</t>
  </si>
  <si>
    <t xml:space="preserve">1. RFGI (si RFGI disponible)
2. Numéro de téléphone</t>
  </si>
  <si>
    <t xml:space="preserve">0612342536</t>
  </si>
  <si>
    <t xml:space="preserve">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</si>
  <si>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 xml:space="preserve">samuA:CA126B445579GD4A67AV</t>
  </si>
  <si>
    <t xml:space="preserve">Identifiant local de l'affaire/dossier -&gt; RC-DE ?</t>
  </si>
  <si>
    <t xml:space="preserve">Objectif : pouvoir transmettre les dossiers/affaires des différentes forces impliquées</t>
  </si>
  <si>
    <t xml:space="preserve">CA126B445579GD4A67AV</t>
  </si>
  <si>
    <t xml:space="preserve">Date Heure de création de la communication</t>
  </si>
  <si>
    <t xml:space="preserve">Groupe date heure de la communication</t>
  </si>
  <si>
    <t xml:space="preserve">Auteur</t>
  </si>
  <si>
    <t xml:space="preserve">Auteur de la communication</t>
  </si>
  <si>
    <t xml:space="preserve">author</t>
  </si>
  <si>
    <t xml:space="preserve">Contenu</t>
  </si>
  <si>
    <t xml:space="preserve">Contenu texte libre de la communication</t>
  </si>
  <si>
    <t xml:space="preserve">Lien externe</t>
  </si>
  <si>
    <t xml:space="preserve">Partage de liens et ressources</t>
  </si>
  <si>
    <t xml:space="preserve">RS-SAS-RDV:15-SAS:appointment</t>
  </si>
  <si>
    <t xml:space="preserve">RS-SAS-RDV</t>
  </si>
  <si>
    <t xml:space="preserve">15-SAS</t>
  </si>
  <si>
    <t xml:space="preserve">appointment</t>
  </si>
  <si>
    <t xml:space="preserve">sas</t>
  </si>
  <si>
    <t xml:space="preserve">eda:1.9:appointment</t>
  </si>
  <si>
    <t xml:space="preserve">Identifiant du rendez-vous</t>
  </si>
  <si>
    <t xml:space="preserve">Un identifiant technique unique par RDV est transmis. 
Cet identifiant est défini par la plateforme numérique SAS et peut prendre la forme d’un UUID par exemple. 
La solution éditeur devra s’appuyer sur cet ID pour la gestion des requêtes de mises à jour.</t>
  </si>
  <si>
    <t xml:space="preserve">12348</t>
  </si>
  <si>
    <t xml:space="preserve">appointmentId</t>
  </si>
  <si>
    <t xml:space="preserve">Méthode</t>
  </si>
  <si>
    <t xml:space="preserve">Indique un message de création ou de modification du rendez-vous</t>
  </si>
  <si>
    <t xml:space="preserve">createAppointment</t>
  </si>
  <si>
    <t xml:space="preserve">method</t>
  </si>
  <si>
    <t xml:space="preserve">ENUM: CreateAppointment, UpdateAppointment</t>
  </si>
  <si>
    <t xml:space="preserve">Date et heure de la prise de rendez-vous</t>
  </si>
  <si>
    <t xml:space="preserve">Indique la date et l’heure de la prise de RDV</t>
  </si>
  <si>
    <t xml:space="preserve">2025-06-17T10:15:56+01:00</t>
  </si>
  <si>
    <t xml:space="preserve">created</t>
  </si>
  <si>
    <t xml:space="preserve">Date et heure de début du rendez-vous</t>
  </si>
  <si>
    <t xml:space="preserve">Indique la date et l’horaire de début du rendez-vous</t>
  </si>
  <si>
    <t xml:space="preserve">2025-06-17T14:00:00+01:00</t>
  </si>
  <si>
    <t xml:space="preserve">start</t>
  </si>
  <si>
    <t xml:space="preserve">Date et heure de fin du rendez-vous</t>
  </si>
  <si>
    <t xml:space="preserve">Indique la date et l’horaire de fin du rendez-vous</t>
  </si>
  <si>
    <t xml:space="preserve">2025-06-17T14:20:00+01:00</t>
  </si>
  <si>
    <t xml:space="preserve">Statut du rendez-vous</t>
  </si>
  <si>
    <t xml:space="preserve">Indique le statut du rendez-vous</t>
  </si>
  <si>
    <t xml:space="preserve">booked</t>
  </si>
  <si>
    <t xml:space="preserve">ENUM: pending, booked, fulfilled, noshow, cancelled</t>
  </si>
  <si>
    <t xml:space="preserve">Catégorie d'orientation</t>
  </si>
  <si>
    <t xml:space="preserve">Indique la catégorie de l’orientation de rendez-vous</t>
  </si>
  <si>
    <t xml:space="preserve">SOS</t>
  </si>
  <si>
    <t xml:space="preserve">orientationCategory</t>
  </si>
  <si>
    <t xml:space="preserve">ENUM: CPTS, MSP, CDS, SOS, PS, PDM</t>
  </si>
  <si>
    <t xml:space="preserve">Professionnel de santé</t>
  </si>
  <si>
    <t xml:space="preserve">Représente le professionnel de santé associé au rendez-vous</t>
  </si>
  <si>
    <t xml:space="preserve">practitioner</t>
  </si>
  <si>
    <t xml:space="preserve">Identifiant national (RPPS) du PS</t>
  </si>
  <si>
    <t xml:space="preserve">810002909371</t>
  </si>
  <si>
    <t xml:space="preserve">REGEX: ^81[0-9]{10}$</t>
  </si>
  <si>
    <t xml:space="preserve">Nom du PS</t>
  </si>
  <si>
    <t xml:space="preserve">Nom du professionnel de santé</t>
  </si>
  <si>
    <t xml:space="preserve">Prénom du PS</t>
  </si>
  <si>
    <t xml:space="preserve">Prénom du professionnel de santé</t>
  </si>
  <si>
    <t xml:space="preserve">Spécialité</t>
  </si>
  <si>
    <t xml:space="preserve">Code de la spécialité du professionnel de santé</t>
  </si>
  <si>
    <t xml:space="preserve">SM54</t>
  </si>
  <si>
    <t xml:space="preserve">specialityCode</t>
  </si>
  <si>
    <t xml:space="preserve">Terminologie spécialité</t>
  </si>
  <si>
    <t xml:space="preserve">Url de la terminologie utilisée pour la spécialité</t>
  </si>
  <si>
    <t xml:space="preserve">https://mos.esante.gouv.fr/NOS/TRE_R38-SpecialiteOrdinale/FHIR/TRE-R38-SpecialiteOrdinale</t>
  </si>
  <si>
    <t xml:space="preserve">specialityUrl</t>
  </si>
  <si>
    <t xml:space="preserve">Profession</t>
  </si>
  <si>
    <t xml:space="preserve">Code de la profession du professionnel de santé</t>
  </si>
  <si>
    <t xml:space="preserve">10</t>
  </si>
  <si>
    <t xml:space="preserve">professionCode</t>
  </si>
  <si>
    <t xml:space="preserve">Terminologie profession</t>
  </si>
  <si>
    <t xml:space="preserve">Url de la terminologie utilisée pour la profession</t>
  </si>
  <si>
    <t xml:space="preserve">https://mos.esante.gouv.fr/NOS/TRE_G15-ProfessionSante/FHIR/TRE-G15-ProfessionSante</t>
  </si>
  <si>
    <t xml:space="preserve">professionUrl</t>
  </si>
  <si>
    <t xml:space="preserve">Structure</t>
  </si>
  <si>
    <t xml:space="preserve">Représente la structure du PS ou la structure associée au rendez-vous si le PS n'est pas connu</t>
  </si>
  <si>
    <t xml:space="preserve">Identifiant national de la structure</t>
  </si>
  <si>
    <t xml:space="preserve">Indique l'identifiant national de la structure</t>
  </si>
  <si>
    <t xml:space="preserve">334173748400020</t>
  </si>
  <si>
    <t xml:space="preserve">organizationId</t>
  </si>
  <si>
    <t xml:space="preserve">Nom de la structure</t>
  </si>
  <si>
    <t xml:space="preserve">Indique le nom de la structure</t>
  </si>
  <si>
    <t xml:space="preserve">SOS Médecins de Rennes</t>
  </si>
  <si>
    <t xml:space="preserve">RS-ERROR:15-15:error</t>
  </si>
  <si>
    <t xml:space="preserve">RS-ERROR</t>
  </si>
  <si>
    <t xml:space="preserve">error</t>
  </si>
  <si>
    <t xml:space="preserve">report</t>
  </si>
  <si>
    <t xml:space="preserve">Erreur</t>
  </si>
  <si>
    <t xml:space="preserve">Permet de representer un erreur à l'aide d'un code numérique et une chaine de caractéres</t>
  </si>
  <si>
    <t xml:space="preserve">errorCode</t>
  </si>
  <si>
    <t xml:space="preserve">Code d'erreur</t>
  </si>
  <si>
    <t xml:space="preserve">Code numerique representant l'erreur</t>
  </si>
  <si>
    <t xml:space="preserve">statusCode</t>
  </si>
  <si>
    <t xml:space="preserve">Titre d'erreur</t>
  </si>
  <si>
    <t xml:space="preserve">Chaine de caracteres representant l'erreur</t>
  </si>
  <si>
    <t xml:space="preserve">NOT_ALLOWED_CONTENT_TYPE</t>
  </si>
  <si>
    <t xml:space="preserve">statusString</t>
  </si>
  <si>
    <t xml:space="preserve">Cause d'erreur</t>
  </si>
  <si>
    <t xml:space="preserve">La ou les causes d'erreur dans le message source</t>
  </si>
  <si>
    <t xml:space="preserve">The following errors have occurred:\nNot allowed content type</t>
  </si>
  <si>
    <t xml:space="preserve">errorCause</t>
  </si>
  <si>
    <t xml:space="preserve">Message source</t>
  </si>
  <si>
    <t xml:space="preserve">Message source complet</t>
  </si>
  <si>
    <t xml:space="preserve">sourceMessage</t>
  </si>
  <si>
    <t xml:space="preserve">DistributionID referencé</t>
  </si>
  <si>
    <t xml:space="preserve">DistributionID du message source</t>
  </si>
  <si>
    <t xml:space="preserve">referencedDistributionID</t>
  </si>
  <si>
    <t xml:space="preserve">RS-INFO:15-15:info</t>
  </si>
  <si>
    <t xml:space="preserve">RS-INFO</t>
  </si>
  <si>
    <t xml:space="preserve">info</t>
  </si>
  <si>
    <t xml:space="preserve">Information</t>
  </si>
  <si>
    <t xml:space="preserve"> Champ libre permettant de transmettre des informations quelconques</t>
  </si>
  <si>
    <t xml:space="preserve">customContent:15-15:customContent</t>
  </si>
  <si>
    <t xml:space="preserve">customContent</t>
  </si>
  <si>
    <t xml:space="preserve">cisu:3.0</t>
  </si>
  <si>
    <t xml:space="preserve"> </t>
  </si>
  <si>
    <t xml:space="preserve">[CISU] Projet de référentiel des données attributaires / Sources documentaires</t>
  </si>
  <si>
    <t xml:space="preserve">Principales sources </t>
  </si>
  <si>
    <t xml:space="preserve">SI SAMU – Modernisation SI &amp; Télécom des Samu Centres-15, septembre 2016</t>
  </si>
  <si>
    <t xml:space="preserve">SI SAMU – Travaux sur une nomenclature partagée, 2016/2017</t>
  </si>
  <si>
    <t xml:space="preserve">MCIC-2 – Codes évènements NMCI (Nouvelle Main Courante Informatisée), mai 2017</t>
  </si>
  <si>
    <t xml:space="preserve">BDSP – Référentiel des listes de catégorie, date non définie</t>
  </si>
  <si>
    <t xml:space="preserve">NexSIS – Projet d’arbre décisionnel, décembre 2017</t>
  </si>
  <si>
    <t xml:space="preserve">Arrêté du 5 juin 2015 relatif aux motifs de départs réflexe SIS inscrits au référentiel commun d’organisation du secours à personne et de l’aide médicale urgente du 25 juin 2008</t>
  </si>
  <si>
    <t xml:space="preserve">Analyse du modèle espagnol des codes de situation d’alertes partagés, Orden 788/2001, 26 mars 2001</t>
  </si>
</sst>
</file>

<file path=xl/styles.xml><?xml version="1.0" encoding="utf-8"?>
<styleSheet xmlns="http://schemas.openxmlformats.org/spreadsheetml/2006/main">
  <numFmts count="5">
    <numFmt numFmtId="164" formatCode="General"/>
    <numFmt numFmtId="165" formatCode="#,##0.00\ [$€-40C];[RED]\-#,##0.00\ [$€-40C]"/>
    <numFmt numFmtId="166" formatCode="@"/>
    <numFmt numFmtId="167" formatCode="0%"/>
    <numFmt numFmtId="168" formatCode="General"/>
  </numFmts>
  <fonts count="77">
    <font>
      <sz val="11"/>
      <color rgb="FF808080"/>
      <name val="Tahoma"/>
      <family val="0"/>
      <charset val="1"/>
    </font>
    <font>
      <sz val="10"/>
      <name val="Arial"/>
      <family val="0"/>
    </font>
    <font>
      <sz val="10"/>
      <name val="Arial"/>
      <family val="0"/>
    </font>
    <font>
      <sz val="10"/>
      <name val="Arial"/>
      <family val="0"/>
    </font>
    <font>
      <sz val="11"/>
      <color rgb="FF808080"/>
      <name val="Tahoma"/>
      <family val="2"/>
      <charset val="1"/>
    </font>
    <font>
      <sz val="11"/>
      <color rgb="FF808080"/>
      <name val="Calibri2"/>
      <family val="0"/>
      <charset val="1"/>
    </font>
    <font>
      <u val="single"/>
      <sz val="11"/>
      <color rgb="FF0563C1"/>
      <name val="Tahoma"/>
      <family val="2"/>
      <charset val="1"/>
    </font>
    <font>
      <sz val="11"/>
      <color rgb="FF808080"/>
      <name val="Calibri1"/>
      <family val="0"/>
      <charset val="1"/>
    </font>
    <font>
      <sz val="11"/>
      <color rgb="FF000000"/>
      <name val="Calibri"/>
      <family val="2"/>
      <charset val="1"/>
    </font>
    <font>
      <b val="true"/>
      <i val="true"/>
      <u val="single"/>
      <sz val="11"/>
      <color rgb="FF808080"/>
      <name val="Tahoma"/>
      <family val="2"/>
      <charset val="1"/>
    </font>
    <font>
      <sz val="11"/>
      <name val="Arial"/>
      <family val="2"/>
      <charset val="1"/>
    </font>
    <font>
      <b val="true"/>
      <sz val="16"/>
      <name val="Arial"/>
      <family val="2"/>
      <charset val="1"/>
    </font>
    <font>
      <u val="single"/>
      <sz val="11"/>
      <name val="Arial"/>
      <family val="2"/>
      <charset val="1"/>
    </font>
    <font>
      <b val="true"/>
      <u val="single"/>
      <sz val="11"/>
      <color rgb="FFFF0000"/>
      <name val="Arial"/>
      <family val="2"/>
      <charset val="1"/>
    </font>
    <font>
      <sz val="11"/>
      <color rgb="FF00B0F0"/>
      <name val="Arial"/>
      <family val="2"/>
      <charset val="1"/>
    </font>
    <font>
      <sz val="14"/>
      <color rgb="FFC55A11"/>
      <name val="Arial"/>
      <family val="2"/>
      <charset val="1"/>
    </font>
    <font>
      <b val="true"/>
      <sz val="14"/>
      <color rgb="FFC55A11"/>
      <name val="Arial"/>
      <family val="2"/>
      <charset val="1"/>
    </font>
    <font>
      <b val="true"/>
      <sz val="11"/>
      <color rgb="FFC55A11"/>
      <name val="Arial"/>
      <family val="2"/>
      <charset val="1"/>
    </font>
    <font>
      <b val="true"/>
      <sz val="16"/>
      <color rgb="FFC55A11"/>
      <name val="Arial"/>
      <family val="2"/>
      <charset val="1"/>
    </font>
    <font>
      <b val="true"/>
      <sz val="12"/>
      <name val="Arial"/>
      <family val="2"/>
      <charset val="1"/>
    </font>
    <font>
      <b val="true"/>
      <sz val="11"/>
      <name val="Arial"/>
      <family val="2"/>
      <charset val="1"/>
    </font>
    <font>
      <sz val="11"/>
      <color rgb="FF0070C0"/>
      <name val="Arial"/>
      <family val="2"/>
      <charset val="1"/>
    </font>
    <font>
      <i val="true"/>
      <sz val="11"/>
      <color rgb="FF0070C0"/>
      <name val="Arial"/>
      <family val="2"/>
      <charset val="1"/>
    </font>
    <font>
      <sz val="11"/>
      <color rgb="FF808080"/>
      <name val="Calibri3"/>
      <family val="0"/>
      <charset val="1"/>
    </font>
    <font>
      <b val="true"/>
      <sz val="11"/>
      <color rgb="FF000000"/>
      <name val="Calibri3"/>
      <family val="0"/>
      <charset val="1"/>
    </font>
    <font>
      <sz val="11"/>
      <color rgb="FF000000"/>
      <name val="Calibri3"/>
      <family val="0"/>
      <charset val="1"/>
    </font>
    <font>
      <b val="true"/>
      <sz val="11"/>
      <color rgb="FF808080"/>
      <name val="Calibri3"/>
      <family val="0"/>
      <charset val="1"/>
    </font>
    <font>
      <b val="true"/>
      <sz val="11"/>
      <color rgb="FF4472C4"/>
      <name val="Calibri3"/>
      <family val="0"/>
      <charset val="1"/>
    </font>
    <font>
      <b val="true"/>
      <sz val="11"/>
      <color rgb="FF7030A0"/>
      <name val="Calibri3"/>
      <family val="0"/>
      <charset val="1"/>
    </font>
    <font>
      <sz val="11"/>
      <color rgb="FF7030A0"/>
      <name val="Tahoma"/>
      <family val="2"/>
      <charset val="1"/>
    </font>
    <font>
      <sz val="11"/>
      <color rgb="FF7030A0"/>
      <name val="Calibri3"/>
      <family val="0"/>
      <charset val="1"/>
    </font>
    <font>
      <b val="true"/>
      <sz val="11"/>
      <color rgb="FFED7D31"/>
      <name val="Calibri3"/>
      <family val="0"/>
      <charset val="1"/>
    </font>
    <font>
      <b val="true"/>
      <sz val="11"/>
      <color rgb="FFFFFFFF"/>
      <name val="Calibri3"/>
      <family val="0"/>
      <charset val="1"/>
    </font>
    <font>
      <i val="true"/>
      <sz val="11"/>
      <color rgb="FF808080"/>
      <name val="Calibri3"/>
      <family val="0"/>
      <charset val="1"/>
    </font>
    <font>
      <sz val="11"/>
      <color rgb="FF808080"/>
      <name val="Calibri"/>
      <family val="2"/>
      <charset val="1"/>
    </font>
    <font>
      <sz val="10"/>
      <color rgb="FF262626"/>
      <name val="Calibri"/>
      <family val="2"/>
      <charset val="1"/>
    </font>
    <font>
      <b val="true"/>
      <sz val="11"/>
      <color rgb="FFFFFFFF"/>
      <name val="Calibri Light"/>
      <family val="2"/>
      <charset val="1"/>
    </font>
    <font>
      <b val="true"/>
      <sz val="11"/>
      <color rgb="FFFFFFFF"/>
      <name val="Calibri"/>
      <family val="2"/>
      <charset val="1"/>
    </font>
    <font>
      <b val="true"/>
      <i val="true"/>
      <sz val="11"/>
      <color rgb="FFFFFFFF"/>
      <name val="Calibri"/>
      <family val="2"/>
      <charset val="1"/>
    </font>
    <font>
      <sz val="11"/>
      <name val="Calibri"/>
      <family val="2"/>
      <charset val="1"/>
    </font>
    <font>
      <sz val="11"/>
      <color rgb="FF000000"/>
      <name val="Tahoma"/>
      <family val="2"/>
      <charset val="1"/>
    </font>
    <font>
      <i val="true"/>
      <sz val="11"/>
      <color rgb="FF808080"/>
      <name val="Calibri"/>
      <family val="2"/>
      <charset val="1"/>
    </font>
    <font>
      <b val="true"/>
      <sz val="11"/>
      <color rgb="FF000000"/>
      <name val="Calibri"/>
      <family val="2"/>
      <charset val="1"/>
    </font>
    <font>
      <b val="true"/>
      <sz val="11"/>
      <color rgb="FF4472C4"/>
      <name val="Calibri"/>
      <family val="2"/>
      <charset val="1"/>
    </font>
    <font>
      <sz val="11"/>
      <color rgb="FFFF0000"/>
      <name val="Calibri"/>
      <family val="2"/>
      <charset val="1"/>
    </font>
    <font>
      <b val="true"/>
      <i val="true"/>
      <sz val="11"/>
      <name val="Calibri"/>
      <family val="2"/>
      <charset val="1"/>
    </font>
    <font>
      <i val="true"/>
      <sz val="11"/>
      <color rgb="FF000000"/>
      <name val="Calibri"/>
      <family val="2"/>
      <charset val="1"/>
    </font>
    <font>
      <b val="true"/>
      <sz val="11"/>
      <color rgb="FFFF0000"/>
      <name val="Calibri"/>
      <family val="2"/>
      <charset val="1"/>
    </font>
    <font>
      <i val="true"/>
      <sz val="11"/>
      <name val="Calibri"/>
      <family val="2"/>
      <charset val="1"/>
    </font>
    <font>
      <sz val="11"/>
      <color rgb="FF4472C4"/>
      <name val="Calibri"/>
      <family val="2"/>
      <charset val="1"/>
    </font>
    <font>
      <b val="true"/>
      <i val="true"/>
      <sz val="11"/>
      <color rgb="FF4472C4"/>
      <name val="Calibri"/>
      <family val="2"/>
      <charset val="1"/>
    </font>
    <font>
      <b val="true"/>
      <i val="true"/>
      <sz val="11"/>
      <color rgb="FFFF0000"/>
      <name val="Calibri"/>
      <family val="2"/>
      <charset val="1"/>
    </font>
    <font>
      <b val="true"/>
      <u val="single"/>
      <sz val="11"/>
      <color rgb="FF000000"/>
      <name val="Calibri"/>
      <family val="2"/>
      <charset val="1"/>
    </font>
    <font>
      <u val="single"/>
      <sz val="11"/>
      <color rgb="FF000000"/>
      <name val="Calibri"/>
      <family val="2"/>
      <charset val="1"/>
    </font>
    <font>
      <sz val="11"/>
      <color rgb="FF2A6099"/>
      <name val="Calibri"/>
      <family val="2"/>
      <charset val="1"/>
    </font>
    <font>
      <b val="true"/>
      <sz val="11"/>
      <color rgb="FF808080"/>
      <name val="Calibri"/>
      <family val="2"/>
      <charset val="1"/>
    </font>
    <font>
      <sz val="11"/>
      <color rgb="FFAFABAB"/>
      <name val="Calibri"/>
      <family val="2"/>
      <charset val="1"/>
    </font>
    <font>
      <sz val="11"/>
      <color rgb="FF808080"/>
      <name val="Aptos"/>
      <family val="2"/>
      <charset val="1"/>
    </font>
    <font>
      <b val="true"/>
      <sz val="11"/>
      <name val="Calibri"/>
      <family val="2"/>
      <charset val="1"/>
    </font>
    <font>
      <sz val="11"/>
      <color rgb="FFCC00CC"/>
      <name val="Calibri"/>
      <family val="2"/>
      <charset val="1"/>
    </font>
    <font>
      <i val="true"/>
      <sz val="11"/>
      <color rgb="FFFF0000"/>
      <name val="Calibri"/>
      <family val="2"/>
      <charset val="1"/>
    </font>
    <font>
      <b val="true"/>
      <i val="true"/>
      <sz val="11"/>
      <color rgb="FFCC00CC"/>
      <name val="Calibri"/>
      <family val="2"/>
      <charset val="1"/>
    </font>
    <font>
      <i val="true"/>
      <sz val="11"/>
      <color rgb="FFCC00CC"/>
      <name val="Calibri"/>
      <family val="2"/>
      <charset val="1"/>
    </font>
    <font>
      <b val="true"/>
      <sz val="11"/>
      <name val="Calibri3"/>
      <family val="0"/>
      <charset val="1"/>
    </font>
    <font>
      <sz val="11"/>
      <name val="Calibri3"/>
      <family val="0"/>
      <charset val="1"/>
    </font>
    <font>
      <sz val="11"/>
      <name val="Tahoma"/>
      <family val="2"/>
      <charset val="1"/>
    </font>
    <font>
      <i val="true"/>
      <sz val="11"/>
      <color rgb="FFFFFFFF"/>
      <name val="Calibri"/>
      <family val="2"/>
      <charset val="1"/>
    </font>
    <font>
      <sz val="11"/>
      <color rgb="FFFFFFFF"/>
      <name val="Calibri"/>
      <family val="2"/>
      <charset val="1"/>
    </font>
    <font>
      <sz val="11"/>
      <color rgb="FF0D0D0D"/>
      <name val="Calibri"/>
      <family val="2"/>
      <charset val="1"/>
    </font>
    <font>
      <sz val="11"/>
      <color rgb="FF242424"/>
      <name val="Aptos Narrow"/>
      <family val="2"/>
      <charset val="1"/>
    </font>
    <font>
      <strike val="true"/>
      <sz val="11"/>
      <color rgb="FF000000"/>
      <name val="Calibri"/>
      <family val="2"/>
      <charset val="1"/>
    </font>
    <font>
      <u val="single"/>
      <sz val="11"/>
      <color rgb="FF0563C1"/>
      <name val="Calibri"/>
      <family val="2"/>
      <charset val="1"/>
    </font>
    <font>
      <sz val="11"/>
      <color rgb="FF7030A0"/>
      <name val="Calibri"/>
      <family val="2"/>
      <charset val="1"/>
    </font>
    <font>
      <sz val="11"/>
      <color rgb="FFC00000"/>
      <name val="Calibri"/>
      <family val="2"/>
      <charset val="1"/>
    </font>
    <font>
      <sz val="11"/>
      <color rgb="FF69008E"/>
      <name val="Calibri"/>
      <family val="2"/>
      <charset val="1"/>
    </font>
    <font>
      <sz val="10"/>
      <color rgb="FF808080"/>
      <name val="Arial Unicode MS"/>
      <family val="0"/>
      <charset val="1"/>
    </font>
    <font>
      <u val="single"/>
      <sz val="10"/>
      <color rgb="FF0563C1"/>
      <name val="Tahoma"/>
      <family val="2"/>
      <charset val="1"/>
    </font>
  </fonts>
  <fills count="28">
    <fill>
      <patternFill patternType="none"/>
    </fill>
    <fill>
      <patternFill patternType="gray125"/>
    </fill>
    <fill>
      <patternFill patternType="solid">
        <fgColor rgb="FFFCD4D1"/>
        <bgColor rgb="FFFCE4D6"/>
      </patternFill>
    </fill>
    <fill>
      <patternFill patternType="solid">
        <fgColor rgb="FFAE470E"/>
        <bgColor rgb="FFC55A11"/>
      </patternFill>
    </fill>
    <fill>
      <patternFill patternType="solid">
        <fgColor rgb="FF00AAAD"/>
        <bgColor rgb="FF00B0F0"/>
      </patternFill>
    </fill>
    <fill>
      <patternFill patternType="solid">
        <fgColor rgb="FF69008E"/>
        <bgColor rgb="FF800080"/>
      </patternFill>
    </fill>
    <fill>
      <patternFill patternType="solid">
        <fgColor rgb="FF000000"/>
        <bgColor rgb="FF0D0D0D"/>
      </patternFill>
    </fill>
    <fill>
      <patternFill patternType="solid">
        <fgColor rgb="FFAFABAB"/>
        <bgColor rgb="FFAEAAAA"/>
      </patternFill>
    </fill>
    <fill>
      <patternFill patternType="solid">
        <fgColor rgb="FFFFFFFF"/>
        <bgColor rgb="FFEDEDED"/>
      </patternFill>
    </fill>
    <fill>
      <patternFill patternType="solid">
        <fgColor rgb="FFC6E0B4"/>
        <bgColor rgb="FFD0CECE"/>
      </patternFill>
    </fill>
    <fill>
      <patternFill patternType="solid">
        <fgColor rgb="FF4472C4"/>
        <bgColor rgb="FF2A6099"/>
      </patternFill>
    </fill>
    <fill>
      <patternFill patternType="solid">
        <fgColor rgb="FFE2EFDA"/>
        <bgColor rgb="FFE2F0D9"/>
      </patternFill>
    </fill>
    <fill>
      <patternFill patternType="solid">
        <fgColor rgb="FFD9E1F2"/>
        <bgColor rgb="FFDAE3F3"/>
      </patternFill>
    </fill>
    <fill>
      <patternFill patternType="solid">
        <fgColor rgb="FFBFBFBF"/>
        <bgColor rgb="FFCCCCCC"/>
      </patternFill>
    </fill>
    <fill>
      <patternFill patternType="solid">
        <fgColor rgb="FFEDEDED"/>
        <bgColor rgb="FFE7E6E6"/>
      </patternFill>
    </fill>
    <fill>
      <patternFill patternType="solid">
        <fgColor rgb="FFFFF2CC"/>
        <bgColor rgb="FFFBE5D6"/>
      </patternFill>
    </fill>
    <fill>
      <patternFill patternType="solid">
        <fgColor rgb="FFFFFF00"/>
        <bgColor rgb="FFFFC000"/>
      </patternFill>
    </fill>
    <fill>
      <patternFill patternType="solid">
        <fgColor rgb="FFE2F0D9"/>
        <bgColor rgb="FFE2EFDA"/>
      </patternFill>
    </fill>
    <fill>
      <patternFill patternType="solid">
        <fgColor rgb="FFFFC000"/>
        <bgColor rgb="FFFFFF00"/>
      </patternFill>
    </fill>
    <fill>
      <patternFill patternType="solid">
        <fgColor rgb="FFFCE4D6"/>
        <bgColor rgb="FFFBE5D6"/>
      </patternFill>
    </fill>
    <fill>
      <patternFill patternType="solid">
        <fgColor rgb="FFA5A5A5"/>
        <bgColor rgb="FFA6A6A6"/>
      </patternFill>
    </fill>
    <fill>
      <patternFill patternType="solid">
        <fgColor rgb="FFAEAAAA"/>
        <bgColor rgb="FFAFABAB"/>
      </patternFill>
    </fill>
    <fill>
      <patternFill patternType="solid">
        <fgColor rgb="FFF8CBAD"/>
        <bgColor rgb="FFFCD4D1"/>
      </patternFill>
    </fill>
    <fill>
      <patternFill patternType="solid">
        <fgColor rgb="FF7F7F7F"/>
        <bgColor rgb="FF808080"/>
      </patternFill>
    </fill>
    <fill>
      <patternFill patternType="solid">
        <fgColor rgb="FF808080"/>
        <bgColor rgb="FF7F7F7F"/>
      </patternFill>
    </fill>
    <fill>
      <patternFill patternType="solid">
        <fgColor rgb="FFA6A6A6"/>
        <bgColor rgb="FFA5A5A5"/>
      </patternFill>
    </fill>
    <fill>
      <patternFill patternType="solid">
        <fgColor rgb="FFDAE3F3"/>
        <bgColor rgb="FFD9E1F2"/>
      </patternFill>
    </fill>
    <fill>
      <patternFill patternType="solid">
        <fgColor rgb="FF999999"/>
        <bgColor rgb="FFA5A5A5"/>
      </patternFill>
    </fill>
  </fills>
  <borders count="32">
    <border diagonalUp="false" diagonalDown="false">
      <left/>
      <right/>
      <top/>
      <bottom/>
      <diagonal/>
    </border>
    <border diagonalUp="false" diagonalDown="false">
      <left style="medium"/>
      <right style="medium"/>
      <top style="medium"/>
      <bottom style="medium"/>
      <diagonal/>
    </border>
    <border diagonalUp="false" diagonalDown="false">
      <left style="medium">
        <color rgb="FFAE470E"/>
      </left>
      <right style="medium">
        <color rgb="FFAE470E"/>
      </right>
      <top style="medium">
        <color rgb="FFAE470E"/>
      </top>
      <bottom style="medium">
        <color rgb="FFAE470E"/>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hair">
        <color rgb="FFCCCCCC"/>
      </left>
      <right style="hair">
        <color rgb="FFCCCCCC"/>
      </right>
      <top style="hair">
        <color rgb="FFCCCCCC"/>
      </top>
      <bottom style="hair">
        <color rgb="FFCCCCCC"/>
      </bottom>
      <diagonal/>
    </border>
    <border diagonalUp="false" diagonalDown="false">
      <left style="hair">
        <color rgb="FFCCCCCC"/>
      </left>
      <right style="hair">
        <color rgb="FFCCCCCC"/>
      </right>
      <top style="hair">
        <color rgb="FFCCCCCC"/>
      </top>
      <bottom/>
      <diagonal/>
    </border>
    <border diagonalUp="false" diagonalDown="false">
      <left/>
      <right/>
      <top style="thin">
        <color rgb="FF8FAADC"/>
      </top>
      <bottom style="thin">
        <color rgb="FF8FAADC"/>
      </bottom>
      <diagonal/>
    </border>
    <border diagonalUp="false" diagonalDown="false">
      <left/>
      <right style="hair">
        <color rgb="FFCCCCCC"/>
      </right>
      <top style="hair">
        <color rgb="FFCCCCCC"/>
      </top>
      <bottom/>
      <diagonal/>
    </border>
    <border diagonalUp="false" diagonalDown="false">
      <left/>
      <right/>
      <top/>
      <bottom style="thin">
        <color rgb="FF8EA9DB"/>
      </bottom>
      <diagonal/>
    </border>
    <border diagonalUp="false" diagonalDown="false">
      <left/>
      <right/>
      <top style="thin">
        <color rgb="FF8EA9DB"/>
      </top>
      <bottom style="thin">
        <color rgb="FF8EA9DB"/>
      </bottom>
      <diagonal/>
    </border>
    <border diagonalUp="false" diagonalDown="false">
      <left/>
      <right/>
      <top/>
      <bottom style="thin">
        <color rgb="FF8FAADC"/>
      </bottom>
      <diagonal/>
    </border>
    <border diagonalUp="false" diagonalDown="false">
      <left/>
      <right/>
      <top style="thin">
        <color rgb="FF8FAADC"/>
      </top>
      <bottom/>
      <diagonal/>
    </border>
    <border diagonalUp="false" diagonalDown="false">
      <left style="hair">
        <color rgb="FFCCCCCC"/>
      </left>
      <right style="hair">
        <color rgb="FFCCCCCC"/>
      </right>
      <top/>
      <bottom style="hair">
        <color rgb="FFCCCCCC"/>
      </bottom>
      <diagonal/>
    </border>
    <border diagonalUp="false" diagonalDown="false">
      <left style="thin">
        <color rgb="FF8EA9DB"/>
      </left>
      <right/>
      <top style="thin">
        <color rgb="FF8EA9DB"/>
      </top>
      <bottom style="thin">
        <color rgb="FF8EA9DB"/>
      </bottom>
      <diagonal/>
    </border>
    <border diagonalUp="false" diagonalDown="false">
      <left/>
      <right style="thin">
        <color rgb="FF8FAADC"/>
      </right>
      <top style="thin">
        <color rgb="FF8FAADC"/>
      </top>
      <bottom style="thin">
        <color rgb="FF8FAADC"/>
      </bottom>
      <diagonal/>
    </border>
    <border diagonalUp="false" diagonalDown="false">
      <left/>
      <right style="thin">
        <color rgb="FF8EA9DB"/>
      </right>
      <top style="thin">
        <color rgb="FF8EA9DB"/>
      </top>
      <bottom style="thin">
        <color rgb="FF8EA9DB"/>
      </bottom>
      <diagonal/>
    </border>
    <border diagonalUp="false" diagonalDown="false">
      <left/>
      <right/>
      <top style="thin">
        <color rgb="FF8EA9DB"/>
      </top>
      <bottom style="double">
        <color rgb="FF4472C4"/>
      </bottom>
      <diagonal/>
    </border>
    <border diagonalUp="false" diagonalDown="false">
      <left/>
      <right/>
      <top/>
      <bottom style="double">
        <color rgb="FF4472C4"/>
      </bottom>
      <diagonal/>
    </border>
    <border diagonalUp="false" diagonalDown="false">
      <left/>
      <right/>
      <top style="thin">
        <color rgb="FF8EA9DB"/>
      </top>
      <bottom/>
      <diagonal/>
    </border>
    <border diagonalUp="false" diagonalDown="false">
      <left/>
      <right style="thin">
        <color rgb="FFE7E6E6"/>
      </right>
      <top style="thin">
        <color rgb="FF8EA9DB"/>
      </top>
      <bottom/>
      <diagonal/>
    </border>
    <border diagonalUp="false" diagonalDown="false">
      <left style="thin">
        <color rgb="FFE7E6E6"/>
      </left>
      <right style="thin">
        <color rgb="FFE7E6E6"/>
      </right>
      <top style="thin">
        <color rgb="FF8EA9DB"/>
      </top>
      <bottom style="thin">
        <color rgb="FF8EA9DB"/>
      </bottom>
      <diagonal/>
    </border>
    <border diagonalUp="false" diagonalDown="false">
      <left/>
      <right style="hair">
        <color rgb="FFCCCCCC"/>
      </right>
      <top style="hair">
        <color rgb="FFCCCCCC"/>
      </top>
      <bottom style="hair">
        <color rgb="FFCCCCCC"/>
      </bottom>
      <diagonal/>
    </border>
    <border diagonalUp="false" diagonalDown="false">
      <left/>
      <right style="thin">
        <color rgb="FFE7E6E6"/>
      </right>
      <top/>
      <bottom style="thin">
        <color rgb="FF8EA9DB"/>
      </bottom>
      <diagonal/>
    </border>
    <border diagonalUp="false" diagonalDown="false">
      <left style="thin">
        <color rgb="FFD0CECE"/>
      </left>
      <right style="thin">
        <color rgb="FFD0CECE"/>
      </right>
      <top/>
      <bottom style="thin">
        <color rgb="FFD0CECE"/>
      </bottom>
      <diagonal/>
    </border>
    <border diagonalUp="false" diagonalDown="false">
      <left style="thin">
        <color rgb="FFD0CECE"/>
      </left>
      <right style="thin">
        <color rgb="FFD0CECE"/>
      </right>
      <top style="thin">
        <color rgb="FFD0CECE"/>
      </top>
      <bottom style="thin">
        <color rgb="FFD0CECE"/>
      </bottom>
      <diagonal/>
    </border>
    <border diagonalUp="false" diagonalDown="false">
      <left style="thin">
        <color rgb="FF8EA9DB"/>
      </left>
      <right/>
      <top style="thin">
        <color rgb="FF8EA9DB"/>
      </top>
      <bottom/>
      <diagonal/>
    </border>
    <border diagonalUp="false" diagonalDown="false">
      <left/>
      <right style="thin">
        <color rgb="FF8EA9DB"/>
      </right>
      <top style="thin">
        <color rgb="FF8EA9DB"/>
      </top>
      <bottom/>
      <diagonal/>
    </border>
    <border diagonalUp="false" diagonalDown="false">
      <left/>
      <right/>
      <top/>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6"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5" fontId="9"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cellStyleXfs>
  <cellXfs count="405">
    <xf numFmtId="164" fontId="0" fillId="0" borderId="0" xfId="0" applyFont="fals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general" vertical="bottom" textRotation="0" wrapText="tru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6" fontId="14" fillId="0" borderId="0" xfId="0" applyFont="true" applyBorder="true" applyAlignment="true" applyProtection="false">
      <alignment horizontal="left" vertical="top" textRotation="0" wrapText="false" indent="0" shrinkToFit="false"/>
      <protection locked="true" hidden="false"/>
    </xf>
    <xf numFmtId="166" fontId="10" fillId="0" borderId="0" xfId="0" applyFont="true" applyBorder="true" applyAlignment="true" applyProtection="false">
      <alignment horizontal="left" vertical="top" textRotation="0" wrapText="false" indent="0" shrinkToFit="false"/>
      <protection locked="true" hidden="false"/>
    </xf>
    <xf numFmtId="166" fontId="15" fillId="0" borderId="2" xfId="0" applyFont="true" applyBorder="true" applyAlignment="true" applyProtection="false">
      <alignment horizontal="center" vertical="center" textRotation="0" wrapText="true" indent="0" shrinkToFit="false"/>
      <protection locked="true" hidden="false"/>
    </xf>
    <xf numFmtId="166" fontId="17"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6" fontId="19" fillId="0" borderId="3" xfId="0" applyFont="true" applyBorder="true" applyAlignment="true" applyProtection="false">
      <alignment horizontal="center" vertical="center" textRotation="0" wrapText="true" indent="0" shrinkToFit="false"/>
      <protection locked="true" hidden="false"/>
    </xf>
    <xf numFmtId="166" fontId="19" fillId="0" borderId="4" xfId="0" applyFont="true" applyBorder="true" applyAlignment="true" applyProtection="false">
      <alignment horizontal="center" vertical="center" textRotation="0" wrapText="true" indent="0" shrinkToFit="false"/>
      <protection locked="true" hidden="false"/>
    </xf>
    <xf numFmtId="166" fontId="19" fillId="0" borderId="5" xfId="0" applyFont="true" applyBorder="true" applyAlignment="true" applyProtection="false">
      <alignment horizontal="center" vertical="center" textRotation="0" wrapText="true" indent="0" shrinkToFit="false"/>
      <protection locked="true" hidden="false"/>
    </xf>
    <xf numFmtId="166" fontId="2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false" indent="0" shrinkToFit="false"/>
      <protection locked="true" hidden="false"/>
    </xf>
    <xf numFmtId="166" fontId="1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true" indent="0" shrinkToFit="false"/>
      <protection locked="true" hidden="false"/>
    </xf>
    <xf numFmtId="166" fontId="10" fillId="0" borderId="6"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general" vertical="center" textRotation="0" wrapText="false" indent="0" shrinkToFit="false"/>
      <protection locked="true" hidden="false"/>
    </xf>
    <xf numFmtId="166" fontId="10" fillId="0" borderId="7" xfId="0" applyFont="true" applyBorder="true" applyAlignment="true" applyProtection="false">
      <alignment horizontal="center" vertical="center" textRotation="0" wrapText="false" indent="0" shrinkToFit="false"/>
      <protection locked="true" hidden="false"/>
    </xf>
    <xf numFmtId="166" fontId="10" fillId="0" borderId="7" xfId="0" applyFont="true" applyBorder="true" applyAlignment="true" applyProtection="false">
      <alignment horizontal="general"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false" indent="0" shrinkToFit="false"/>
      <protection locked="true" hidden="false"/>
    </xf>
    <xf numFmtId="166" fontId="20" fillId="0" borderId="7" xfId="0" applyFont="true" applyBorder="true" applyAlignment="true" applyProtection="false">
      <alignment horizontal="general" vertical="center" textRotation="0" wrapText="true" indent="0" shrinkToFit="false"/>
      <protection locked="true" hidden="false"/>
    </xf>
    <xf numFmtId="166" fontId="20" fillId="0"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8"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8" fillId="0" borderId="0" xfId="28" applyFont="true" applyBorder="true" applyAlignment="false" applyProtection="true">
      <alignment horizontal="general" vertical="bottom" textRotation="0" wrapText="false" indent="0" shrinkToFit="false"/>
      <protection locked="true" hidden="false"/>
    </xf>
    <xf numFmtId="164" fontId="8" fillId="0" borderId="8" xfId="28" applyFont="true" applyBorder="true" applyAlignment="false" applyProtection="true">
      <alignment horizontal="general" vertical="bottom" textRotation="0" wrapText="false" indent="0" shrinkToFit="false"/>
      <protection locked="true" hidden="false"/>
    </xf>
    <xf numFmtId="164" fontId="8" fillId="0" borderId="0" xfId="28" applyFont="true" applyBorder="true" applyAlignment="true" applyProtection="true">
      <alignment horizontal="general" vertical="bottom" textRotation="0" wrapText="true" indent="0" shrinkToFit="false"/>
      <protection locked="true" hidden="false"/>
    </xf>
    <xf numFmtId="164" fontId="27" fillId="0" borderId="8" xfId="0" applyFont="true" applyBorder="true" applyAlignment="false" applyProtection="false">
      <alignment horizontal="general" vertical="bottom" textRotation="0" wrapText="false" indent="0" shrinkToFit="false"/>
      <protection locked="true" hidden="false"/>
    </xf>
    <xf numFmtId="164" fontId="24" fillId="0" borderId="8"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8" fillId="0" borderId="9"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4" fillId="0" borderId="9" xfId="0" applyFont="true" applyBorder="true" applyAlignment="false" applyProtection="false">
      <alignment horizontal="general" vertical="bottom" textRotation="0" wrapText="false" indent="0" shrinkToFit="false"/>
      <protection locked="true" hidden="false"/>
    </xf>
    <xf numFmtId="164" fontId="32" fillId="3" borderId="0" xfId="0" applyFont="true" applyBorder="false" applyAlignment="true" applyProtection="false">
      <alignment horizontal="general" vertical="bottom" textRotation="0" wrapText="tru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true" applyProtection="false">
      <alignment horizontal="center" vertical="center" textRotation="0" wrapText="true" indent="0" shrinkToFit="false"/>
      <protection locked="true" hidden="false"/>
    </xf>
    <xf numFmtId="164" fontId="32" fillId="3" borderId="0" xfId="0" applyFont="true" applyBorder="false" applyAlignment="true" applyProtection="false">
      <alignment horizontal="center" vertical="center" textRotation="0" wrapText="true" indent="0" shrinkToFit="false"/>
      <protection locked="true" hidden="false"/>
    </xf>
    <xf numFmtId="164" fontId="0" fillId="6"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8" fillId="0" borderId="1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true" indent="0" shrinkToFit="false"/>
      <protection locked="true" hidden="false"/>
    </xf>
    <xf numFmtId="164" fontId="34"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8" borderId="8" xfId="0" applyFont="true" applyBorder="true" applyAlignment="false" applyProtection="false">
      <alignment horizontal="general" vertical="bottom" textRotation="0" wrapText="false" indent="0" shrinkToFit="false"/>
      <protection locked="true" hidden="false"/>
    </xf>
    <xf numFmtId="164" fontId="26" fillId="9"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35" fillId="0" borderId="0"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true" indent="0" shrinkToFit="false"/>
      <protection locked="true" hidden="false"/>
    </xf>
    <xf numFmtId="164" fontId="35" fillId="0" borderId="8" xfId="28"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true" indent="0" shrinkToFit="false"/>
      <protection locked="true" hidden="false"/>
    </xf>
    <xf numFmtId="164" fontId="25" fillId="0" borderId="11" xfId="0" applyFont="true" applyBorder="true" applyAlignment="false" applyProtection="false">
      <alignment horizontal="general" vertical="bottom" textRotation="0" wrapText="false" indent="0" shrinkToFit="false"/>
      <protection locked="true" hidden="false"/>
    </xf>
    <xf numFmtId="164" fontId="24" fillId="0" borderId="11" xfId="0" applyFont="true" applyBorder="true" applyAlignment="false" applyProtection="false">
      <alignment horizontal="general" vertical="bottom" textRotation="0" wrapText="false" indent="0" shrinkToFit="false"/>
      <protection locked="true" hidden="false"/>
    </xf>
    <xf numFmtId="164" fontId="32" fillId="5" borderId="0" xfId="0" applyFont="true" applyBorder="tru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64" fontId="32" fillId="5" borderId="0" xfId="0" applyFont="true" applyBorder="false" applyAlignment="true" applyProtection="false">
      <alignment horizontal="general" vertical="bottom" textRotation="0" wrapText="true" indent="0" shrinkToFit="false"/>
      <protection locked="true" hidden="false"/>
    </xf>
    <xf numFmtId="164" fontId="37" fillId="4" borderId="12" xfId="0" applyFont="true" applyBorder="true" applyAlignment="false" applyProtection="false">
      <alignment horizontal="general" vertical="bottom" textRotation="0" wrapText="false" indent="0" shrinkToFit="false"/>
      <protection locked="true" hidden="false"/>
    </xf>
    <xf numFmtId="164" fontId="37" fillId="4"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bottom" textRotation="0" wrapText="true" indent="0" shrinkToFit="false"/>
      <protection locked="true" hidden="false"/>
    </xf>
    <xf numFmtId="164" fontId="34" fillId="6" borderId="0" xfId="0" applyFont="true" applyBorder="false" applyAlignment="true" applyProtection="false">
      <alignment horizontal="general" vertical="top" textRotation="0" wrapText="false" indent="0" shrinkToFit="false"/>
      <protection locked="true" hidden="false"/>
    </xf>
    <xf numFmtId="164" fontId="34" fillId="5" borderId="8"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9" fillId="11" borderId="13" xfId="0" applyFont="true" applyBorder="true" applyAlignment="false" applyProtection="false">
      <alignment horizontal="general" vertical="bottom" textRotation="0" wrapText="false" indent="0" shrinkToFit="false"/>
      <protection locked="true" hidden="false"/>
    </xf>
    <xf numFmtId="164" fontId="8" fillId="11" borderId="13" xfId="0" applyFont="true" applyBorder="true" applyAlignment="false" applyProtection="false">
      <alignment horizontal="general" vertical="bottom" textRotation="0" wrapText="false" indent="0" shrinkToFit="false"/>
      <protection locked="true" hidden="false"/>
    </xf>
    <xf numFmtId="164" fontId="8" fillId="11" borderId="14" xfId="0" applyFont="true" applyBorder="true" applyAlignment="false" applyProtection="false">
      <alignment horizontal="general" vertical="bottom" textRotation="0" wrapText="false" indent="0" shrinkToFit="false"/>
      <protection locked="true" hidden="false"/>
    </xf>
    <xf numFmtId="164" fontId="8" fillId="12" borderId="13" xfId="0" applyFont="true" applyBorder="true" applyAlignment="true" applyProtection="false">
      <alignment horizontal="general" vertical="bottom" textRotation="0" wrapText="true" indent="0" shrinkToFit="false"/>
      <protection locked="true" hidden="false"/>
    </xf>
    <xf numFmtId="164" fontId="8" fillId="13" borderId="13" xfId="0" applyFont="true" applyBorder="true" applyAlignment="true" applyProtection="false">
      <alignment horizontal="general" vertical="bottom" textRotation="0" wrapText="true" indent="0" shrinkToFit="false"/>
      <protection locked="true" hidden="false"/>
    </xf>
    <xf numFmtId="164" fontId="8" fillId="12" borderId="13"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false" applyProtection="false">
      <alignment horizontal="general" vertical="bottom" textRotation="0" wrapText="false" indent="0" shrinkToFit="false"/>
      <protection locked="true" hidden="false"/>
    </xf>
    <xf numFmtId="164" fontId="8"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false" applyProtection="false">
      <alignment horizontal="general" vertical="bottom" textRotation="0" wrapText="false" indent="0" shrinkToFit="false"/>
      <protection locked="true" hidden="false"/>
    </xf>
    <xf numFmtId="164" fontId="40" fillId="0" borderId="13" xfId="0" applyFont="true" applyBorder="tru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39" fillId="11" borderId="13" xfId="0" applyFont="true" applyBorder="true" applyAlignment="true" applyProtection="false">
      <alignment horizontal="general" vertical="center" textRotation="0" wrapText="false" indent="0" shrinkToFit="false"/>
      <protection locked="true" hidden="false"/>
    </xf>
    <xf numFmtId="164" fontId="8" fillId="11" borderId="13" xfId="0" applyFont="true" applyBorder="true" applyAlignment="true" applyProtection="false">
      <alignment horizontal="general" vertical="center" textRotation="0" wrapText="false" indent="0" shrinkToFit="false"/>
      <protection locked="true" hidden="false"/>
    </xf>
    <xf numFmtId="164" fontId="8" fillId="11" borderId="0" xfId="0" applyFont="tru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true" indent="0" shrinkToFit="false"/>
      <protection locked="true" hidden="false"/>
    </xf>
    <xf numFmtId="164" fontId="8" fillId="13" borderId="13" xfId="0" applyFont="true" applyBorder="true" applyAlignment="true" applyProtection="false">
      <alignment horizontal="general" vertical="center" textRotation="0" wrapText="true" indent="0" shrinkToFit="false"/>
      <protection locked="true" hidden="false"/>
    </xf>
    <xf numFmtId="164" fontId="8" fillId="14" borderId="1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35" fillId="0" borderId="8" xfId="0" applyFont="true" applyBorder="true" applyAlignment="false" applyProtection="false">
      <alignment horizontal="general" vertical="bottom" textRotation="0" wrapText="false" indent="0" shrinkToFit="false"/>
      <protection locked="true" hidden="false"/>
    </xf>
    <xf numFmtId="164" fontId="35" fillId="0" borderId="9" xfId="0" applyFont="true" applyBorder="true" applyAlignment="false" applyProtection="false">
      <alignment horizontal="general" vertical="bottom" textRotation="0" wrapText="false" indent="0" shrinkToFit="false"/>
      <protection locked="true" hidden="false"/>
    </xf>
    <xf numFmtId="164" fontId="25" fillId="0" borderId="9" xfId="0" applyFont="true" applyBorder="true" applyAlignment="false" applyProtection="false">
      <alignment horizontal="general" vertical="bottom" textRotation="0" wrapText="false" indent="0" shrinkToFit="false"/>
      <protection locked="true" hidden="false"/>
    </xf>
    <xf numFmtId="164" fontId="34" fillId="4" borderId="0" xfId="0" applyFont="true" applyBorder="false" applyAlignment="true" applyProtection="false">
      <alignment horizontal="center" vertical="center" textRotation="0" wrapText="false" indent="0" shrinkToFit="false"/>
      <protection locked="true" hidden="false"/>
    </xf>
    <xf numFmtId="164" fontId="37" fillId="4" borderId="0" xfId="0" applyFont="true" applyBorder="false" applyAlignment="true" applyProtection="false">
      <alignment horizontal="center" vertical="center" textRotation="0" wrapText="false" indent="0" shrinkToFit="false"/>
      <protection locked="true" hidden="false"/>
    </xf>
    <xf numFmtId="164" fontId="37" fillId="4"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34" fillId="6"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8" fontId="34"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42"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34" fillId="0" borderId="14" xfId="0" applyFont="true" applyBorder="tru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0" shrinkToFit="false"/>
      <protection locked="true" hidden="false"/>
    </xf>
    <xf numFmtId="164" fontId="44" fillId="0" borderId="10" xfId="0" applyFont="true" applyBorder="true" applyAlignment="true" applyProtection="false">
      <alignment horizontal="center" vertical="bottom" textRotation="0" wrapText="true" indent="0" shrinkToFit="false"/>
      <protection locked="true" hidden="false"/>
    </xf>
    <xf numFmtId="164" fontId="34" fillId="0"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center" textRotation="0" wrapText="tru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true" indent="0" shrinkToFit="false"/>
      <protection locked="true" hidden="false"/>
    </xf>
    <xf numFmtId="164" fontId="39" fillId="0" borderId="10" xfId="0" applyFont="true" applyBorder="true" applyAlignment="true" applyProtection="false">
      <alignment horizontal="center" vertical="bottom" textRotation="0" wrapText="true" indent="0" shrinkToFit="false"/>
      <protection locked="true" hidden="false"/>
    </xf>
    <xf numFmtId="164" fontId="47"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4" fillId="15" borderId="0" xfId="0" applyFont="true" applyBorder="false" applyAlignment="true" applyProtection="false">
      <alignment horizontal="center" vertical="bottom" textRotation="0" wrapText="true" indent="0" shrinkToFit="false"/>
      <protection locked="true" hidden="false"/>
    </xf>
    <xf numFmtId="164" fontId="46" fillId="0" borderId="0" xfId="0" applyFont="true" applyBorder="false" applyAlignment="true" applyProtection="false">
      <alignment horizontal="left" vertical="bottom" textRotation="0" wrapText="true" indent="0" shrinkToFit="false"/>
      <protection locked="true" hidden="false"/>
    </xf>
    <xf numFmtId="164" fontId="49" fillId="0" borderId="0" xfId="0" applyFont="true" applyBorder="false" applyAlignment="true" applyProtection="false">
      <alignment horizontal="left" vertical="bottom" textRotation="0" wrapText="fals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64" fontId="8" fillId="0" borderId="13" xfId="0" applyFont="true" applyBorder="true" applyAlignment="true" applyProtection="false">
      <alignment horizontal="general" vertical="bottom"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true" indent="0" shrinkToFit="false"/>
      <protection locked="true" hidden="false"/>
    </xf>
    <xf numFmtId="164" fontId="44" fillId="15" borderId="10" xfId="0" applyFont="true" applyBorder="true" applyAlignment="true" applyProtection="false">
      <alignment horizontal="center" vertical="bottom" textRotation="0" wrapText="true" indent="0" shrinkToFit="false"/>
      <protection locked="true" hidden="false"/>
    </xf>
    <xf numFmtId="166" fontId="34" fillId="0" borderId="0" xfId="0" applyFont="true" applyBorder="false" applyAlignment="true" applyProtection="false">
      <alignment horizontal="general" vertical="bottom" textRotation="0" wrapText="true" indent="0" shrinkToFit="false"/>
      <protection locked="true" hidden="false"/>
    </xf>
    <xf numFmtId="164" fontId="34" fillId="0" borderId="10" xfId="26" applyFont="true" applyBorder="true" applyAlignment="true" applyProtection="true">
      <alignment horizontal="center" vertical="bottom"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6" fillId="0" borderId="0" xfId="26" applyFont="true" applyBorder="true" applyAlignment="true" applyProtection="true">
      <alignment horizontal="general"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true" indent="0" shrinkToFit="false"/>
      <protection locked="true" hidden="false"/>
    </xf>
    <xf numFmtId="164" fontId="56" fillId="0" borderId="10" xfId="0" applyFont="true" applyBorder="true" applyAlignment="true" applyProtection="false">
      <alignment horizontal="center" vertical="bottom" textRotation="0" wrapText="true" indent="0" shrinkToFit="false"/>
      <protection locked="true" hidden="false"/>
    </xf>
    <xf numFmtId="164" fontId="44" fillId="0" borderId="10" xfId="0" applyFont="true" applyBorder="true" applyAlignment="true" applyProtection="false">
      <alignment horizontal="left" vertical="bottom" textRotation="0" wrapText="true" indent="0" shrinkToFit="false"/>
      <protection locked="true" hidden="false"/>
    </xf>
    <xf numFmtId="164" fontId="44" fillId="12" borderId="13" xfId="0" applyFont="true" applyBorder="true" applyAlignment="true" applyProtection="false">
      <alignment horizontal="general" vertical="bottom"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center" textRotation="0" wrapText="false" indent="0" shrinkToFit="false"/>
      <protection locked="true" hidden="false"/>
    </xf>
    <xf numFmtId="164" fontId="8" fillId="16"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34" fillId="7"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left" vertical="top" textRotation="0" wrapText="true" indent="0" shrinkToFit="false"/>
      <protection locked="true" hidden="false"/>
    </xf>
    <xf numFmtId="164" fontId="44" fillId="0" borderId="0" xfId="0" applyFont="true" applyBorder="false" applyAlignment="true" applyProtection="false">
      <alignment horizontal="left" vertical="bottom" textRotation="0" wrapText="true" indent="0" shrinkToFit="false"/>
      <protection locked="true" hidden="false"/>
    </xf>
    <xf numFmtId="164" fontId="58" fillId="0" borderId="0" xfId="0" applyFont="true" applyBorder="false" applyAlignment="true" applyProtection="false">
      <alignment horizontal="left" vertical="bottom" textRotation="0" wrapText="false" indent="0" shrinkToFit="false"/>
      <protection locked="true" hidden="false"/>
    </xf>
    <xf numFmtId="164" fontId="8" fillId="17" borderId="0" xfId="0" applyFont="true" applyBorder="false" applyAlignment="true" applyProtection="false">
      <alignment horizontal="general" vertical="bottom" textRotation="0" wrapText="true" indent="0" shrinkToFit="false"/>
      <protection locked="true" hidden="false"/>
    </xf>
    <xf numFmtId="164" fontId="34" fillId="0" borderId="15" xfId="0" applyFont="true" applyBorder="tru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37" fillId="6" borderId="0" xfId="0" applyFont="true" applyBorder="false" applyAlignment="true" applyProtection="false">
      <alignment horizontal="general" vertical="center" textRotation="0" wrapText="false" indent="0" shrinkToFit="false"/>
      <protection locked="true" hidden="false"/>
    </xf>
    <xf numFmtId="164" fontId="34" fillId="15" borderId="14" xfId="0" applyFont="true" applyBorder="true" applyAlignment="true" applyProtection="false">
      <alignment horizontal="center" vertical="bottom" textRotation="0" wrapText="true" indent="0" shrinkToFit="false"/>
      <protection locked="true" hidden="false"/>
    </xf>
    <xf numFmtId="164" fontId="59" fillId="0" borderId="10" xfId="0" applyFont="true" applyBorder="true" applyAlignment="true" applyProtection="false">
      <alignment horizontal="center" vertical="bottom" textRotation="0" wrapText="true" indent="0" shrinkToFit="false"/>
      <protection locked="true" hidden="false"/>
    </xf>
    <xf numFmtId="168" fontId="44"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center" vertical="center" textRotation="0" wrapText="true" indent="0" shrinkToFit="false"/>
      <protection locked="true" hidden="false"/>
    </xf>
    <xf numFmtId="164" fontId="39" fillId="7" borderId="0" xfId="0" applyFont="true" applyBorder="false" applyAlignment="false" applyProtection="false">
      <alignment horizontal="general" vertical="bottom" textRotation="0" wrapText="false" indent="0" shrinkToFit="false"/>
      <protection locked="true" hidden="false"/>
    </xf>
    <xf numFmtId="164" fontId="34" fillId="15" borderId="10" xfId="0" applyFont="true" applyBorder="true" applyAlignment="true" applyProtection="false">
      <alignment horizontal="center" vertical="bottom" textRotation="0" wrapText="true" indent="0" shrinkToFit="false"/>
      <protection locked="true" hidden="false"/>
    </xf>
    <xf numFmtId="164" fontId="44" fillId="7" borderId="0" xfId="0" applyFont="true" applyBorder="false" applyAlignment="false" applyProtection="false">
      <alignment horizontal="general" vertical="bottom" textRotation="0" wrapText="false" indent="0" shrinkToFit="false"/>
      <protection locked="true" hidden="false"/>
    </xf>
    <xf numFmtId="164" fontId="49"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47" fillId="7" borderId="0" xfId="0" applyFont="true" applyBorder="false" applyAlignment="false" applyProtection="false">
      <alignment horizontal="general" vertical="bottom" textRotation="0" wrapText="false" indent="0" shrinkToFit="false"/>
      <protection locked="true" hidden="false"/>
    </xf>
    <xf numFmtId="164" fontId="43" fillId="7" borderId="0" xfId="0" applyFont="true" applyBorder="false" applyAlignment="false" applyProtection="false">
      <alignment horizontal="general" vertical="bottom" textRotation="0" wrapText="false" indent="0" shrinkToFit="false"/>
      <protection locked="true" hidden="false"/>
    </xf>
    <xf numFmtId="164" fontId="50" fillId="7" borderId="0" xfId="0" applyFont="true" applyBorder="false" applyAlignment="false" applyProtection="false">
      <alignment horizontal="general" vertical="bottom" textRotation="0" wrapText="false" indent="0" shrinkToFit="false"/>
      <protection locked="true" hidden="false"/>
    </xf>
    <xf numFmtId="164" fontId="51" fillId="7" borderId="0" xfId="0" applyFont="true" applyBorder="false" applyAlignment="false" applyProtection="false">
      <alignment horizontal="general" vertical="bottom" textRotation="0" wrapText="false" indent="0" shrinkToFit="false"/>
      <protection locked="true" hidden="false"/>
    </xf>
    <xf numFmtId="164" fontId="34" fillId="8" borderId="10" xfId="0" applyFont="true" applyBorder="true" applyAlignment="true" applyProtection="false">
      <alignment horizontal="center" vertical="bottom" textRotation="0" wrapText="true" indent="0" shrinkToFit="false"/>
      <protection locked="true" hidden="false"/>
    </xf>
    <xf numFmtId="164" fontId="51" fillId="0" borderId="0" xfId="0" applyFont="true" applyBorder="false" applyAlignment="true" applyProtection="false">
      <alignment horizontal="left"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true" indent="0" shrinkToFit="false"/>
      <protection locked="true" hidden="false"/>
    </xf>
    <xf numFmtId="168"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left"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true" applyProtection="false">
      <alignment horizontal="left" vertical="bottom" textRotation="0" wrapText="true" indent="0" shrinkToFit="false"/>
      <protection locked="true" hidden="false"/>
    </xf>
    <xf numFmtId="164" fontId="59"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27" fillId="0" borderId="16" xfId="0" applyFont="true" applyBorder="true" applyAlignment="false" applyProtection="false">
      <alignment horizontal="general"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37" fillId="4" borderId="17" xfId="0" applyFont="tru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false" applyProtection="false">
      <alignment horizontal="general" vertical="bottom" textRotation="0" wrapText="false" indent="0" shrinkToFit="false"/>
      <protection locked="true" hidden="false"/>
    </xf>
    <xf numFmtId="164" fontId="37" fillId="10" borderId="13" xfId="0" applyFont="true" applyBorder="true" applyAlignment="true" applyProtection="false">
      <alignment horizontal="general" vertical="bottom" textRotation="0" wrapText="true" indent="0" shrinkToFit="false"/>
      <protection locked="true" hidden="false"/>
    </xf>
    <xf numFmtId="164" fontId="37" fillId="5" borderId="13" xfId="0" applyFont="true" applyBorder="true" applyAlignment="true" applyProtection="false">
      <alignment horizontal="general" vertical="bottom" textRotation="0" wrapText="true" indent="0" shrinkToFit="false"/>
      <protection locked="true" hidden="false"/>
    </xf>
    <xf numFmtId="164" fontId="37" fillId="18" borderId="13" xfId="0" applyFont="true" applyBorder="true" applyAlignment="true" applyProtection="false">
      <alignment horizontal="general" vertical="bottom" textRotation="0" wrapText="true" indent="0" shrinkToFit="false"/>
      <protection locked="true" hidden="false"/>
    </xf>
    <xf numFmtId="164" fontId="37" fillId="3" borderId="13" xfId="0" applyFont="true" applyBorder="true" applyAlignment="true" applyProtection="false">
      <alignment horizontal="general" vertical="bottom" textRotation="0" wrapText="true" indent="0" shrinkToFit="false"/>
      <protection locked="true" hidden="false"/>
    </xf>
    <xf numFmtId="164" fontId="37" fillId="6" borderId="18" xfId="0" applyFont="true" applyBorder="true" applyAlignment="true" applyProtection="false">
      <alignment horizontal="general" vertical="center" textRotation="0" wrapText="fals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8" fillId="19" borderId="13" xfId="0" applyFont="true" applyBorder="true" applyAlignment="false" applyProtection="false">
      <alignment horizontal="general" vertical="bottom" textRotation="0" wrapText="false" indent="0" shrinkToFit="false"/>
      <protection locked="true" hidden="false"/>
    </xf>
    <xf numFmtId="164" fontId="46" fillId="20" borderId="13" xfId="0" applyFont="true" applyBorder="true" applyAlignment="false" applyProtection="false">
      <alignment horizontal="general" vertical="bottom" textRotation="0" wrapText="false" indent="0" shrinkToFit="false"/>
      <protection locked="true" hidden="false"/>
    </xf>
    <xf numFmtId="164" fontId="8" fillId="15"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false" applyProtection="false">
      <alignment horizontal="general" vertical="bottom" textRotation="0" wrapText="false" indent="0" shrinkToFit="false"/>
      <protection locked="true" hidden="false"/>
    </xf>
    <xf numFmtId="164" fontId="44" fillId="15" borderId="13" xfId="0" applyFont="true" applyBorder="true" applyAlignment="true" applyProtection="false">
      <alignment horizontal="general" vertical="bottom" textRotation="0" wrapText="true" indent="0" shrinkToFit="false"/>
      <protection locked="true" hidden="false"/>
    </xf>
    <xf numFmtId="164" fontId="44" fillId="14"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true" applyProtection="false">
      <alignment horizontal="general" vertical="bottom" textRotation="0" wrapText="true" indent="0" shrinkToFit="false"/>
      <protection locked="true" hidden="false"/>
    </xf>
    <xf numFmtId="164" fontId="8" fillId="11"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true" applyProtection="false">
      <alignment horizontal="general" vertical="bottom" textRotation="0" wrapText="true" indent="0" shrinkToFit="false"/>
      <protection locked="true" hidden="false"/>
    </xf>
    <xf numFmtId="164" fontId="8" fillId="19" borderId="0" xfId="0" applyFont="true" applyBorder="false" applyAlignment="false" applyProtection="false">
      <alignment horizontal="general" vertical="bottom" textRotation="0" wrapText="false" indent="0" shrinkToFit="false"/>
      <protection locked="true" hidden="false"/>
    </xf>
    <xf numFmtId="164" fontId="44" fillId="0"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false" applyProtection="false">
      <alignment horizontal="general" vertical="bottom" textRotation="0" wrapText="false" indent="0" shrinkToFit="false"/>
      <protection locked="true" hidden="false"/>
    </xf>
    <xf numFmtId="164" fontId="8" fillId="12" borderId="0" xfId="0" applyFont="true" applyBorder="false" applyAlignment="false" applyProtection="false">
      <alignment horizontal="general" vertical="bottom" textRotation="0" wrapText="false" indent="0" shrinkToFit="false"/>
      <protection locked="true" hidden="false"/>
    </xf>
    <xf numFmtId="164" fontId="44" fillId="11" borderId="13" xfId="0" applyFont="true" applyBorder="true" applyAlignment="true" applyProtection="false">
      <alignment horizontal="general" vertical="bottom" textRotation="0" wrapText="true" indent="0" shrinkToFit="false"/>
      <protection locked="true" hidden="false"/>
    </xf>
    <xf numFmtId="164" fontId="39" fillId="11" borderId="13" xfId="0" applyFont="true" applyBorder="true" applyAlignment="true" applyProtection="false">
      <alignment horizontal="general" vertical="bottom" textRotation="0" wrapText="true" indent="0" shrinkToFit="false"/>
      <protection locked="true" hidden="false"/>
    </xf>
    <xf numFmtId="164" fontId="8" fillId="15" borderId="13" xfId="0" applyFont="true" applyBorder="true" applyAlignment="false" applyProtection="false">
      <alignment horizontal="general" vertical="bottom" textRotation="0" wrapText="false" indent="0" shrinkToFit="false"/>
      <protection locked="true" hidden="false"/>
    </xf>
    <xf numFmtId="164" fontId="39" fillId="15" borderId="13" xfId="0" applyFont="true" applyBorder="true" applyAlignment="true" applyProtection="false">
      <alignment horizontal="general" vertical="bottom" textRotation="0" wrapText="tru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39" fillId="12" borderId="13" xfId="0" applyFont="true" applyBorder="true" applyAlignment="true" applyProtection="false">
      <alignment horizontal="general" vertical="bottom" textRotation="0" wrapText="true" indent="0" shrinkToFit="false"/>
      <protection locked="true" hidden="false"/>
    </xf>
    <xf numFmtId="164" fontId="39"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8" fillId="22"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true" applyAlignment="true" applyProtection="false">
      <alignment horizontal="center" vertical="bottom" textRotation="0" wrapText="true" indent="0" shrinkToFit="false"/>
      <protection locked="true" hidden="false"/>
    </xf>
    <xf numFmtId="164" fontId="48" fillId="0" borderId="0" xfId="0" applyFont="true" applyBorder="false" applyAlignment="true" applyProtection="false">
      <alignment horizontal="general" vertical="bottom" textRotation="0" wrapText="true" indent="0" shrinkToFit="false"/>
      <protection locked="true" hidden="false"/>
    </xf>
    <xf numFmtId="164" fontId="39" fillId="0" borderId="0" xfId="27" applyFont="true" applyBorder="true" applyAlignment="true" applyProtection="true">
      <alignment horizontal="left" vertical="center" textRotation="0" wrapText="true" indent="0" shrinkToFit="false"/>
      <protection locked="true" hidden="false"/>
    </xf>
    <xf numFmtId="164" fontId="68" fillId="0" borderId="0" xfId="0" applyFont="true" applyBorder="false" applyAlignment="true" applyProtection="false">
      <alignment horizontal="left" vertical="bottom" textRotation="0" wrapText="false" indent="0" shrinkToFit="false"/>
      <protection locked="true" hidden="false"/>
    </xf>
    <xf numFmtId="164" fontId="55" fillId="6" borderId="0" xfId="0" applyFont="true" applyBorder="false" applyAlignment="true" applyProtection="false">
      <alignment horizontal="center" vertical="center"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true" applyProtection="false">
      <alignment horizontal="left" vertical="bottom" textRotation="0" wrapText="false" indent="0" shrinkToFit="false"/>
      <protection locked="true" hidden="false"/>
    </xf>
    <xf numFmtId="166" fontId="43" fillId="0" borderId="0" xfId="0" applyFont="true" applyBorder="false" applyAlignment="true" applyProtection="false">
      <alignment horizontal="left" vertical="bottom" textRotation="0" wrapText="false" indent="0" shrinkToFit="false"/>
      <protection locked="true" hidden="false"/>
    </xf>
    <xf numFmtId="166" fontId="43"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general" vertical="bottom" textRotation="0" wrapText="true" indent="0" shrinkToFit="false"/>
      <protection locked="true" hidden="false"/>
    </xf>
    <xf numFmtId="166" fontId="8" fillId="2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true" indent="0" shrinkToFit="false"/>
      <protection locked="true" hidden="false"/>
    </xf>
    <xf numFmtId="166" fontId="8" fillId="0" borderId="0" xfId="0" applyFont="true" applyBorder="false" applyAlignment="true" applyProtection="false">
      <alignment horizontal="center" vertical="bottom" textRotation="0" wrapText="true" indent="0" shrinkToFit="false"/>
      <protection locked="true" hidden="false"/>
    </xf>
    <xf numFmtId="166" fontId="46"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bottom" textRotation="0" wrapText="true" indent="0" shrinkToFit="false"/>
      <protection locked="true" hidden="false"/>
    </xf>
    <xf numFmtId="166" fontId="34" fillId="7"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6" fontId="34" fillId="0"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tru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6" fontId="55" fillId="0" borderId="0" xfId="0" applyFont="true" applyBorder="false" applyAlignment="true" applyProtection="false">
      <alignment horizontal="left" vertical="bottom" textRotation="0" wrapText="false" indent="0" shrinkToFit="false"/>
      <protection locked="true" hidden="false"/>
    </xf>
    <xf numFmtId="166" fontId="39" fillId="0" borderId="0" xfId="0" applyFont="true" applyBorder="false" applyAlignment="true" applyProtection="false">
      <alignment horizontal="general" vertical="top" textRotation="0" wrapText="true" indent="0" shrinkToFit="false"/>
      <protection locked="true" hidden="false"/>
    </xf>
    <xf numFmtId="166" fontId="46" fillId="0"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false" indent="0" shrinkToFit="false"/>
      <protection locked="true" hidden="false"/>
    </xf>
    <xf numFmtId="166" fontId="70" fillId="24" borderId="0" xfId="0" applyFont="true" applyBorder="false" applyAlignment="true" applyProtection="false">
      <alignment horizontal="general"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true" indent="0" shrinkToFit="false"/>
      <protection locked="true" hidden="false"/>
    </xf>
    <xf numFmtId="166" fontId="39" fillId="0" borderId="0" xfId="0" applyFont="true" applyBorder="fals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right" vertical="bottom" textRotation="0" wrapText="true" indent="0" shrinkToFit="false"/>
      <protection locked="true" hidden="false"/>
    </xf>
    <xf numFmtId="166" fontId="71" fillId="0" borderId="0" xfId="26" applyFont="true" applyBorder="true" applyAlignment="true" applyProtection="true">
      <alignment horizontal="left" vertical="bottom" textRotation="0" wrapText="true" indent="0" shrinkToFit="false"/>
      <protection locked="true" hidden="false"/>
    </xf>
    <xf numFmtId="164" fontId="39" fillId="0" borderId="13" xfId="0" applyFont="true" applyBorder="true" applyAlignment="true" applyProtection="false">
      <alignment horizontal="general" vertical="bottom" textRotation="0" wrapText="true" indent="0" shrinkToFit="false"/>
      <protection locked="true" hidden="false"/>
    </xf>
    <xf numFmtId="166" fontId="34" fillId="0" borderId="0" xfId="0" applyFont="true" applyBorder="false" applyAlignment="true" applyProtection="false">
      <alignment horizontal="right"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false" indent="0" shrinkToFit="false"/>
      <protection locked="true" hidden="false"/>
    </xf>
    <xf numFmtId="166" fontId="8" fillId="0" borderId="13" xfId="0" applyFont="true" applyBorder="true" applyAlignment="true" applyProtection="false">
      <alignment horizontal="general"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false" indent="0" shrinkToFit="false"/>
      <protection locked="true" hidden="false"/>
    </xf>
    <xf numFmtId="164" fontId="39" fillId="0" borderId="0" xfId="0" applyFont="true" applyBorder="false" applyAlignment="true" applyProtection="false">
      <alignment horizontal="left" vertical="top" textRotation="0" wrapText="false" indent="0" shrinkToFit="false"/>
      <protection locked="true" hidden="false"/>
    </xf>
    <xf numFmtId="164" fontId="39" fillId="24" borderId="0" xfId="0" applyFont="true" applyBorder="false" applyAlignment="true" applyProtection="false">
      <alignment horizontal="general"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general" vertical="bottom" textRotation="0" wrapText="true" indent="0" shrinkToFit="false"/>
      <protection locked="true" hidden="false"/>
    </xf>
    <xf numFmtId="166" fontId="8" fillId="16"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6" fontId="44"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true" applyProtection="false">
      <alignment horizontal="center" vertical="center" textRotation="0" wrapText="false" indent="0" shrinkToFit="false"/>
      <protection locked="true" hidden="false"/>
    </xf>
    <xf numFmtId="164" fontId="39"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general" vertical="bottom" textRotation="0" wrapText="true" indent="0" shrinkToFit="false"/>
      <protection locked="true" hidden="false"/>
    </xf>
    <xf numFmtId="164" fontId="8" fillId="25" borderId="0" xfId="0" applyFont="true" applyBorder="false" applyAlignment="true" applyProtection="false">
      <alignment horizontal="left" vertical="bottom" textRotation="0" wrapText="true" indent="0" shrinkToFit="false"/>
      <protection locked="true" hidden="false"/>
    </xf>
    <xf numFmtId="164" fontId="42" fillId="16" borderId="0" xfId="0" applyFont="true" applyBorder="false" applyAlignment="true" applyProtection="false">
      <alignment horizontal="left" vertical="bottom" textRotation="0" wrapText="false" indent="0" shrinkToFit="false"/>
      <protection locked="true" hidden="false"/>
    </xf>
    <xf numFmtId="164" fontId="8" fillId="16" borderId="0" xfId="0" applyFont="true" applyBorder="false" applyAlignment="true" applyProtection="false">
      <alignment horizontal="left" vertical="bottom" textRotation="0" wrapText="false" indent="0" shrinkToFit="false"/>
      <protection locked="true" hidden="false"/>
    </xf>
    <xf numFmtId="164" fontId="43" fillId="25" borderId="0" xfId="0" applyFont="true" applyBorder="false" applyAlignment="true" applyProtection="false">
      <alignment horizontal="left" vertical="bottom" textRotation="0" wrapText="false" indent="0" shrinkToFit="false"/>
      <protection locked="true" hidden="false"/>
    </xf>
    <xf numFmtId="164" fontId="34" fillId="16" borderId="0" xfId="0" applyFont="true" applyBorder="false" applyAlignment="true" applyProtection="false">
      <alignment horizontal="left" vertical="bottom" textRotation="0" wrapText="false" indent="0" shrinkToFit="false"/>
      <protection locked="true" hidden="false"/>
    </xf>
    <xf numFmtId="164" fontId="8" fillId="7" borderId="10" xfId="0" applyFont="true" applyBorder="true" applyAlignment="true" applyProtection="false">
      <alignment horizontal="center" vertical="bottom" textRotation="0" wrapText="true" indent="0" shrinkToFit="false"/>
      <protection locked="true" hidden="false"/>
    </xf>
    <xf numFmtId="164" fontId="23" fillId="0" borderId="0" xfId="0" applyFont="true" applyBorder="true" applyAlignment="true" applyProtection="false">
      <alignment horizontal="center" vertical="bottom" textRotation="0" wrapText="true" indent="0" shrinkToFit="false"/>
      <protection locked="true" hidden="false"/>
    </xf>
    <xf numFmtId="164" fontId="8" fillId="0" borderId="0" xfId="28" applyFont="false" applyBorder="true" applyAlignment="false" applyProtection="true">
      <alignment horizontal="general" vertical="bottom" textRotation="0" wrapText="false" indent="0" shrinkToFit="false"/>
      <protection locked="true" hidden="false"/>
    </xf>
    <xf numFmtId="164" fontId="72"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2" fillId="5" borderId="0" xfId="0" applyFont="true" applyBorder="true" applyAlignment="true" applyProtection="false">
      <alignment horizontal="center" vertical="bottom" textRotation="0" wrapText="true" indent="0" shrinkToFit="false"/>
      <protection locked="true" hidden="false"/>
    </xf>
    <xf numFmtId="164" fontId="34" fillId="5" borderId="0" xfId="0" applyFont="true" applyBorder="false" applyAlignment="true" applyProtection="false">
      <alignment horizontal="center" vertical="center" textRotation="0" wrapText="true" indent="0" shrinkToFit="false"/>
      <protection locked="true" hidden="false"/>
    </xf>
    <xf numFmtId="164" fontId="37" fillId="5" borderId="10" xfId="0" applyFont="true" applyBorder="true" applyAlignment="true" applyProtection="false">
      <alignment horizontal="center" vertical="center" textRotation="0" wrapText="true" indent="0" shrinkToFit="false"/>
      <protection locked="true" hidden="false"/>
    </xf>
    <xf numFmtId="164" fontId="34" fillId="5" borderId="8"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10" xfId="0" applyFont="true" applyBorder="true" applyAlignment="true" applyProtection="false">
      <alignment horizontal="left" vertical="bottom" textRotation="0" wrapText="true" indent="0" shrinkToFit="false"/>
      <protection locked="true" hidden="false"/>
    </xf>
    <xf numFmtId="164" fontId="73" fillId="16" borderId="0" xfId="0" applyFont="true" applyBorder="false" applyAlignment="true" applyProtection="false">
      <alignment horizontal="general" vertical="bottom" textRotation="0" wrapText="true" indent="0" shrinkToFit="false"/>
      <protection locked="true" hidden="false"/>
    </xf>
    <xf numFmtId="164" fontId="58"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center" textRotation="0" wrapText="true" indent="0" shrinkToFit="false"/>
      <protection locked="true" hidden="false"/>
    </xf>
    <xf numFmtId="164" fontId="74" fillId="0" borderId="0" xfId="0" applyFont="true" applyBorder="false" applyAlignment="true" applyProtection="false">
      <alignment horizontal="left" vertical="top" textRotation="0" wrapText="true" indent="0" shrinkToFit="false"/>
      <protection locked="true" hidden="false"/>
    </xf>
    <xf numFmtId="164" fontId="60" fillId="0" borderId="0" xfId="0" applyFont="true" applyBorder="false" applyAlignment="true" applyProtection="false">
      <alignment horizontal="left" vertical="bottom" textRotation="0" wrapText="true" indent="0" shrinkToFit="false"/>
      <protection locked="true" hidden="false"/>
    </xf>
    <xf numFmtId="164" fontId="39" fillId="0" borderId="10" xfId="0" applyFont="true" applyBorder="true" applyAlignment="true" applyProtection="false">
      <alignment horizontal="left" vertical="bottom" textRotation="0" wrapText="true" indent="0" shrinkToFit="false"/>
      <protection locked="true" hidden="false"/>
    </xf>
    <xf numFmtId="164" fontId="39" fillId="25"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37" fillId="4" borderId="17" xfId="0" applyFont="true" applyBorder="true" applyAlignment="true" applyProtection="false">
      <alignment horizontal="center" vertical="center" textRotation="0" wrapText="false" indent="0" shrinkToFit="false"/>
      <protection locked="true" hidden="false"/>
    </xf>
    <xf numFmtId="164" fontId="37" fillId="10" borderId="0" xfId="0" applyFont="true" applyBorder="false" applyAlignment="true" applyProtection="false">
      <alignment horizontal="center" vertical="center" textRotation="0" wrapText="true" indent="0" shrinkToFit="false"/>
      <protection locked="true" hidden="false"/>
    </xf>
    <xf numFmtId="164" fontId="39" fillId="11" borderId="17"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true" applyProtection="false">
      <alignment horizontal="center" vertical="center" textRotation="0" wrapText="false" indent="0" shrinkToFit="false"/>
      <protection locked="true" hidden="false"/>
    </xf>
    <xf numFmtId="164" fontId="40" fillId="12" borderId="19" xfId="0" applyFont="true" applyBorder="true" applyAlignment="true" applyProtection="false">
      <alignment horizontal="center" vertical="center" textRotation="0" wrapText="false" indent="0" shrinkToFit="false"/>
      <protection locked="true" hidden="false"/>
    </xf>
    <xf numFmtId="164" fontId="39" fillId="17" borderId="13" xfId="0" applyFont="true" applyBorder="true" applyAlignment="true" applyProtection="false">
      <alignment horizontal="general" vertical="center" textRotation="0" wrapText="false" indent="0" shrinkToFit="false"/>
      <protection locked="true" hidden="false"/>
    </xf>
    <xf numFmtId="164" fontId="39" fillId="17" borderId="12" xfId="0" applyFont="true" applyBorder="true" applyAlignment="true" applyProtection="false">
      <alignment horizontal="general" vertical="center" textRotation="0" wrapText="false" indent="0" shrinkToFit="false"/>
      <protection locked="true" hidden="false"/>
    </xf>
    <xf numFmtId="164" fontId="8" fillId="26"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left" vertical="bottom" textRotation="0" wrapText="true" indent="0" shrinkToFit="false"/>
      <protection locked="true" hidden="false"/>
    </xf>
    <xf numFmtId="164" fontId="8" fillId="26" borderId="13" xfId="0" applyFont="true" applyBorder="true" applyAlignment="true" applyProtection="false">
      <alignment horizontal="left" vertical="bottom" textRotation="0" wrapText="true" indent="0" shrinkToFit="false"/>
      <protection locked="true" hidden="false"/>
    </xf>
    <xf numFmtId="168" fontId="8" fillId="8" borderId="13" xfId="0" applyFont="true" applyBorder="true" applyAlignment="true" applyProtection="false">
      <alignment horizontal="general" vertical="bottom" textRotation="0" wrapText="true" indent="0" shrinkToFit="false"/>
      <protection locked="true" hidden="false"/>
    </xf>
    <xf numFmtId="168" fontId="8" fillId="26" borderId="13" xfId="0" applyFont="true" applyBorder="true" applyAlignment="true" applyProtection="false">
      <alignment horizontal="left" vertical="bottom" textRotation="0" wrapText="true" indent="0" shrinkToFit="false"/>
      <protection locked="true" hidden="false"/>
    </xf>
    <xf numFmtId="164" fontId="39" fillId="17" borderId="20" xfId="0" applyFont="true" applyBorder="true" applyAlignment="true" applyProtection="false">
      <alignment horizontal="general" vertical="center" textRotation="0" wrapText="false" indent="0" shrinkToFit="false"/>
      <protection locked="true" hidden="false"/>
    </xf>
    <xf numFmtId="164" fontId="8" fillId="14" borderId="20" xfId="0" applyFont="true" applyBorder="true" applyAlignment="true" applyProtection="false">
      <alignment horizontal="general" vertical="bottom" textRotation="0" wrapText="tru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9" fillId="0" borderId="21"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true" applyProtection="false">
      <alignment horizontal="center" vertical="bottom" textRotation="0" wrapText="false" indent="0" shrinkToFit="false"/>
      <protection locked="true" hidden="false"/>
    </xf>
    <xf numFmtId="164" fontId="8" fillId="8" borderId="0" xfId="0" applyFont="true" applyBorder="false" applyAlignment="true" applyProtection="false">
      <alignment horizontal="center" vertical="center" textRotation="0" wrapText="false" indent="0" shrinkToFit="false"/>
      <protection locked="true" hidden="false"/>
    </xf>
    <xf numFmtId="164" fontId="39" fillId="11" borderId="20" xfId="0" applyFont="true" applyBorder="true" applyAlignment="true" applyProtection="false">
      <alignment horizontal="general" vertical="center" textRotation="0" wrapText="false" indent="0" shrinkToFit="false"/>
      <protection locked="true" hidden="false"/>
    </xf>
    <xf numFmtId="164" fontId="8" fillId="17" borderId="20" xfId="0" applyFont="true" applyBorder="true" applyAlignment="true" applyProtection="false">
      <alignment horizontal="general" vertical="center" textRotation="0" wrapText="false" indent="0" shrinkToFit="false"/>
      <protection locked="true" hidden="false"/>
    </xf>
    <xf numFmtId="164" fontId="39" fillId="17" borderId="21" xfId="0" applyFont="true" applyBorder="true" applyAlignment="true" applyProtection="false">
      <alignment horizontal="general" vertical="center" textRotation="0" wrapText="false" indent="0" shrinkToFit="false"/>
      <protection locked="true" hidden="false"/>
    </xf>
    <xf numFmtId="164" fontId="8" fillId="8" borderId="20"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8" fillId="8" borderId="0" xfId="0" applyFont="true" applyBorder="false" applyAlignment="true" applyProtection="false">
      <alignment horizontal="general" vertical="center" textRotation="0" wrapText="false" indent="0" shrinkToFit="false"/>
      <protection locked="true" hidden="false"/>
    </xf>
    <xf numFmtId="164" fontId="8" fillId="17" borderId="13" xfId="0" applyFont="true" applyBorder="true" applyAlignment="true" applyProtection="false">
      <alignment horizontal="general" vertical="center" textRotation="0" wrapText="false" indent="0" shrinkToFit="false"/>
      <protection locked="true" hidden="false"/>
    </xf>
    <xf numFmtId="164" fontId="8" fillId="17" borderId="12" xfId="0" applyFont="true" applyBorder="true" applyAlignment="true" applyProtection="false">
      <alignment horizontal="general" vertical="center" textRotation="0" wrapText="false" indent="0" shrinkToFit="false"/>
      <protection locked="true" hidden="false"/>
    </xf>
    <xf numFmtId="164" fontId="39" fillId="11" borderId="22" xfId="0" applyFont="true" applyBorder="true" applyAlignment="true" applyProtection="false">
      <alignment horizontal="general" vertical="center" textRotation="0" wrapText="false" indent="0" shrinkToFit="false"/>
      <protection locked="true" hidden="false"/>
    </xf>
    <xf numFmtId="164" fontId="8" fillId="17" borderId="22" xfId="0" applyFont="true" applyBorder="true" applyAlignment="true" applyProtection="false">
      <alignment horizontal="general" vertical="center" textRotation="0" wrapText="false" indent="0" shrinkToFit="false"/>
      <protection locked="true" hidden="false"/>
    </xf>
    <xf numFmtId="164" fontId="39" fillId="17" borderId="22" xfId="0" applyFont="true" applyBorder="true" applyAlignment="true" applyProtection="false">
      <alignment horizontal="general" vertical="center" textRotation="0" wrapText="false" indent="0" shrinkToFit="false"/>
      <protection locked="true" hidden="false"/>
    </xf>
    <xf numFmtId="164" fontId="8" fillId="0" borderId="22" xfId="0" applyFont="true" applyBorder="true" applyAlignment="true" applyProtection="false">
      <alignment horizontal="general" vertical="bottom" textRotation="0" wrapText="true" indent="0" shrinkToFit="false"/>
      <protection locked="true" hidden="false"/>
    </xf>
    <xf numFmtId="164" fontId="8" fillId="14" borderId="22"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true" applyProtection="false">
      <alignment horizontal="general" vertical="bottom" textRotation="0" wrapText="true" indent="0" shrinkToFit="false"/>
      <protection locked="true" hidden="false"/>
    </xf>
    <xf numFmtId="164" fontId="8" fillId="0" borderId="21" xfId="0" applyFont="true" applyBorder="true" applyAlignment="false" applyProtection="false">
      <alignment horizontal="general" vertical="bottom" textRotation="0" wrapText="false" indent="0" shrinkToFit="false"/>
      <protection locked="true" hidden="false"/>
    </xf>
    <xf numFmtId="164" fontId="55" fillId="6" borderId="0" xfId="0" applyFont="true" applyBorder="false" applyAlignment="true" applyProtection="false">
      <alignment horizontal="general" vertical="center" textRotation="0" wrapText="false" indent="0"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6" fontId="76" fillId="0" borderId="0" xfId="20" applyFont="true" applyBorder="true" applyAlignment="true" applyProtection="true">
      <alignment horizontal="left" vertical="bottom" textRotation="0" wrapText="true" indent="0" shrinkToFit="false"/>
      <protection locked="true" hidden="false"/>
    </xf>
    <xf numFmtId="166" fontId="8" fillId="0" borderId="0" xfId="20" applyFont="true" applyBorder="true" applyAlignment="true" applyProtection="true">
      <alignment horizontal="left" vertical="bottom"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22"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37" fillId="4" borderId="12" xfId="0" applyFont="true" applyBorder="true" applyAlignment="true" applyProtection="false">
      <alignment horizontal="general" vertical="top" textRotation="0" wrapText="false" indent="0" shrinkToFit="false"/>
      <protection locked="true" hidden="false"/>
    </xf>
    <xf numFmtId="164" fontId="37" fillId="4"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top" textRotation="0" wrapText="true" indent="0" shrinkToFit="false"/>
      <protection locked="true" hidden="false"/>
    </xf>
    <xf numFmtId="164" fontId="8" fillId="12" borderId="13" xfId="0" applyFont="true" applyBorder="true" applyAlignment="true" applyProtection="false">
      <alignment horizontal="general" vertical="top" textRotation="0" wrapText="true" indent="0" shrinkToFit="false"/>
      <protection locked="true" hidden="false"/>
    </xf>
    <xf numFmtId="164" fontId="8" fillId="8" borderId="23" xfId="0" applyFont="true" applyBorder="true" applyAlignment="true" applyProtection="false">
      <alignment horizontal="general" vertical="top" textRotation="0" wrapText="true" indent="0" shrinkToFit="false"/>
      <protection locked="true" hidden="false"/>
    </xf>
    <xf numFmtId="164" fontId="8" fillId="8" borderId="24" xfId="0" applyFont="true" applyBorder="true" applyAlignment="true" applyProtection="false">
      <alignment horizontal="general" vertical="bottom" textRotation="0" wrapText="true" indent="0" shrinkToFit="false"/>
      <protection locked="true" hidden="false"/>
    </xf>
    <xf numFmtId="164" fontId="8" fillId="12" borderId="0" xfId="0" applyFont="true" applyBorder="false" applyAlignment="true" applyProtection="false">
      <alignment horizontal="general" vertical="top" textRotation="0" wrapText="true" indent="0" shrinkToFit="false"/>
      <protection locked="true" hidden="false"/>
    </xf>
    <xf numFmtId="164" fontId="8" fillId="12" borderId="25" xfId="0" applyFont="true" applyBorder="true" applyAlignment="false" applyProtection="false">
      <alignment horizontal="general" vertical="bottom" textRotation="0" wrapText="false" indent="0" shrinkToFit="false"/>
      <protection locked="true" hidden="false"/>
    </xf>
    <xf numFmtId="164" fontId="8" fillId="8" borderId="26" xfId="0" applyFont="true" applyBorder="true" applyAlignment="true" applyProtection="false">
      <alignment horizontal="general" vertical="top" textRotation="0" wrapText="true" indent="0" shrinkToFit="false"/>
      <protection locked="true" hidden="false"/>
    </xf>
    <xf numFmtId="164" fontId="39" fillId="11" borderId="22" xfId="0" applyFont="true" applyBorder="true" applyAlignment="false" applyProtection="false">
      <alignment horizontal="general" vertical="bottom" textRotation="0" wrapText="false" indent="0" shrinkToFit="false"/>
      <protection locked="true" hidden="false"/>
    </xf>
    <xf numFmtId="164" fontId="8" fillId="11" borderId="22" xfId="0" applyFont="true" applyBorder="true" applyAlignment="false" applyProtection="false">
      <alignment horizontal="general" vertical="bottom" textRotation="0" wrapText="false" indent="0" shrinkToFit="false"/>
      <protection locked="true" hidden="false"/>
    </xf>
    <xf numFmtId="164" fontId="8" fillId="12" borderId="22" xfId="0" applyFont="true" applyBorder="true" applyAlignment="true" applyProtection="false">
      <alignment horizontal="general" vertical="top" textRotation="0" wrapText="true" indent="0" shrinkToFit="false"/>
      <protection locked="true" hidden="false"/>
    </xf>
    <xf numFmtId="164" fontId="8" fillId="12" borderId="22" xfId="0" applyFont="true" applyBorder="true" applyAlignment="true" applyProtection="false">
      <alignment horizontal="general" vertical="bottom" textRotation="0" wrapText="true" indent="0" shrinkToFit="false"/>
      <protection locked="true" hidden="false"/>
    </xf>
    <xf numFmtId="164" fontId="8" fillId="13" borderId="22" xfId="0" applyFont="true" applyBorder="true" applyAlignment="true" applyProtection="false">
      <alignment horizontal="general" vertical="bottom" textRotation="0" wrapText="true" indent="0" shrinkToFit="false"/>
      <protection locked="true" hidden="false"/>
    </xf>
    <xf numFmtId="164" fontId="8" fillId="12" borderId="22" xfId="0" applyFont="true" applyBorder="true" applyAlignment="false" applyProtection="false">
      <alignment horizontal="general" vertical="bottom" textRotation="0" wrapText="false" indent="0" shrinkToFit="false"/>
      <protection locked="true" hidden="false"/>
    </xf>
    <xf numFmtId="164" fontId="46" fillId="12" borderId="22" xfId="0" applyFont="true" applyBorder="true" applyAlignment="false" applyProtection="false">
      <alignment horizontal="general" vertical="bottom" textRotation="0" wrapText="false" indent="0" shrinkToFit="false"/>
      <protection locked="true" hidden="false"/>
    </xf>
    <xf numFmtId="164" fontId="40" fillId="12" borderId="22" xfId="0" applyFont="true" applyBorder="true" applyAlignment="false" applyProtection="false">
      <alignment horizontal="general" vertical="bottom" textRotation="0" wrapText="false" indent="0" shrinkToFit="false"/>
      <protection locked="true" hidden="false"/>
    </xf>
    <xf numFmtId="164" fontId="39" fillId="11" borderId="20" xfId="0" applyFont="true" applyBorder="true" applyAlignment="false" applyProtection="false">
      <alignment horizontal="general" vertical="bottom" textRotation="0" wrapText="false" indent="0" shrinkToFit="false"/>
      <protection locked="true" hidden="false"/>
    </xf>
    <xf numFmtId="164" fontId="8" fillId="11" borderId="20" xfId="0" applyFont="true" applyBorder="true" applyAlignment="false" applyProtection="false">
      <alignment horizontal="general" vertical="bottom" textRotation="0" wrapText="false" indent="0" shrinkToFit="false"/>
      <protection locked="true" hidden="false"/>
    </xf>
    <xf numFmtId="164" fontId="8" fillId="12" borderId="21" xfId="0" applyFont="true" applyBorder="true" applyAlignment="true" applyProtection="false">
      <alignment horizontal="general" vertical="top" textRotation="0" wrapText="true" indent="0" shrinkToFit="false"/>
      <protection locked="true" hidden="false"/>
    </xf>
    <xf numFmtId="164" fontId="8" fillId="12" borderId="21" xfId="0" applyFont="true" applyBorder="true" applyAlignment="false" applyProtection="false">
      <alignment horizontal="general" vertical="bottom" textRotation="0" wrapText="false" indent="0" shrinkToFit="false"/>
      <protection locked="true" hidden="false"/>
    </xf>
    <xf numFmtId="164" fontId="8" fillId="13" borderId="20"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false" applyProtection="false">
      <alignment horizontal="general" vertical="bottom" textRotation="0" wrapText="false" indent="0" shrinkToFit="false"/>
      <protection locked="true" hidden="false"/>
    </xf>
    <xf numFmtId="164" fontId="40" fillId="12" borderId="20" xfId="0" applyFont="true" applyBorder="true" applyAlignment="false" applyProtection="false">
      <alignment horizontal="general" vertical="bottom" textRotation="0" wrapText="false" indent="0" shrinkToFit="false"/>
      <protection locked="true" hidden="false"/>
    </xf>
    <xf numFmtId="164" fontId="39" fillId="8" borderId="27" xfId="0" applyFont="true" applyBorder="true" applyAlignment="false" applyProtection="false">
      <alignment horizontal="general" vertical="bottom" textRotation="0" wrapText="false" indent="0" shrinkToFit="false"/>
      <protection locked="true" hidden="false"/>
    </xf>
    <xf numFmtId="164" fontId="0" fillId="8" borderId="28" xfId="0" applyFont="fals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true" applyProtection="false">
      <alignment horizontal="general" vertical="bottom" textRotation="0" wrapText="true" indent="0" shrinkToFit="false"/>
      <protection locked="true" hidden="false"/>
    </xf>
    <xf numFmtId="164" fontId="37" fillId="3" borderId="19" xfId="0" applyFont="true" applyBorder="true" applyAlignment="true" applyProtection="false">
      <alignment horizontal="general" vertical="bottom" textRotation="0" wrapText="true" indent="0" shrinkToFit="false"/>
      <protection locked="true" hidden="false"/>
    </xf>
    <xf numFmtId="164" fontId="40" fillId="12" borderId="19" xfId="0" applyFont="true" applyBorder="true" applyAlignment="false" applyProtection="false">
      <alignment horizontal="general" vertical="bottom" textRotation="0" wrapText="false" indent="0" shrinkToFit="false"/>
      <protection locked="true" hidden="false"/>
    </xf>
    <xf numFmtId="164" fontId="37" fillId="4" borderId="29" xfId="0" applyFont="true" applyBorder="true" applyAlignment="false" applyProtection="false">
      <alignment horizontal="general" vertical="bottom" textRotation="0" wrapText="false" indent="0" shrinkToFit="false"/>
      <protection locked="true" hidden="false"/>
    </xf>
    <xf numFmtId="164" fontId="37" fillId="4" borderId="22" xfId="0" applyFont="true" applyBorder="true" applyAlignment="true" applyProtection="false">
      <alignment horizontal="general" vertical="bottom" textRotation="0" wrapText="true" indent="0" shrinkToFit="false"/>
      <protection locked="true" hidden="false"/>
    </xf>
    <xf numFmtId="164" fontId="37" fillId="10" borderId="22" xfId="0" applyFont="true" applyBorder="true" applyAlignment="true" applyProtection="false">
      <alignment horizontal="general" vertical="bottom" textRotation="0" wrapText="true" indent="0" shrinkToFit="false"/>
      <protection locked="true" hidden="false"/>
    </xf>
    <xf numFmtId="164" fontId="37" fillId="10" borderId="30" xfId="0" applyFont="true" applyBorder="true" applyAlignment="true" applyProtection="false">
      <alignment horizontal="general" vertical="bottom" textRotation="0" wrapText="true" indent="0" shrinkToFit="false"/>
      <protection locked="true" hidden="false"/>
    </xf>
    <xf numFmtId="164" fontId="37" fillId="3" borderId="12" xfId="0" applyFont="true" applyBorder="true" applyAlignment="true" applyProtection="false">
      <alignment horizontal="center" vertical="center" textRotation="0" wrapText="true" indent="0" shrinkToFit="false"/>
      <protection locked="true" hidden="false"/>
    </xf>
    <xf numFmtId="164" fontId="37" fillId="6"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center" vertical="bottom" textRotation="0" wrapText="true" indent="0" shrinkToFit="false"/>
      <protection locked="true" hidden="false"/>
    </xf>
    <xf numFmtId="164" fontId="8" fillId="27" borderId="0" xfId="0" applyFont="true" applyBorder="false" applyAlignment="true" applyProtection="false">
      <alignment horizontal="general" vertical="center" textRotation="0" wrapText="false" indent="0" shrinkToFit="false"/>
      <protection locked="true" hidden="false"/>
    </xf>
    <xf numFmtId="164" fontId="37" fillId="27"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27" borderId="0" xfId="0" applyFont="true" applyBorder="false" applyAlignment="false" applyProtection="false">
      <alignment horizontal="general" vertical="bottom" textRotation="0" wrapText="false" indent="0" shrinkToFit="false"/>
      <protection locked="true" hidden="false"/>
    </xf>
    <xf numFmtId="164" fontId="8" fillId="27" borderId="3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1" xfId="21"/>
    <cellStyle name="Doublon" xfId="22"/>
    <cellStyle name="Doublon motif" xfId="23"/>
    <cellStyle name="Doublon vide" xfId="24"/>
    <cellStyle name="Doublon2" xfId="25"/>
    <cellStyle name="Hyperlink 1" xfId="26"/>
    <cellStyle name="Normal 2" xfId="27"/>
    <cellStyle name="Normal 3" xfId="28"/>
    <cellStyle name="Résultat2" xfId="29"/>
    <cellStyle name="Untitled1" xfId="30"/>
    <cellStyle name="Untitled2" xfId="31"/>
    <cellStyle name="Untitled3" xfId="32"/>
    <cellStyle name="Untitled4" xfId="33"/>
    <cellStyle name="*unknown*" xfId="20" builtinId="8"/>
  </cellStyles>
  <dxfs count="4543">
    <dxf>
      <fill>
        <patternFill patternType="solid">
          <fgColor rgb="FF00AAAD"/>
        </patternFill>
      </fill>
    </dxf>
    <dxf>
      <fill>
        <patternFill patternType="solid">
          <fgColor rgb="00FFFFFF"/>
        </patternFill>
      </fill>
    </dxf>
    <dxf>
      <fill>
        <patternFill patternType="solid">
          <fgColor rgb="FF808080"/>
        </patternFill>
      </fill>
    </dxf>
    <dxf>
      <fill>
        <patternFill patternType="solid">
          <fgColor rgb="FFFFFFFF"/>
        </patternFill>
      </fill>
    </dxf>
    <dxf>
      <fill>
        <patternFill patternType="solid">
          <fgColor rgb="FFA5A5A5"/>
        </patternFill>
      </fill>
    </dxf>
    <dxf>
      <fill>
        <patternFill patternType="solid">
          <fgColor rgb="FFFFFFFF"/>
          <bgColor rgb="FF404040"/>
        </patternFill>
      </fill>
    </dxf>
    <dxf>
      <fill>
        <patternFill patternType="solid">
          <fgColor rgb="FF69008E"/>
        </patternFill>
      </fill>
    </dxf>
    <dxf>
      <fill>
        <patternFill patternType="solid">
          <fgColor rgb="FFEDEDED"/>
        </patternFill>
      </fill>
    </dxf>
    <dxf>
      <fill>
        <patternFill patternType="solid">
          <fgColor rgb="FFFFF2CC"/>
        </patternFill>
      </fill>
    </dxf>
    <dxf>
      <fill>
        <patternFill patternType="solid">
          <fgColor rgb="FFAE470E"/>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E2EFDA"/>
        </patternFill>
      </fill>
    </dxf>
    <dxf>
      <fill>
        <patternFill patternType="solid">
          <fgColor rgb="FF4472C4"/>
        </patternFill>
      </fill>
    </dxf>
    <dxf>
      <fill>
        <patternFill patternType="solid">
          <fgColor rgb="FFD9E1F2"/>
        </patternFill>
      </fill>
    </dxf>
    <dxf>
      <fill>
        <patternFill patternType="solid">
          <fgColor rgb="FFBFBFBF"/>
        </patternFill>
      </fill>
    </dxf>
    <dxf>
      <fill>
        <patternFill patternType="solid">
          <fgColor rgb="FF0563C1"/>
        </patternFill>
      </fill>
    </dxf>
    <dxf>
      <fill>
        <patternFill patternType="solid">
          <fgColor rgb="FFFF0000"/>
        </patternFill>
      </fill>
    </dxf>
    <dxf>
      <fill>
        <patternFill patternType="solid">
          <f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CC00CC"/>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FCE4D6"/>
        </patternFill>
      </fill>
    </dxf>
    <dxf>
      <fill>
        <patternFill patternType="solid">
          <fgColor rgb="FFFFC000"/>
        </patternFill>
      </fill>
    </dxf>
    <dxf>
      <fill>
        <patternFill patternType="solid">
          <fgColor rgb="FFAEAAAA"/>
        </patternFill>
      </fill>
    </dxf>
    <dxf>
      <fill>
        <patternFill patternType="solid">
          <fgColor rgb="FF0D0D0D"/>
        </patternFill>
      </fill>
    </dxf>
    <dxf>
      <fill>
        <patternFill patternType="solid">
          <fgColor rgb="FFF8CBA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242424"/>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FFFF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C000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E1FF"/>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DAE3F3"/>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s>
  <colors>
    <indexedColors>
      <rgbColor rgb="FF000000"/>
      <rgbColor rgb="FFFFFFFF"/>
      <rgbColor rgb="FFFF0000"/>
      <rgbColor rgb="FFEDEDED"/>
      <rgbColor rgb="FF0000FF"/>
      <rgbColor rgb="FFFFFF00"/>
      <rgbColor rgb="FFCC00CC"/>
      <rgbColor rgb="FFD9E1F2"/>
      <rgbColor rgb="FFC00000"/>
      <rgbColor rgb="FFFCE4D6"/>
      <rgbColor rgb="FF000080"/>
      <rgbColor rgb="FFA5A5A5"/>
      <rgbColor rgb="FF800080"/>
      <rgbColor rgb="FF0070C0"/>
      <rgbColor rgb="FFBFBFBF"/>
      <rgbColor rgb="FF808080"/>
      <rgbColor rgb="FF8EA9DB"/>
      <rgbColor rgb="FF7030A0"/>
      <rgbColor rgb="FFFFF2CC"/>
      <rgbColor rgb="FFE2EFDA"/>
      <rgbColor rgb="FF69008E"/>
      <rgbColor rgb="FFF58383"/>
      <rgbColor rgb="FF0563C1"/>
      <rgbColor rgb="FFD0CECE"/>
      <rgbColor rgb="FF000080"/>
      <rgbColor rgb="FFFFE1FF"/>
      <rgbColor rgb="FFC6E0B4"/>
      <rgbColor rgb="FFE7E6E6"/>
      <rgbColor rgb="FF800080"/>
      <rgbColor rgb="FF800000"/>
      <rgbColor rgb="FF2A6099"/>
      <rgbColor rgb="FF0000FF"/>
      <rgbColor rgb="FF00B0F0"/>
      <rgbColor rgb="FFDAE3F3"/>
      <rgbColor rgb="FFE2F0D9"/>
      <rgbColor rgb="FFFBE5D6"/>
      <rgbColor rgb="FF8FAADC"/>
      <rgbColor rgb="FFFCD4D1"/>
      <rgbColor rgb="FFAFABAB"/>
      <rgbColor rgb="FFF8CBAD"/>
      <rgbColor rgb="FF4472C4"/>
      <rgbColor rgb="FFCCCCCC"/>
      <rgbColor rgb="FFA6A6A6"/>
      <rgbColor rgb="FFFFC000"/>
      <rgbColor rgb="FFAEAAAA"/>
      <rgbColor rgb="FFED7D31"/>
      <rgbColor rgb="FF7F7F7F"/>
      <rgbColor rgb="FF999999"/>
      <rgbColor rgb="FF003366"/>
      <rgbColor rgb="FF00AAAD"/>
      <rgbColor rgb="FF0D0D0D"/>
      <rgbColor rgb="FF242424"/>
      <rgbColor rgb="FFAE470E"/>
      <rgbColor rgb="FFC55A11"/>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308880</xdr:colOff>
      <xdr:row>119</xdr:row>
      <xdr:rowOff>68760</xdr:rowOff>
    </xdr:from>
    <xdr:to>
      <xdr:col>4</xdr:col>
      <xdr:colOff>1112400</xdr:colOff>
      <xdr:row>138</xdr:row>
      <xdr:rowOff>15480</xdr:rowOff>
    </xdr:to>
    <xdr:pic>
      <xdr:nvPicPr>
        <xdr:cNvPr id="0" name="Picture 1" descr=""/>
        <xdr:cNvPicPr/>
      </xdr:nvPicPr>
      <xdr:blipFill>
        <a:blip r:embed="rId1"/>
        <a:stretch/>
      </xdr:blipFill>
      <xdr:spPr>
        <a:xfrm>
          <a:off x="753480" y="20014200"/>
          <a:ext cx="6261120" cy="33850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266760</xdr:colOff>
      <xdr:row>33</xdr:row>
      <xdr:rowOff>101520</xdr:rowOff>
    </xdr:from>
    <xdr:to>
      <xdr:col>9</xdr:col>
      <xdr:colOff>609120</xdr:colOff>
      <xdr:row>41</xdr:row>
      <xdr:rowOff>153360</xdr:rowOff>
    </xdr:to>
    <xdr:pic>
      <xdr:nvPicPr>
        <xdr:cNvPr id="1" name="Picture 1" descr=""/>
        <xdr:cNvPicPr/>
      </xdr:nvPicPr>
      <xdr:blipFill>
        <a:blip r:embed="rId1"/>
        <a:stretch/>
      </xdr:blipFill>
      <xdr:spPr>
        <a:xfrm>
          <a:off x="266760" y="5759280"/>
          <a:ext cx="9143640" cy="1423440"/>
        </a:xfrm>
        <a:prstGeom prst="rect">
          <a:avLst/>
        </a:prstGeom>
        <a:ln w="0">
          <a:noFill/>
        </a:ln>
      </xdr:spPr>
    </xdr:pic>
    <xdr:clientData/>
  </xdr:twoCellAnchor>
  <xdr:twoCellAnchor editAs="oneCell">
    <xdr:from>
      <xdr:col>0</xdr:col>
      <xdr:colOff>266760</xdr:colOff>
      <xdr:row>22</xdr:row>
      <xdr:rowOff>165240</xdr:rowOff>
    </xdr:from>
    <xdr:to>
      <xdr:col>9</xdr:col>
      <xdr:colOff>609120</xdr:colOff>
      <xdr:row>31</xdr:row>
      <xdr:rowOff>46080</xdr:rowOff>
    </xdr:to>
    <xdr:pic>
      <xdr:nvPicPr>
        <xdr:cNvPr id="2" name="Picture 2" descr=""/>
        <xdr:cNvPicPr/>
      </xdr:nvPicPr>
      <xdr:blipFill>
        <a:blip r:embed="rId2"/>
        <a:stretch/>
      </xdr:blipFill>
      <xdr:spPr>
        <a:xfrm>
          <a:off x="266760" y="3937320"/>
          <a:ext cx="9143640" cy="1423800"/>
        </a:xfrm>
        <a:prstGeom prst="rect">
          <a:avLst/>
        </a:prstGeom>
        <a:ln w="0">
          <a:noFill/>
        </a:ln>
      </xdr:spPr>
    </xdr:pic>
    <xdr:clientData/>
  </xdr:twoCellAnchor>
  <xdr:twoCellAnchor editAs="oneCell">
    <xdr:from>
      <xdr:col>0</xdr:col>
      <xdr:colOff>266760</xdr:colOff>
      <xdr:row>12</xdr:row>
      <xdr:rowOff>50760</xdr:rowOff>
    </xdr:from>
    <xdr:to>
      <xdr:col>9</xdr:col>
      <xdr:colOff>609120</xdr:colOff>
      <xdr:row>20</xdr:row>
      <xdr:rowOff>119520</xdr:rowOff>
    </xdr:to>
    <xdr:pic>
      <xdr:nvPicPr>
        <xdr:cNvPr id="3" name="Picture 3" descr=""/>
        <xdr:cNvPicPr/>
      </xdr:nvPicPr>
      <xdr:blipFill>
        <a:blip r:embed="rId3"/>
        <a:stretch/>
      </xdr:blipFill>
      <xdr:spPr>
        <a:xfrm>
          <a:off x="266760" y="2108160"/>
          <a:ext cx="9143640" cy="1440360"/>
        </a:xfrm>
        <a:prstGeom prst="rect">
          <a:avLst/>
        </a:prstGeom>
        <a:ln w="0">
          <a:noFill/>
        </a:ln>
      </xdr:spPr>
    </xdr:pic>
    <xdr:clientData/>
  </xdr:twoCellAnchor>
  <xdr:twoCellAnchor editAs="oneCell">
    <xdr:from>
      <xdr:col>0</xdr:col>
      <xdr:colOff>266760</xdr:colOff>
      <xdr:row>1</xdr:row>
      <xdr:rowOff>114480</xdr:rowOff>
    </xdr:from>
    <xdr:to>
      <xdr:col>9</xdr:col>
      <xdr:colOff>609120</xdr:colOff>
      <xdr:row>9</xdr:row>
      <xdr:rowOff>163080</xdr:rowOff>
    </xdr:to>
    <xdr:pic>
      <xdr:nvPicPr>
        <xdr:cNvPr id="4" name="Picture 4" descr=""/>
        <xdr:cNvPicPr/>
      </xdr:nvPicPr>
      <xdr:blipFill>
        <a:blip r:embed="rId4"/>
        <a:stretch/>
      </xdr:blipFill>
      <xdr:spPr>
        <a:xfrm>
          <a:off x="266760" y="285840"/>
          <a:ext cx="9143640" cy="1420200"/>
        </a:xfrm>
        <a:prstGeom prst="rect">
          <a:avLst/>
        </a:prstGeom>
        <a:ln w="0">
          <a:noFill/>
        </a:ln>
      </xdr:spPr>
    </xdr:pic>
    <xdr:clientData/>
  </xdr:twoCellAnchor>
</xdr:wsDr>
</file>

<file path=xl/tables/table1.xml><?xml version="1.0" encoding="utf-8"?>
<table xmlns="http://schemas.openxmlformats.org/spreadsheetml/2006/main" id="1" name="createCase1418" displayName="createCase1418" ref="A8:R89" headerRowCount="1" totalsRowCount="0" totalsRowShown="0">
  <autoFilter ref="A8:R89"/>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15-18"/>
    <tableColumn id="17" name="15-SMUR"/>
    <tableColumn id="18" name="CUT"/>
  </tableColumns>
</table>
</file>

<file path=xl/tables/table2.xml><?xml version="1.0" encoding="utf-8"?>
<table xmlns="http://schemas.openxmlformats.org/spreadsheetml/2006/main" id="2" name="createCase141814" displayName="createCase141814" ref="A8:P62" headerRowCount="1" totalsRowCount="0" totalsRowShown="0">
  <autoFilter ref="A8:P62"/>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3.xml><?xml version="1.0" encoding="utf-8"?>
<table xmlns="http://schemas.openxmlformats.org/spreadsheetml/2006/main" id="3" name="createCase14181419" displayName="createCase14181419" ref="A8:P15" headerRowCount="1" totalsRowCount="0" totalsRowShown="0">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4.xml><?xml version="1.0" encoding="utf-8"?>
<table xmlns="http://schemas.openxmlformats.org/spreadsheetml/2006/main" id="4" name="createCase16" displayName="createCase16" ref="A8:Y65" headerRowCount="1" totalsRowCount="1" totalsRowShown="1">
  <autoFilter ref="A8:Y65"/>
  <tableColumns count="25">
    <tableColumn id="1" name="ID"/>
    <tableColumn id="2" name="Donnée (Niveau 1)"/>
    <tableColumn id="3" name="Donnée (Niveau 2)"/>
    <tableColumn id="4" name="Donnée (Niveau 3)"/>
    <tableColumn id="5" name="Donnée (Niveau 4)"/>
    <tableColumn id="6" name="Donnée (Niveau 5)"/>
    <tableColumn id="7" name="Donnée (Niveau 6)"/>
    <tableColumn id="8" name="Colonne2"/>
    <tableColumn id="9" name="Colonne1"/>
    <tableColumn id="10" name="Description"/>
    <tableColumn id="11" name="Exemples"/>
    <tableColumn id="12" name="Balise"/>
    <tableColumn id="13" name="Cardinalité"/>
    <tableColumn id="14" name="Objet"/>
    <tableColumn id="15" name="Format (ou type)"/>
    <tableColumn id="16" name="Détails de format"/>
    <tableColumn id="17" name="15-SMUR"/>
    <tableColumn id="18" name="15-XX"/>
    <tableColumn id="19" name="CUT"/>
    <tableColumn id="20" name="Commentaire Hub Santé"/>
    <tableColumn id="21" name="Commentaire Philippe Dreyfus"/>
    <tableColumn id="22" name="Commentaire FBE"/>
    <tableColumn id="23" name="Commentaire Yann Penverne"/>
    <tableColumn id="24" name="NexSIS"/>
    <tableColumn id="25" name="Métier"/>
  </tableColumns>
</table>
</file>

<file path=xl/tables/table5.xml><?xml version="1.0" encoding="utf-8"?>
<table xmlns="http://schemas.openxmlformats.org/spreadsheetml/2006/main" id="5" name="createCase20" displayName="createCase20" ref="A8:AMC203" headerRowCount="1" totalsRowCount="1" totalsRowShown="1">
  <autoFilter ref="A8:AMC203"/>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CUT"/>
    <tableColumn id="19" name="Colonne1"/>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6.xml><?xml version="1.0" encoding="utf-8"?>
<table xmlns="http://schemas.openxmlformats.org/spreadsheetml/2006/main" id="6" name="createCase21" displayName="createCase21" ref="A8:AC25" headerRowCount="1" totalsRowCount="1" totalsRowShown="1">
  <autoFilter ref="A8:AC25"/>
  <tableColumns count="2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8"/>
    <tableColumn id="21" name="15-15"/>
    <tableColumn id="22" name="15-MAJ"/>
    <tableColumn id="23" name="CUT"/>
    <tableColumn id="24" name="Commentaire Hub Santé"/>
    <tableColumn id="25" name="Commentaire Philippe Dreyfus"/>
    <tableColumn id="26" name="Commentaire FBE"/>
    <tableColumn id="27" name="Commentaire Yann Penverne"/>
    <tableColumn id="28" name="NexSIS"/>
    <tableColumn id="29" name="Métier"/>
  </tableColumns>
</table>
</file>

<file path=xl/tables/table7.xml><?xml version="1.0" encoding="utf-8"?>
<table xmlns="http://schemas.openxmlformats.org/spreadsheetml/2006/main" id="7" name="createCase215" displayName="createCase215" ref="A8:R92" headerRowCount="1" totalsRowCount="1" totalsRowShown="1">
  <autoFilter ref="A8:R92"/>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SMUR"/>
    <tableColumn id="17" name="15-ATSU"/>
    <tableColumn id="18" name="CUT"/>
  </tableColumns>
</table>
</file>

<file path=xl/tables/table8.xml><?xml version="1.0" encoding="utf-8"?>
<table xmlns="http://schemas.openxmlformats.org/spreadsheetml/2006/main" id="8" name="createCase22" displayName="createCase22" ref="A8:AMC212" headerRowCount="1" totalsRowCount="1" totalsRowShown="1">
  <autoFilter ref="A8:AMC212"/>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MATRAS"/>
    <tableColumn id="19" name="CUT"/>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9.xml><?xml version="1.0" encoding="utf-8"?>
<table xmlns="http://schemas.openxmlformats.org/spreadsheetml/2006/main" id="9" name="createCase2912" displayName="createCase2912" ref="A8:Q63" headerRowCount="1" totalsRowCount="1" totalsRowShown="1">
  <autoFilter ref="A8:Q63"/>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RPIS-WIP"/>
    <tableColumn id="17" name="CUT"/>
  </tableColumns>
</table>
</file>

<file path=xl/tables/table10.xml><?xml version="1.0" encoding="utf-8"?>
<table xmlns="http://schemas.openxmlformats.org/spreadsheetml/2006/main" id="10" name="createCase291217" displayName="createCase291217" ref="A8:P14" headerRowCount="1" totalsRowCount="0" totalsRowShown="0">
  <autoFilter ref="A8:P1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11.xml><?xml version="1.0" encoding="utf-8"?>
<table xmlns="http://schemas.openxmlformats.org/spreadsheetml/2006/main" id="11" name="createCase29122" displayName="createCase29122" ref="A8:P19" headerRowCount="1" totalsRowCount="1" totalsRowShown="1">
  <autoFilter ref="A8:P19"/>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CUT"/>
  </tableColumns>
</table>
</file>

<file path=xl/tables/table12.xml><?xml version="1.0" encoding="utf-8"?>
<table xmlns="http://schemas.openxmlformats.org/spreadsheetml/2006/main" id="12" name="createCase2912223" displayName="createCase2912223" ref="A8:P27" headerRowCount="1" totalsRowCount="1" totalsRowShown="1">
  <autoFilter ref="A8:P27"/>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AS"/>
    <tableColumn id="16" name="CUT"/>
  </tableColumns>
</table>
</file>

<file path=xl/tables/table13.xml><?xml version="1.0" encoding="utf-8"?>
<table xmlns="http://schemas.openxmlformats.org/spreadsheetml/2006/main" id="13" name="createCase29129" displayName="createCase29129" ref="A8:R60" headerRowCount="1" totalsRowCount="1" totalsRowShown="1">
  <autoFilter ref="A8:R60"/>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18"/>
    <tableColumn id="17" name="15-TSU"/>
    <tableColumn id="18" name="CUT"/>
  </tableColumns>
</table>
</file>

<file path=xl/tables/table14.xml><?xml version="1.0" encoding="utf-8"?>
<table xmlns="http://schemas.openxmlformats.org/spreadsheetml/2006/main" id="14" name="createCase3" displayName="createCase3" ref="A8:Q15" headerRowCount="1" totalsRowCount="1" totalsRowShown="1">
  <autoFilter ref="A8:Q15"/>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CUT"/>
  </tableColumns>
</table>
</file>

<file path=xl/tables/table15.xml><?xml version="1.0" encoding="utf-8"?>
<table xmlns="http://schemas.openxmlformats.org/spreadsheetml/2006/main" id="15" name="createCase8" displayName="createCase8" ref="A8:S21" headerRowCount="1" totalsRowCount="1" totalsRowShown="1">
  <autoFilter ref="A8:S21"/>
  <tableColumns count="1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Fichier XSD"/>
    <tableColumn id="11" name="Balise EMSI"/>
    <tableColumn id="12" name="Balise"/>
    <tableColumn id="13" name="Cardinalité"/>
    <tableColumn id="14" name="Objet"/>
    <tableColumn id="15" name="Format (ou type)"/>
    <tableColumn id="16" name="Détails de format"/>
    <tableColumn id="17" name="15-18"/>
    <tableColumn id="18" name="15-15"/>
    <tableColumn id="19" name="CUT"/>
  </tableColumns>
</table>
</file>

<file path=xl/tables/table16.xml><?xml version="1.0" encoding="utf-8"?>
<table xmlns="http://schemas.openxmlformats.org/spreadsheetml/2006/main" id="16" name="Tableau12" displayName="Tableau12" ref="A8:T13" headerRowCount="1" totalsRowCount="1" totalsRowShown="1">
  <autoFilter ref="A8:T13"/>
  <tableColumns count="20">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5"/>
  </tableColumns>
</table>
</file>

<file path=xl/tables/table17.xml><?xml version="1.0" encoding="utf-8"?>
<table xmlns="http://schemas.openxmlformats.org/spreadsheetml/2006/main" id="17" name="Tableau3" displayName="Tableau3" ref="A8:P24" headerRowCount="1" totalsRowCount="1" totalsRowShown="1">
  <autoFilter ref="A8:P2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8.xml><?xml version="1.0" encoding="utf-8"?>
<table xmlns="http://schemas.openxmlformats.org/spreadsheetml/2006/main" id="18" name="Tableau35" displayName="Tableau35"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9.xml><?xml version="1.0" encoding="utf-8"?>
<table xmlns="http://schemas.openxmlformats.org/spreadsheetml/2006/main" id="19" name="Tableau357" displayName="Tableau357" ref="A8:P20" headerRowCount="1" totalsRowCount="1" totalsRowShown="1">
  <autoFilter ref="A8:P2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0.xml><?xml version="1.0" encoding="utf-8"?>
<table xmlns="http://schemas.openxmlformats.org/spreadsheetml/2006/main" id="20" name="Tableau9" displayName="Tableau9" ref="A8:P15" headerRowCount="1" totalsRowCount="1" totalsRowShown="1">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1.xml><?xml version="1.0" encoding="utf-8"?>
<table xmlns="http://schemas.openxmlformats.org/spreadsheetml/2006/main" id="21" name="Tableau911" displayName="Tableau911"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5.xml"/>
</Relationships>
</file>

<file path=xl/worksheets/_rels/sheet3.xml.rels><?xml version="1.0" encoding="UTF-8"?>
<Relationships xmlns="http://schemas.openxmlformats.org/package/2006/relationships"><Relationship Id="rId1" Type="http://schemas.openxmlformats.org/officeDocument/2006/relationships/table" Target="../tables/table16.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hub.esante.gouv.fr/resourceExample" TargetMode="External"/><Relationship Id="rId3" Type="http://schemas.openxmlformats.org/officeDocument/2006/relationships/vmlDrawing" Target="../drawings/vmlDrawing3.vml"/><Relationship Id="rId4"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hub.esante.gouv.fr/resourceExample" TargetMode="External"/><Relationship Id="rId3" Type="http://schemas.openxmlformats.org/officeDocument/2006/relationships/vmlDrawing" Target="../drawings/vmlDrawing4.vml"/><Relationship Id="rId4" Type="http://schemas.openxmlformats.org/officeDocument/2006/relationships/table" Target="../tables/table8.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Relationship Id="rId3" Type="http://schemas.openxmlformats.org/officeDocument/2006/relationships/table" Target="../tables/table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Relationship Id="rId3" Type="http://schemas.openxmlformats.org/officeDocument/2006/relationships/table" Target="../tables/table10.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Relationship Id="rId3"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hub.esante.gouv.fr/" TargetMode="External"/><Relationship Id="rId3" Type="http://schemas.openxmlformats.org/officeDocument/2006/relationships/vmlDrawing" Target="../drawings/vmlDrawing11.vml"/><Relationship Id="rId4" Type="http://schemas.openxmlformats.org/officeDocument/2006/relationships/table" Target="../tables/table13.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hub.esante.gouv.fr/" TargetMode="External"/><Relationship Id="rId3" Type="http://schemas.openxmlformats.org/officeDocument/2006/relationships/vmlDrawing" Target="../drawings/vmlDrawing12.vml"/><Relationship Id="rId4" Type="http://schemas.openxmlformats.org/officeDocument/2006/relationships/table" Target="../tables/table11.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Relationship Id="rId3"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Relationship Id="rId3" Type="http://schemas.openxmlformats.org/officeDocument/2006/relationships/table" Target="../tables/table6.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Relationship Id="rId3" Type="http://schemas.openxmlformats.org/officeDocument/2006/relationships/table" Target="../tables/table17.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Relationship Id="rId3" Type="http://schemas.openxmlformats.org/officeDocument/2006/relationships/table" Target="../tables/table18.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Relationship Id="rId3" Type="http://schemas.openxmlformats.org/officeDocument/2006/relationships/table" Target="../tables/table1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Relationship Id="rId3" Type="http://schemas.openxmlformats.org/officeDocument/2006/relationships/table" Target="../tables/table14.xml"/>
</Relationships>
</file>

<file path=xl/worksheets/_rels/sheet21.xml.rels><?xml version="1.0" encoding="UTF-8"?>
<Relationships xmlns="http://schemas.openxmlformats.org/package/2006/relationships"><Relationship Id="rId1" Type="http://schemas.openxmlformats.org/officeDocument/2006/relationships/hyperlink" Target="https://mos.esante.gouv.fr/NOS/TRE_R38-SpecialiteOrdinale/FHIR/TRE-R38-SpecialiteOrdinale" TargetMode="External"/><Relationship Id="rId2" Type="http://schemas.openxmlformats.org/officeDocument/2006/relationships/hyperlink" Target="https://mos.esante.gouv.fr/NOS/TRE_G15-ProfessionSante/FHIR/TRE-G15-ProfessionSante" TargetMode="External"/><Relationship Id="rId3" Type="http://schemas.openxmlformats.org/officeDocument/2006/relationships/table" Target="../tables/table12.xml"/>
</Relationships>
</file>

<file path=xl/worksheets/_rels/sheet22.xml.rels><?xml version="1.0" encoding="UTF-8"?>
<Relationships xmlns="http://schemas.openxmlformats.org/package/2006/relationships"><Relationship Id="rId1" Type="http://schemas.openxmlformats.org/officeDocument/2006/relationships/table" Target="../tables/table20.xml"/>
</Relationships>
</file>

<file path=xl/worksheets/_rels/sheet23.xml.rels><?xml version="1.0" encoding="UTF-8"?>
<Relationships xmlns="http://schemas.openxmlformats.org/package/2006/relationships"><Relationship Id="rId1" Type="http://schemas.openxmlformats.org/officeDocument/2006/relationships/table" Target="../tables/table21.xml"/>
</Relationships>
</file>

<file path=xl/worksheets/_rels/sheet25.xml.rels><?xml version="1.0" encoding="UTF-8"?>
<Relationships xmlns="http://schemas.openxmlformats.org/package/2006/relationships"><Relationship Id="rId1" Type="http://schemas.openxmlformats.org/officeDocument/2006/relationships/drawing" Target="../drawings/drawing2.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37"/>
  <sheetViews>
    <sheetView showFormulas="false" showGridLines="true" showRowColHeaders="true" showZeros="true" rightToLeft="false" tabSelected="false" showOutlineSymbols="true" defaultGridColor="true" view="normal" topLeftCell="A28" colorId="64" zoomScale="70" zoomScaleNormal="70" zoomScalePageLayoutView="100" workbookViewId="0">
      <selection pane="topLeft" activeCell="B17" activeCellId="0" sqref="B17"/>
    </sheetView>
  </sheetViews>
  <sheetFormatPr defaultColWidth="11" defaultRowHeight="13.5" zeroHeight="false" outlineLevelRow="0" outlineLevelCol="0"/>
  <cols>
    <col collapsed="false" customWidth="true" hidden="false" outlineLevel="0" max="1" min="1" style="1" width="39.88"/>
    <col collapsed="false" customWidth="true" hidden="false" outlineLevel="0" max="2" min="2" style="1" width="26.5"/>
    <col collapsed="false" customWidth="true" hidden="false" outlineLevel="0" max="4" min="3" style="1" width="17.5"/>
    <col collapsed="false" customWidth="true" hidden="false" outlineLevel="0" max="5" min="5" style="1" width="14"/>
    <col collapsed="false" customWidth="true" hidden="false" outlineLevel="0" max="6" min="6" style="1" width="46.38"/>
    <col collapsed="false" customWidth="true" hidden="false" outlineLevel="0" max="7" min="7" style="1" width="48.87"/>
    <col collapsed="false" customWidth="true" hidden="false" outlineLevel="0" max="8" min="8" style="1" width="57.87"/>
    <col collapsed="false" customWidth="false" hidden="false" outlineLevel="0" max="1024" min="9" style="1" width="11"/>
  </cols>
  <sheetData>
    <row r="1" customFormat="false" ht="21" hidden="false" customHeight="false" outlineLevel="0" collapsed="false">
      <c r="A1" s="2" t="s">
        <v>0</v>
      </c>
      <c r="B1" s="2"/>
      <c r="C1" s="2"/>
      <c r="D1" s="2"/>
      <c r="E1" s="2"/>
      <c r="F1" s="2"/>
      <c r="G1" s="2"/>
      <c r="H1" s="2"/>
      <c r="I1" s="3"/>
      <c r="J1" s="3"/>
      <c r="K1" s="3"/>
      <c r="L1" s="3"/>
      <c r="M1" s="3"/>
      <c r="N1" s="3"/>
      <c r="O1" s="3"/>
      <c r="P1" s="3"/>
      <c r="Q1" s="3"/>
    </row>
    <row r="3" customFormat="false" ht="21.75" hidden="false" customHeight="true" outlineLevel="0" collapsed="false">
      <c r="A3" s="4" t="s">
        <v>1</v>
      </c>
      <c r="B3" s="4"/>
      <c r="C3" s="4"/>
      <c r="D3" s="4"/>
      <c r="E3" s="4"/>
      <c r="F3" s="4"/>
      <c r="G3" s="4"/>
      <c r="H3" s="4"/>
      <c r="I3" s="4"/>
      <c r="J3" s="4"/>
      <c r="K3" s="4"/>
      <c r="L3" s="4"/>
      <c r="M3" s="4"/>
      <c r="N3" s="4"/>
      <c r="O3" s="4"/>
      <c r="P3" s="4"/>
      <c r="Q3" s="4"/>
    </row>
    <row r="4" customFormat="false" ht="15.75" hidden="false" customHeight="true" outlineLevel="0" collapsed="false">
      <c r="B4" s="1" t="s">
        <v>2</v>
      </c>
      <c r="C4" s="5"/>
      <c r="D4" s="5"/>
      <c r="E4" s="5"/>
      <c r="F4" s="5"/>
      <c r="G4" s="5"/>
      <c r="H4" s="5"/>
      <c r="I4" s="5"/>
      <c r="J4" s="5"/>
      <c r="K4" s="5"/>
      <c r="L4" s="5"/>
      <c r="M4" s="5"/>
      <c r="N4" s="5"/>
      <c r="O4" s="5"/>
      <c r="P4" s="5"/>
      <c r="Q4" s="5"/>
    </row>
    <row r="5" customFormat="false" ht="13.5" hidden="false" customHeight="false" outlineLevel="0" collapsed="false">
      <c r="B5" s="1" t="s">
        <v>3</v>
      </c>
    </row>
    <row r="7" customFormat="false" ht="21" hidden="false" customHeight="true" outlineLevel="0" collapsed="false">
      <c r="A7" s="4" t="s">
        <v>4</v>
      </c>
      <c r="B7" s="4"/>
      <c r="C7" s="4"/>
      <c r="D7" s="4"/>
      <c r="E7" s="4"/>
      <c r="F7" s="4"/>
      <c r="G7" s="4"/>
      <c r="H7" s="4"/>
      <c r="I7" s="4"/>
      <c r="J7" s="4"/>
      <c r="K7" s="4"/>
      <c r="L7" s="4"/>
      <c r="M7" s="4"/>
      <c r="N7" s="4"/>
      <c r="O7" s="4"/>
      <c r="P7" s="4"/>
      <c r="Q7" s="4"/>
    </row>
    <row r="8" customFormat="false" ht="13.5" hidden="false" customHeight="false" outlineLevel="0" collapsed="false">
      <c r="A8" s="6" t="s">
        <v>5</v>
      </c>
      <c r="B8" s="7" t="s">
        <v>6</v>
      </c>
      <c r="C8" s="7"/>
      <c r="D8" s="7"/>
      <c r="E8" s="7"/>
      <c r="F8" s="7"/>
      <c r="G8" s="7"/>
      <c r="H8" s="7"/>
      <c r="I8" s="7"/>
      <c r="J8" s="7"/>
      <c r="K8" s="7"/>
      <c r="L8" s="7"/>
      <c r="M8" s="7"/>
      <c r="N8" s="7"/>
      <c r="O8" s="7"/>
      <c r="P8" s="7"/>
      <c r="Q8" s="7"/>
    </row>
    <row r="9" customFormat="false" ht="14.25" hidden="false" customHeight="true" outlineLevel="0" collapsed="false">
      <c r="B9" s="8" t="s">
        <v>7</v>
      </c>
      <c r="C9" s="8"/>
      <c r="D9" s="8"/>
      <c r="E9" s="8"/>
      <c r="F9" s="8"/>
      <c r="G9" s="8"/>
      <c r="H9" s="8"/>
      <c r="I9" s="8"/>
      <c r="J9" s="8"/>
      <c r="K9" s="8"/>
      <c r="L9" s="8"/>
      <c r="M9" s="8"/>
      <c r="N9" s="8"/>
      <c r="O9" s="8"/>
      <c r="P9" s="8"/>
      <c r="Q9" s="8"/>
    </row>
    <row r="10" customFormat="false" ht="13.5" hidden="false" customHeight="false" outlineLevel="0" collapsed="false">
      <c r="B10" s="7" t="s">
        <v>8</v>
      </c>
      <c r="C10" s="7"/>
      <c r="D10" s="7"/>
      <c r="E10" s="7"/>
      <c r="F10" s="7"/>
      <c r="G10" s="7"/>
      <c r="H10" s="7"/>
      <c r="I10" s="7"/>
      <c r="J10" s="7"/>
      <c r="K10" s="7"/>
      <c r="L10" s="7"/>
      <c r="M10" s="7"/>
      <c r="N10" s="7"/>
      <c r="O10" s="7"/>
      <c r="P10" s="7"/>
      <c r="Q10" s="7"/>
    </row>
    <row r="11" customFormat="false" ht="13.5" hidden="false" customHeight="false" outlineLevel="0" collapsed="false">
      <c r="B11" s="9"/>
      <c r="C11" s="9"/>
      <c r="D11" s="9"/>
      <c r="E11" s="9"/>
      <c r="F11" s="9"/>
      <c r="G11" s="9"/>
      <c r="H11" s="9"/>
      <c r="I11" s="9"/>
      <c r="J11" s="9"/>
      <c r="K11" s="9"/>
      <c r="L11" s="9"/>
      <c r="M11" s="9"/>
      <c r="N11" s="9"/>
      <c r="O11" s="9"/>
      <c r="P11" s="9"/>
      <c r="Q11" s="9"/>
    </row>
    <row r="12" customFormat="false" ht="14.25" hidden="false" customHeight="true" outlineLevel="0" collapsed="false">
      <c r="A12" s="6" t="s">
        <v>9</v>
      </c>
      <c r="B12" s="7" t="s">
        <v>10</v>
      </c>
      <c r="C12" s="7"/>
      <c r="D12" s="7"/>
      <c r="E12" s="7"/>
      <c r="F12" s="10" t="s">
        <v>11</v>
      </c>
      <c r="G12" s="10"/>
      <c r="H12" s="10"/>
      <c r="I12" s="7"/>
      <c r="J12" s="7"/>
    </row>
    <row r="13" customFormat="false" ht="14.25" hidden="false" customHeight="true" outlineLevel="0" collapsed="false">
      <c r="B13" s="8" t="s">
        <v>12</v>
      </c>
      <c r="C13" s="8"/>
      <c r="D13" s="8"/>
      <c r="E13" s="8"/>
      <c r="F13" s="10" t="s">
        <v>13</v>
      </c>
      <c r="G13" s="10"/>
      <c r="H13" s="10"/>
      <c r="I13" s="8"/>
      <c r="J13" s="8"/>
      <c r="K13" s="8"/>
      <c r="L13" s="8"/>
      <c r="M13" s="8"/>
      <c r="N13" s="8"/>
    </row>
    <row r="14" customFormat="false" ht="14.25" hidden="false" customHeight="true" outlineLevel="0" collapsed="false">
      <c r="B14" s="8" t="s">
        <v>14</v>
      </c>
      <c r="C14" s="8"/>
      <c r="D14" s="8"/>
      <c r="E14" s="8"/>
      <c r="F14" s="10" t="s">
        <v>13</v>
      </c>
      <c r="G14" s="10"/>
      <c r="H14" s="10"/>
      <c r="I14" s="8"/>
      <c r="J14" s="8"/>
    </row>
    <row r="15" customFormat="false" ht="13.5" hidden="false" customHeight="false" outlineLevel="0" collapsed="false">
      <c r="B15" s="7" t="s">
        <v>15</v>
      </c>
      <c r="C15" s="7"/>
      <c r="D15" s="7"/>
      <c r="E15" s="7"/>
      <c r="F15" s="10" t="s">
        <v>13</v>
      </c>
      <c r="G15" s="10"/>
      <c r="H15" s="10"/>
      <c r="I15" s="7"/>
      <c r="J15" s="7"/>
    </row>
    <row r="16" customFormat="false" ht="13.5" hidden="false" customHeight="false" outlineLevel="0" collapsed="false">
      <c r="B16" s="11"/>
      <c r="C16" s="11"/>
      <c r="D16" s="11"/>
      <c r="E16" s="11"/>
      <c r="F16" s="11"/>
      <c r="G16" s="11"/>
      <c r="H16" s="11"/>
      <c r="I16" s="11"/>
      <c r="J16" s="11"/>
      <c r="K16" s="11"/>
      <c r="L16" s="11"/>
      <c r="M16" s="11"/>
      <c r="N16" s="11"/>
      <c r="O16" s="11"/>
      <c r="P16" s="11"/>
      <c r="Q16" s="11"/>
    </row>
    <row r="17" customFormat="false" ht="14.25" hidden="false" customHeight="false" outlineLevel="0" collapsed="false">
      <c r="B17" s="11"/>
      <c r="C17" s="11"/>
      <c r="D17" s="11"/>
      <c r="E17" s="11"/>
      <c r="F17" s="11"/>
      <c r="G17" s="11"/>
      <c r="H17" s="11"/>
      <c r="I17" s="11"/>
      <c r="J17" s="11"/>
      <c r="K17" s="11"/>
      <c r="L17" s="11"/>
      <c r="M17" s="11"/>
      <c r="N17" s="11"/>
      <c r="O17" s="11"/>
      <c r="P17" s="11"/>
      <c r="Q17" s="11"/>
    </row>
    <row r="18" customFormat="false" ht="102.75" hidden="false" customHeight="true" outlineLevel="0" collapsed="false">
      <c r="A18" s="12" t="s">
        <v>16</v>
      </c>
      <c r="B18" s="12"/>
      <c r="C18" s="12"/>
      <c r="D18" s="12"/>
      <c r="E18" s="12"/>
      <c r="F18" s="12"/>
      <c r="G18" s="12"/>
      <c r="H18" s="12"/>
      <c r="I18" s="13"/>
      <c r="J18" s="13"/>
      <c r="K18" s="13"/>
      <c r="L18" s="13"/>
      <c r="M18" s="13"/>
      <c r="N18" s="13"/>
      <c r="O18" s="13"/>
      <c r="P18" s="13"/>
      <c r="Q18" s="13"/>
    </row>
    <row r="19" customFormat="false" ht="13.5" hidden="false" customHeight="false" outlineLevel="0" collapsed="false">
      <c r="B19" s="9"/>
      <c r="C19" s="9"/>
      <c r="D19" s="9"/>
      <c r="E19" s="9"/>
      <c r="F19" s="9"/>
      <c r="G19" s="9"/>
      <c r="H19" s="9"/>
      <c r="I19" s="9"/>
      <c r="J19" s="9"/>
      <c r="K19" s="9"/>
      <c r="L19" s="9"/>
      <c r="M19" s="9"/>
      <c r="N19" s="9"/>
      <c r="O19" s="9"/>
      <c r="P19" s="9"/>
      <c r="Q19" s="9"/>
    </row>
    <row r="20" customFormat="false" ht="13.5" hidden="false" customHeight="false" outlineLevel="0" collapsed="false">
      <c r="B20" s="11"/>
      <c r="C20" s="11"/>
      <c r="D20" s="11"/>
      <c r="E20" s="11"/>
      <c r="F20" s="11"/>
      <c r="G20" s="11"/>
      <c r="H20" s="11"/>
      <c r="I20" s="11"/>
      <c r="J20" s="11"/>
      <c r="K20" s="11"/>
      <c r="L20" s="11"/>
      <c r="M20" s="11"/>
      <c r="N20" s="11"/>
      <c r="O20" s="11"/>
      <c r="P20" s="11"/>
      <c r="Q20" s="11"/>
    </row>
    <row r="21" customFormat="false" ht="21" hidden="false" customHeight="false" outlineLevel="0" collapsed="false">
      <c r="A21" s="14" t="s">
        <v>17</v>
      </c>
    </row>
    <row r="22" customFormat="false" ht="21" hidden="false" customHeight="false" outlineLevel="0" collapsed="false">
      <c r="A22" s="14"/>
    </row>
    <row r="23" customFormat="false" ht="37.5" hidden="false" customHeight="true" outlineLevel="0" collapsed="false">
      <c r="A23" s="15" t="s">
        <v>18</v>
      </c>
      <c r="B23" s="16" t="s">
        <v>19</v>
      </c>
      <c r="C23" s="16" t="s">
        <v>20</v>
      </c>
      <c r="D23" s="16" t="s">
        <v>21</v>
      </c>
      <c r="E23" s="16" t="s">
        <v>22</v>
      </c>
      <c r="F23" s="16" t="s">
        <v>23</v>
      </c>
      <c r="G23" s="16" t="s">
        <v>24</v>
      </c>
      <c r="H23" s="17" t="s">
        <v>25</v>
      </c>
    </row>
    <row r="24" customFormat="false" ht="27" hidden="false" customHeight="false" outlineLevel="0" collapsed="false">
      <c r="A24" s="18" t="s">
        <v>26</v>
      </c>
      <c r="B24" s="19" t="s">
        <v>27</v>
      </c>
      <c r="C24" s="19" t="s">
        <v>28</v>
      </c>
      <c r="D24" s="19" t="s">
        <v>28</v>
      </c>
      <c r="E24" s="19" t="s">
        <v>28</v>
      </c>
      <c r="F24" s="19" t="s">
        <v>29</v>
      </c>
      <c r="G24" s="19" t="s">
        <v>29</v>
      </c>
      <c r="H24" s="19"/>
    </row>
    <row r="25" customFormat="false" ht="41.25" hidden="false" customHeight="false" outlineLevel="0" collapsed="false">
      <c r="A25" s="20" t="s">
        <v>30</v>
      </c>
      <c r="B25" s="19" t="s">
        <v>31</v>
      </c>
      <c r="C25" s="19" t="s">
        <v>32</v>
      </c>
      <c r="D25" s="19" t="s">
        <v>28</v>
      </c>
      <c r="E25" s="19" t="s">
        <v>28</v>
      </c>
      <c r="F25" s="21" t="s">
        <v>33</v>
      </c>
      <c r="G25" s="19" t="s">
        <v>29</v>
      </c>
      <c r="H25" s="22" t="s">
        <v>34</v>
      </c>
    </row>
    <row r="26" customFormat="false" ht="45.75" hidden="false" customHeight="true" outlineLevel="0" collapsed="false">
      <c r="A26" s="23" t="s">
        <v>35</v>
      </c>
      <c r="B26" s="24" t="s">
        <v>36</v>
      </c>
      <c r="C26" s="24" t="s">
        <v>32</v>
      </c>
      <c r="D26" s="24" t="s">
        <v>28</v>
      </c>
      <c r="E26" s="24" t="s">
        <v>28</v>
      </c>
      <c r="F26" s="24" t="s">
        <v>37</v>
      </c>
      <c r="G26" s="24" t="s">
        <v>29</v>
      </c>
      <c r="H26" s="25" t="s">
        <v>38</v>
      </c>
    </row>
    <row r="27" customFormat="false" ht="54.75" hidden="false" customHeight="false" outlineLevel="0" collapsed="false">
      <c r="A27" s="23" t="s">
        <v>39</v>
      </c>
      <c r="B27" s="24" t="s">
        <v>40</v>
      </c>
      <c r="C27" s="24" t="s">
        <v>32</v>
      </c>
      <c r="D27" s="24" t="s">
        <v>32</v>
      </c>
      <c r="E27" s="24" t="s">
        <v>28</v>
      </c>
      <c r="F27" s="24" t="s">
        <v>37</v>
      </c>
      <c r="G27" s="26" t="s">
        <v>41</v>
      </c>
      <c r="H27" s="25" t="s">
        <v>42</v>
      </c>
    </row>
    <row r="28" customFormat="false" ht="96.75" hidden="false" customHeight="true" outlineLevel="0" collapsed="false">
      <c r="A28" s="23" t="s">
        <v>43</v>
      </c>
      <c r="B28" s="24" t="s">
        <v>44</v>
      </c>
      <c r="C28" s="24" t="s">
        <v>32</v>
      </c>
      <c r="D28" s="24" t="s">
        <v>32</v>
      </c>
      <c r="E28" s="24" t="s">
        <v>28</v>
      </c>
      <c r="F28" s="26" t="s">
        <v>45</v>
      </c>
      <c r="G28" s="26" t="s">
        <v>41</v>
      </c>
      <c r="H28" s="25" t="s">
        <v>46</v>
      </c>
    </row>
    <row r="29" customFormat="false" ht="54.75" hidden="false" customHeight="false" outlineLevel="0" collapsed="false">
      <c r="A29" s="23" t="s">
        <v>47</v>
      </c>
      <c r="B29" s="24" t="s">
        <v>48</v>
      </c>
      <c r="C29" s="24" t="s">
        <v>32</v>
      </c>
      <c r="D29" s="24" t="s">
        <v>32</v>
      </c>
      <c r="E29" s="24" t="s">
        <v>28</v>
      </c>
      <c r="F29" s="25" t="s">
        <v>49</v>
      </c>
      <c r="G29" s="26" t="s">
        <v>41</v>
      </c>
      <c r="H29" s="25"/>
    </row>
    <row r="30" customFormat="false" ht="179.25" hidden="false" customHeight="true" outlineLevel="0" collapsed="false">
      <c r="A30" s="27" t="s">
        <v>50</v>
      </c>
      <c r="B30" s="24" t="s">
        <v>51</v>
      </c>
      <c r="C30" s="24" t="s">
        <v>32</v>
      </c>
      <c r="D30" s="24" t="s">
        <v>32</v>
      </c>
      <c r="E30" s="24" t="s">
        <v>28</v>
      </c>
      <c r="F30" s="28" t="s">
        <v>52</v>
      </c>
      <c r="G30" s="26" t="s">
        <v>53</v>
      </c>
      <c r="H30" s="25" t="s">
        <v>54</v>
      </c>
    </row>
    <row r="31" customFormat="false" ht="126" hidden="false" customHeight="true" outlineLevel="0" collapsed="false">
      <c r="A31" s="27"/>
      <c r="B31" s="24"/>
      <c r="C31" s="24"/>
      <c r="D31" s="24"/>
      <c r="E31" s="24"/>
      <c r="F31" s="29" t="s">
        <v>55</v>
      </c>
      <c r="G31" s="26"/>
      <c r="H31" s="25"/>
    </row>
    <row r="32" customFormat="false" ht="63" hidden="false" customHeight="true" outlineLevel="0" collapsed="false">
      <c r="A32" s="27" t="s">
        <v>56</v>
      </c>
      <c r="B32" s="24" t="s">
        <v>57</v>
      </c>
      <c r="C32" s="24" t="s">
        <v>32</v>
      </c>
      <c r="D32" s="24" t="s">
        <v>32</v>
      </c>
      <c r="E32" s="24" t="s">
        <v>28</v>
      </c>
      <c r="F32" s="26" t="s">
        <v>58</v>
      </c>
      <c r="G32" s="26" t="s">
        <v>41</v>
      </c>
      <c r="H32" s="25"/>
    </row>
    <row r="33" customFormat="false" ht="27" hidden="false" customHeight="true" outlineLevel="0" collapsed="false">
      <c r="A33" s="27" t="s">
        <v>59</v>
      </c>
      <c r="B33" s="24" t="s">
        <v>60</v>
      </c>
      <c r="C33" s="24" t="s">
        <v>32</v>
      </c>
      <c r="D33" s="24" t="s">
        <v>32</v>
      </c>
      <c r="E33" s="24" t="s">
        <v>28</v>
      </c>
      <c r="F33" s="29" t="s">
        <v>61</v>
      </c>
      <c r="G33" s="26" t="s">
        <v>41</v>
      </c>
      <c r="H33" s="25" t="s">
        <v>62</v>
      </c>
    </row>
    <row r="34" customFormat="false" ht="250.5" hidden="false" customHeight="true" outlineLevel="0" collapsed="false">
      <c r="A34" s="27"/>
      <c r="B34" s="24"/>
      <c r="C34" s="24"/>
      <c r="D34" s="24"/>
      <c r="E34" s="24"/>
      <c r="F34" s="26" t="s">
        <v>63</v>
      </c>
      <c r="G34" s="26"/>
      <c r="H34" s="25" t="s">
        <v>64</v>
      </c>
    </row>
    <row r="35" customFormat="false" ht="84" hidden="false" customHeight="true" outlineLevel="0" collapsed="false">
      <c r="A35" s="27" t="s">
        <v>65</v>
      </c>
      <c r="B35" s="24" t="s">
        <v>66</v>
      </c>
      <c r="C35" s="24" t="s">
        <v>32</v>
      </c>
      <c r="D35" s="24" t="s">
        <v>28</v>
      </c>
      <c r="E35" s="24" t="s">
        <v>28</v>
      </c>
      <c r="F35" s="26" t="s">
        <v>67</v>
      </c>
      <c r="G35" s="26" t="s">
        <v>41</v>
      </c>
      <c r="H35" s="25"/>
    </row>
    <row r="36" customFormat="false" ht="41.25" hidden="false" customHeight="false" outlineLevel="0" collapsed="false">
      <c r="A36" s="27" t="s">
        <v>68</v>
      </c>
      <c r="B36" s="24" t="s">
        <v>69</v>
      </c>
      <c r="C36" s="19" t="s">
        <v>28</v>
      </c>
      <c r="D36" s="19" t="s">
        <v>28</v>
      </c>
      <c r="E36" s="19" t="s">
        <v>28</v>
      </c>
      <c r="F36" s="26" t="s">
        <v>70</v>
      </c>
      <c r="G36" s="19" t="s">
        <v>29</v>
      </c>
      <c r="H36" s="25"/>
    </row>
    <row r="37" customFormat="false" ht="13.5" hidden="false" customHeight="false" outlineLevel="0" collapsed="false">
      <c r="A37" s="23" t="s">
        <v>71</v>
      </c>
      <c r="B37" s="24" t="s">
        <v>29</v>
      </c>
      <c r="C37" s="24" t="s">
        <v>32</v>
      </c>
      <c r="D37" s="24" t="s">
        <v>32</v>
      </c>
      <c r="E37" s="24" t="s">
        <v>32</v>
      </c>
      <c r="F37" s="24" t="s">
        <v>72</v>
      </c>
      <c r="G37" s="24" t="s">
        <v>72</v>
      </c>
      <c r="H37" s="23"/>
    </row>
  </sheetData>
  <mergeCells count="21">
    <mergeCell ref="A1:H1"/>
    <mergeCell ref="F12:H12"/>
    <mergeCell ref="F13:H13"/>
    <mergeCell ref="F14:H14"/>
    <mergeCell ref="F15:H15"/>
    <mergeCell ref="B16:Q16"/>
    <mergeCell ref="B17:Q17"/>
    <mergeCell ref="A18:H18"/>
    <mergeCell ref="B20:Q20"/>
    <mergeCell ref="A30:A31"/>
    <mergeCell ref="B30:B31"/>
    <mergeCell ref="C30:C31"/>
    <mergeCell ref="D30:D31"/>
    <mergeCell ref="E30:E31"/>
    <mergeCell ref="G30:G31"/>
    <mergeCell ref="A33:A34"/>
    <mergeCell ref="B33:B34"/>
    <mergeCell ref="C33:C34"/>
    <mergeCell ref="D33:D34"/>
    <mergeCell ref="E33:E34"/>
    <mergeCell ref="G33: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M9" activePane="bottomRight" state="frozen"/>
      <selection pane="topLeft" activeCell="A1" activeCellId="0" sqref="A1"/>
      <selection pane="topRight" activeCell="M1" activeCellId="0" sqref="M1"/>
      <selection pane="bottomLeft" activeCell="A9" activeCellId="0" sqref="A9"/>
      <selection pane="bottomRight" activeCell="P19" activeCellId="0" sqref="P19"/>
    </sheetView>
  </sheetViews>
  <sheetFormatPr defaultColWidth="9" defaultRowHeight="12" zeroHeight="false" outlineLevelRow="0" outlineLevelCol="0"/>
  <cols>
    <col collapsed="false" customWidth="true" hidden="false" outlineLevel="0" max="1" min="1" style="30" width="3.88"/>
    <col collapsed="false" customWidth="true" hidden="false" outlineLevel="0" max="2" min="2" style="30" width="30.38"/>
    <col collapsed="false" customWidth="true" hidden="false" outlineLevel="0" max="3" min="3" style="30" width="12.13"/>
    <col collapsed="false" customWidth="true" hidden="false" outlineLevel="0" max="6" min="4" style="30" width="11.51"/>
    <col collapsed="false" customWidth="true" hidden="false" outlineLevel="0" max="7" min="7" style="31" width="11.51"/>
    <col collapsed="false" customWidth="true" hidden="false" outlineLevel="0" max="8" min="8" style="31" width="36.62"/>
    <col collapsed="false" customWidth="true" hidden="false" outlineLevel="0" max="9" min="9" style="31" width="17.5"/>
    <col collapsed="false" customWidth="true" hidden="false" outlineLevel="0" max="10" min="10" style="31" width="8.51"/>
    <col collapsed="false" customWidth="true" hidden="false" outlineLevel="0" max="11" min="11" style="31" width="11.38"/>
    <col collapsed="false" customWidth="true" hidden="false" outlineLevel="0" max="12" min="12" style="32" width="13"/>
    <col collapsed="false" customWidth="true" hidden="false" outlineLevel="0" max="13" min="13" style="31" width="13.38"/>
    <col collapsed="false" customWidth="true" hidden="false" outlineLevel="0" max="14" min="14" style="33" width="7.88"/>
    <col collapsed="false" customWidth="true" hidden="false" outlineLevel="0" max="15" min="15" style="31" width="12.63"/>
    <col collapsed="false" customWidth="true" hidden="false" outlineLevel="0" max="16" min="16" style="31" width="13.63"/>
    <col collapsed="false" customWidth="true" hidden="false" outlineLevel="0" max="17" min="17" style="31" width="9.51"/>
    <col collapsed="false" customWidth="true" hidden="false" outlineLevel="0" max="18" min="18" style="31" width="11"/>
    <col collapsed="false" customWidth="true" hidden="false" outlineLevel="0" max="19" min="19" style="0" width="3.88"/>
    <col collapsed="false" customWidth="false" hidden="false" outlineLevel="0" max="1002" min="21" style="30" width="9"/>
    <col collapsed="false" customWidth="true" hidden="false" outlineLevel="0" max="1024" min="1005" style="0" width="9.51"/>
  </cols>
  <sheetData>
    <row r="1" customFormat="false" ht="15" hidden="false" customHeight="true" outlineLevel="0" collapsed="false">
      <c r="A1" s="34" t="s">
        <v>73</v>
      </c>
      <c r="C1" s="35"/>
      <c r="D1" s="36"/>
      <c r="E1" s="37"/>
      <c r="G1" s="30"/>
      <c r="H1" s="38"/>
      <c r="I1" s="38"/>
      <c r="J1" s="38"/>
      <c r="K1" s="38"/>
    </row>
    <row r="2" customFormat="false" ht="15.75" hidden="false" customHeight="true" outlineLevel="0" collapsed="false">
      <c r="A2" s="39" t="s">
        <v>74</v>
      </c>
      <c r="B2" s="39" t="s">
        <v>75</v>
      </c>
      <c r="C2" s="39" t="s">
        <v>76</v>
      </c>
      <c r="D2" s="39" t="s">
        <v>77</v>
      </c>
      <c r="E2" s="39" t="s">
        <v>78</v>
      </c>
      <c r="F2" s="39" t="s">
        <v>79</v>
      </c>
      <c r="G2" s="39" t="s">
        <v>80</v>
      </c>
      <c r="H2" s="39" t="s">
        <v>81</v>
      </c>
      <c r="I2" s="39" t="s">
        <v>82</v>
      </c>
      <c r="J2" s="32" t="s">
        <v>83</v>
      </c>
      <c r="K2" s="38"/>
    </row>
    <row r="3" customFormat="false" ht="18" hidden="false" customHeight="true" outlineLevel="0" collapsed="false">
      <c r="A3" s="39" t="s">
        <v>84</v>
      </c>
      <c r="B3" s="39" t="s">
        <v>85</v>
      </c>
      <c r="C3" s="40" t="s">
        <v>86</v>
      </c>
      <c r="D3" s="39" t="s">
        <v>87</v>
      </c>
      <c r="E3" s="39" t="s">
        <v>88</v>
      </c>
      <c r="F3" s="41" t="s">
        <v>89</v>
      </c>
      <c r="G3" s="39" t="s">
        <v>90</v>
      </c>
      <c r="H3" s="39" t="s">
        <v>91</v>
      </c>
      <c r="I3" s="39" t="s">
        <v>91</v>
      </c>
      <c r="J3" s="31" t="s">
        <v>92</v>
      </c>
    </row>
    <row r="4" customFormat="false" ht="17.25" hidden="false" customHeight="true" outlineLevel="0" collapsed="false">
      <c r="C4" s="42"/>
      <c r="D4" s="35"/>
      <c r="G4" s="43"/>
    </row>
    <row r="5" s="46" customFormat="true" ht="14.25" hidden="false" customHeight="true" outlineLevel="0" collapsed="false">
      <c r="A5" s="30"/>
      <c r="B5" s="30"/>
      <c r="C5" s="44"/>
      <c r="D5" s="45"/>
      <c r="G5" s="47"/>
      <c r="H5" s="47"/>
      <c r="I5" s="47"/>
      <c r="J5" s="47"/>
      <c r="K5" s="47"/>
      <c r="L5" s="48"/>
      <c r="M5" s="47"/>
      <c r="N5" s="49"/>
      <c r="O5" s="47"/>
      <c r="P5" s="47"/>
      <c r="Q5" s="47"/>
      <c r="R5" s="47"/>
    </row>
    <row r="6" customFormat="false" ht="15" hidden="false" customHeight="true" outlineLevel="0" collapsed="false">
      <c r="B6" s="50"/>
      <c r="C6" s="50"/>
      <c r="D6" s="51"/>
      <c r="F6" s="51"/>
    </row>
    <row r="7" customFormat="false" ht="20.25" hidden="false" customHeight="true" outlineLevel="0" collapsed="false">
      <c r="C7" s="51"/>
      <c r="D7" s="51"/>
      <c r="E7" s="51"/>
      <c r="F7" s="51"/>
      <c r="Q7" s="52" t="s">
        <v>93</v>
      </c>
      <c r="R7" s="52" t="s">
        <v>93</v>
      </c>
    </row>
    <row r="8" s="59" customFormat="true" ht="37.5" hidden="false" customHeight="true" outlineLevel="0" collapsed="false">
      <c r="A8" s="53" t="s">
        <v>94</v>
      </c>
      <c r="B8" s="54" t="s">
        <v>95</v>
      </c>
      <c r="C8" s="54" t="s">
        <v>96</v>
      </c>
      <c r="D8" s="54" t="s">
        <v>97</v>
      </c>
      <c r="E8" s="54" t="s">
        <v>98</v>
      </c>
      <c r="F8" s="54" t="s">
        <v>99</v>
      </c>
      <c r="G8" s="54" t="s">
        <v>100</v>
      </c>
      <c r="H8" s="55" t="s">
        <v>101</v>
      </c>
      <c r="I8" s="55" t="s">
        <v>102</v>
      </c>
      <c r="J8" s="56" t="s">
        <v>103</v>
      </c>
      <c r="K8" s="56" t="s">
        <v>104</v>
      </c>
      <c r="L8" s="55" t="s">
        <v>105</v>
      </c>
      <c r="M8" s="55" t="s">
        <v>106</v>
      </c>
      <c r="N8" s="55" t="s">
        <v>107</v>
      </c>
      <c r="O8" s="55" t="s">
        <v>108</v>
      </c>
      <c r="P8" s="55" t="s">
        <v>109</v>
      </c>
      <c r="Q8" s="57" t="s">
        <v>110</v>
      </c>
      <c r="R8" s="57" t="s">
        <v>85</v>
      </c>
      <c r="S8" s="58" t="s">
        <v>111</v>
      </c>
    </row>
    <row r="9" customFormat="false" ht="13.5" hidden="false" customHeight="true" outlineLevel="0" collapsed="false">
      <c r="A9" s="60" t="n">
        <v>1</v>
      </c>
      <c r="B9" s="60" t="s">
        <v>112</v>
      </c>
      <c r="C9" s="61"/>
      <c r="D9" s="61"/>
      <c r="E9" s="61"/>
      <c r="F9" s="61"/>
      <c r="G9" s="61"/>
      <c r="H9" s="62" t="s">
        <v>113</v>
      </c>
      <c r="I9" s="63" t="s">
        <v>114</v>
      </c>
      <c r="J9" s="62" t="s">
        <v>115</v>
      </c>
      <c r="K9" s="62"/>
      <c r="L9" s="62" t="s">
        <v>116</v>
      </c>
      <c r="M9" s="62" t="s">
        <v>117</v>
      </c>
      <c r="N9" s="64"/>
      <c r="O9" s="62" t="s">
        <v>118</v>
      </c>
      <c r="P9" s="62"/>
      <c r="Q9" s="65" t="s">
        <v>119</v>
      </c>
      <c r="R9" s="65" t="s">
        <v>119</v>
      </c>
      <c r="S9" s="66"/>
    </row>
    <row r="10" customFormat="false" ht="13.5" hidden="false" customHeight="true" outlineLevel="0" collapsed="false">
      <c r="A10" s="60" t="n">
        <v>2</v>
      </c>
      <c r="B10" s="60" t="s">
        <v>120</v>
      </c>
      <c r="C10" s="61"/>
      <c r="D10" s="61"/>
      <c r="E10" s="61"/>
      <c r="F10" s="61"/>
      <c r="G10" s="61"/>
      <c r="H10" s="67" t="s">
        <v>121</v>
      </c>
      <c r="I10" s="63"/>
      <c r="J10" s="62"/>
      <c r="K10" s="62"/>
      <c r="L10" s="67" t="s">
        <v>122</v>
      </c>
      <c r="M10" s="62" t="s">
        <v>117</v>
      </c>
      <c r="N10" s="64" t="s">
        <v>119</v>
      </c>
      <c r="O10" s="67"/>
      <c r="P10" s="62"/>
      <c r="Q10" s="65" t="s">
        <v>119</v>
      </c>
      <c r="R10" s="65" t="s">
        <v>119</v>
      </c>
      <c r="S10" s="66"/>
    </row>
    <row r="11" customFormat="false" ht="13.5" hidden="false" customHeight="true" outlineLevel="0" collapsed="false">
      <c r="A11" s="60" t="n">
        <v>3</v>
      </c>
      <c r="B11" s="60"/>
      <c r="C11" s="61" t="s">
        <v>123</v>
      </c>
      <c r="D11" s="61"/>
      <c r="E11" s="61"/>
      <c r="F11" s="61"/>
      <c r="G11" s="61"/>
      <c r="H11" s="60" t="s">
        <v>124</v>
      </c>
      <c r="I11" s="63" t="s">
        <v>125</v>
      </c>
      <c r="J11" s="62"/>
      <c r="K11" s="62"/>
      <c r="L11" s="67" t="s">
        <v>126</v>
      </c>
      <c r="M11" s="62" t="s">
        <v>117</v>
      </c>
      <c r="N11" s="64"/>
      <c r="O11" s="67" t="s">
        <v>118</v>
      </c>
      <c r="P11" s="62"/>
      <c r="Q11" s="65" t="s">
        <v>119</v>
      </c>
      <c r="R11" s="65" t="s">
        <v>119</v>
      </c>
      <c r="S11" s="66"/>
    </row>
    <row r="12" customFormat="false" ht="13.5" hidden="false" customHeight="true" outlineLevel="0" collapsed="false">
      <c r="A12" s="60" t="n">
        <v>4</v>
      </c>
      <c r="B12" s="60"/>
      <c r="C12" s="61" t="s">
        <v>127</v>
      </c>
      <c r="D12" s="61"/>
      <c r="E12" s="61"/>
      <c r="F12" s="61"/>
      <c r="G12" s="61"/>
      <c r="H12" s="60" t="s">
        <v>128</v>
      </c>
      <c r="I12" s="63" t="s">
        <v>129</v>
      </c>
      <c r="J12" s="62"/>
      <c r="K12" s="62"/>
      <c r="L12" s="67" t="s">
        <v>130</v>
      </c>
      <c r="M12" s="62" t="s">
        <v>117</v>
      </c>
      <c r="N12" s="64"/>
      <c r="O12" s="67" t="s">
        <v>118</v>
      </c>
      <c r="P12" s="62"/>
      <c r="Q12" s="65" t="s">
        <v>119</v>
      </c>
      <c r="R12" s="65" t="s">
        <v>119</v>
      </c>
      <c r="S12" s="66"/>
    </row>
    <row r="13" customFormat="false" ht="13.5" hidden="false" customHeight="true" outlineLevel="0" collapsed="false">
      <c r="A13" s="60" t="n">
        <v>5</v>
      </c>
      <c r="B13" s="60" t="s">
        <v>131</v>
      </c>
      <c r="C13" s="61"/>
      <c r="D13" s="61"/>
      <c r="E13" s="61"/>
      <c r="F13" s="61"/>
      <c r="G13" s="61"/>
      <c r="H13" s="67" t="s">
        <v>132</v>
      </c>
      <c r="I13" s="63"/>
      <c r="J13" s="62"/>
      <c r="K13" s="62"/>
      <c r="L13" s="67" t="s">
        <v>133</v>
      </c>
      <c r="M13" s="62" t="s">
        <v>117</v>
      </c>
      <c r="N13" s="64"/>
      <c r="O13" s="67" t="s">
        <v>134</v>
      </c>
      <c r="P13" s="62"/>
      <c r="Q13" s="65" t="s">
        <v>119</v>
      </c>
      <c r="R13" s="65" t="s">
        <v>119</v>
      </c>
      <c r="S13" s="66"/>
    </row>
    <row r="14" customFormat="false" ht="13.5" hidden="false" customHeight="true" outlineLevel="0" collapsed="false">
      <c r="A14" s="60" t="n">
        <v>6</v>
      </c>
      <c r="B14" s="60" t="s">
        <v>135</v>
      </c>
      <c r="C14" s="61"/>
      <c r="D14" s="61"/>
      <c r="E14" s="61"/>
      <c r="F14" s="61"/>
      <c r="G14" s="61"/>
      <c r="H14" s="67" t="s">
        <v>136</v>
      </c>
      <c r="I14" s="63" t="s">
        <v>137</v>
      </c>
      <c r="J14" s="62"/>
      <c r="K14" s="62"/>
      <c r="L14" s="67" t="s">
        <v>138</v>
      </c>
      <c r="M14" s="62" t="s">
        <v>117</v>
      </c>
      <c r="N14" s="64"/>
      <c r="O14" s="67" t="s">
        <v>118</v>
      </c>
      <c r="P14" s="62" t="s">
        <v>139</v>
      </c>
      <c r="Q14" s="65" t="s">
        <v>119</v>
      </c>
      <c r="R14" s="65" t="s">
        <v>119</v>
      </c>
      <c r="S14" s="66"/>
    </row>
    <row r="15" customFormat="false" ht="13.5" hidden="false" customHeight="true" outlineLevel="0" collapsed="false">
      <c r="A15" s="60" t="n">
        <v>7</v>
      </c>
      <c r="B15" s="60" t="s">
        <v>140</v>
      </c>
      <c r="C15" s="61"/>
      <c r="D15" s="61"/>
      <c r="E15" s="61"/>
      <c r="F15" s="61"/>
      <c r="G15" s="61"/>
      <c r="H15" s="67" t="s">
        <v>141</v>
      </c>
      <c r="I15" s="63" t="s">
        <v>142</v>
      </c>
      <c r="J15" s="62"/>
      <c r="K15" s="62"/>
      <c r="L15" s="62" t="s">
        <v>143</v>
      </c>
      <c r="M15" s="62" t="s">
        <v>117</v>
      </c>
      <c r="N15" s="64"/>
      <c r="O15" s="67" t="s">
        <v>118</v>
      </c>
      <c r="P15" s="62" t="s">
        <v>144</v>
      </c>
      <c r="Q15" s="65" t="s">
        <v>119</v>
      </c>
      <c r="R15" s="65" t="s">
        <v>119</v>
      </c>
      <c r="S15" s="66"/>
    </row>
    <row r="16" customFormat="false" ht="13.5" hidden="false" customHeight="true" outlineLevel="0" collapsed="false">
      <c r="A16" s="60" t="n">
        <v>8</v>
      </c>
      <c r="B16" s="60" t="s">
        <v>145</v>
      </c>
      <c r="C16" s="61"/>
      <c r="D16" s="61"/>
      <c r="E16" s="61"/>
      <c r="F16" s="61"/>
      <c r="G16" s="61"/>
      <c r="H16" s="67" t="s">
        <v>146</v>
      </c>
      <c r="I16" s="63"/>
      <c r="J16" s="62"/>
      <c r="K16" s="62"/>
      <c r="L16" s="62" t="s">
        <v>147</v>
      </c>
      <c r="M16" s="62" t="s">
        <v>148</v>
      </c>
      <c r="N16" s="64" t="s">
        <v>119</v>
      </c>
      <c r="O16" s="62" t="s">
        <v>147</v>
      </c>
      <c r="P16" s="62"/>
      <c r="Q16" s="65" t="s">
        <v>119</v>
      </c>
      <c r="R16" s="65" t="s">
        <v>119</v>
      </c>
      <c r="S16" s="66"/>
    </row>
    <row r="17" customFormat="false" ht="13.5" hidden="false" customHeight="true" outlineLevel="0" collapsed="false">
      <c r="A17" s="60" t="n">
        <v>10</v>
      </c>
      <c r="B17" s="60"/>
      <c r="C17" s="61" t="s">
        <v>149</v>
      </c>
      <c r="D17" s="61"/>
      <c r="E17" s="61"/>
      <c r="F17" s="61"/>
      <c r="G17" s="61"/>
      <c r="H17" s="62" t="s">
        <v>150</v>
      </c>
      <c r="I17" s="63" t="s">
        <v>151</v>
      </c>
      <c r="J17" s="62"/>
      <c r="K17" s="62"/>
      <c r="L17" s="62" t="s">
        <v>126</v>
      </c>
      <c r="M17" s="62" t="s">
        <v>117</v>
      </c>
      <c r="N17" s="64"/>
      <c r="O17" s="62" t="s">
        <v>118</v>
      </c>
      <c r="P17" s="62"/>
      <c r="Q17" s="65" t="s">
        <v>119</v>
      </c>
      <c r="R17" s="65" t="s">
        <v>119</v>
      </c>
      <c r="S17" s="66"/>
    </row>
    <row r="18" customFormat="false" ht="13.5" hidden="false" customHeight="true" outlineLevel="0" collapsed="false">
      <c r="A18" s="60" t="n">
        <v>11</v>
      </c>
      <c r="B18" s="60"/>
      <c r="C18" s="61" t="s">
        <v>127</v>
      </c>
      <c r="D18" s="61"/>
      <c r="E18" s="61"/>
      <c r="F18" s="61"/>
      <c r="G18" s="61"/>
      <c r="H18" s="62" t="s">
        <v>152</v>
      </c>
      <c r="I18" s="63" t="s">
        <v>153</v>
      </c>
      <c r="J18" s="62"/>
      <c r="K18" s="62"/>
      <c r="L18" s="62" t="s">
        <v>130</v>
      </c>
      <c r="M18" s="62" t="s">
        <v>117</v>
      </c>
      <c r="N18" s="64"/>
      <c r="O18" s="62" t="s">
        <v>118</v>
      </c>
      <c r="P18" s="62"/>
      <c r="Q18" s="65" t="s">
        <v>119</v>
      </c>
      <c r="R18" s="65" t="s">
        <v>119</v>
      </c>
      <c r="S18" s="66"/>
    </row>
    <row r="19" customFormat="false" ht="13.5" hidden="false" customHeight="true" outlineLevel="0" collapsed="false">
      <c r="A19" s="60" t="n">
        <v>12</v>
      </c>
      <c r="B19" s="60" t="s">
        <v>154</v>
      </c>
      <c r="C19" s="61"/>
      <c r="D19" s="61"/>
      <c r="E19" s="61"/>
      <c r="F19" s="61"/>
      <c r="G19" s="61"/>
      <c r="H19" s="62" t="s">
        <v>155</v>
      </c>
      <c r="I19" s="63" t="s">
        <v>156</v>
      </c>
      <c r="J19" s="62"/>
      <c r="K19" s="62"/>
      <c r="L19" s="63" t="s">
        <v>157</v>
      </c>
      <c r="M19" s="62" t="s">
        <v>117</v>
      </c>
      <c r="N19" s="64"/>
      <c r="O19" s="62" t="s">
        <v>118</v>
      </c>
      <c r="P19" s="62" t="s">
        <v>158</v>
      </c>
      <c r="Q19" s="65"/>
      <c r="R19" s="65"/>
      <c r="S19" s="68"/>
    </row>
    <row r="20" customFormat="false" ht="13.5" hidden="false" customHeight="true" outlineLevel="0" collapsed="false">
      <c r="A20" s="60" t="n">
        <v>13</v>
      </c>
      <c r="B20" s="60" t="s">
        <v>159</v>
      </c>
      <c r="C20" s="61"/>
      <c r="D20" s="61"/>
      <c r="E20" s="61"/>
      <c r="F20" s="61"/>
      <c r="G20" s="61"/>
      <c r="H20" s="62" t="s">
        <v>160</v>
      </c>
      <c r="I20" s="63" t="s">
        <v>161</v>
      </c>
      <c r="J20" s="62"/>
      <c r="K20" s="62"/>
      <c r="L20" s="62" t="s">
        <v>162</v>
      </c>
      <c r="M20" s="62" t="s">
        <v>163</v>
      </c>
      <c r="N20" s="64"/>
      <c r="O20" s="62" t="s">
        <v>118</v>
      </c>
      <c r="P20" s="62" t="s">
        <v>164</v>
      </c>
      <c r="Q20" s="65"/>
      <c r="R20" s="65"/>
      <c r="S20" s="66"/>
    </row>
    <row r="21" s="30" customFormat="true" ht="12" hidden="false" customHeight="true" outlineLevel="0" collapsed="false">
      <c r="A21" s="60"/>
      <c r="B21" s="60"/>
      <c r="C21" s="60"/>
      <c r="D21" s="60"/>
      <c r="E21" s="60"/>
      <c r="F21" s="60"/>
      <c r="G21" s="60"/>
      <c r="H21" s="60"/>
      <c r="I21" s="60"/>
      <c r="J21" s="60"/>
      <c r="K21" s="60"/>
      <c r="L21" s="69"/>
      <c r="M21" s="60"/>
      <c r="N21" s="70"/>
      <c r="O21" s="60"/>
      <c r="P21" s="60"/>
      <c r="Q21" s="60"/>
      <c r="R21" s="60"/>
      <c r="S21" s="67"/>
    </row>
  </sheetData>
  <conditionalFormatting sqref="A22:F23 A43:F883">
    <cfRule type="expression" priority="2" aboveAverage="0" equalAverage="0" bottom="0" percent="0" rank="0" text="" dxfId="10">
      <formula>OR(#ref!="X",#ref!="X")</formula>
    </cfRule>
    <cfRule type="expression" priority="3" aboveAverage="0" equalAverage="0" bottom="0" percent="0" rank="0" text="" dxfId="11">
      <formula>AND(#ref!=1,#ref!=1)</formula>
    </cfRule>
    <cfRule type="expression" priority="4" aboveAverage="0" equalAverage="0" bottom="0" percent="0" rank="0" text="" dxfId="12">
      <formula>#ref!=1</formula>
    </cfRule>
    <cfRule type="expression" priority="5" aboveAverage="0" equalAverage="0" bottom="0" percent="0" rank="0" text="" dxfId="13">
      <formula>#ref!=1</formula>
    </cfRule>
  </conditionalFormatting>
  <conditionalFormatting sqref="A9:G20">
    <cfRule type="expression" priority="6" aboveAverage="0" equalAverage="0" bottom="0" percent="0" rank="0" text="" dxfId="14">
      <formula>OR(#ref!="X",#ref!="X")</formula>
    </cfRule>
    <cfRule type="expression" priority="7" aboveAverage="0" equalAverage="0" bottom="0" percent="0" rank="0" text="" dxfId="15">
      <formula>AND(#ref!=1,#ref!=1)</formula>
    </cfRule>
    <cfRule type="expression" priority="8" aboveAverage="0" equalAverage="0" bottom="0" percent="0" rank="0" text="" dxfId="16">
      <formula>#ref!=1</formula>
    </cfRule>
    <cfRule type="expression" priority="9" aboveAverage="0" equalAverage="0" bottom="0" percent="0" rank="0" text="" dxfId="17">
      <formula>#ref!=1</formula>
    </cfRule>
  </conditionalFormatting>
  <conditionalFormatting sqref="C9:C17 C18:D18 C19:C20 D20">
    <cfRule type="expression" priority="10" aboveAverage="0" equalAverage="0" bottom="0" percent="0" rank="0" text="" dxfId="18">
      <formula>AND($N9="X",$B9&lt;&gt;"")</formula>
    </cfRule>
  </conditionalFormatting>
  <conditionalFormatting sqref="D9:D17 C17 C18:D20">
    <cfRule type="expression" priority="11" aboveAverage="0" equalAverage="0" bottom="0" percent="0" rank="0" text="" dxfId="19">
      <formula>AND($N9="X",OR($B9&lt;&gt;"",$C9&lt;&gt;""))</formula>
    </cfRule>
  </conditionalFormatting>
  <conditionalFormatting sqref="E1 E3">
    <cfRule type="dataBar" priority="12">
      <dataBar showValue="1" minLength="10" maxLength="90">
        <cfvo type="num" val="0"/>
        <cfvo type="num" val="1"/>
        <color rgb="FF63C384"/>
      </dataBar>
      <extLst>
        <ext xmlns:x14="http://schemas.microsoft.com/office/spreadsheetml/2009/9/main" uri="{B025F937-C7B1-47D3-B67F-A62EFF666E3E}">
          <x14:id>{B796F818-8AED-481C-8B16-B7EA485C1FD4}</x14:id>
        </ext>
      </extLst>
    </cfRule>
  </conditionalFormatting>
  <conditionalFormatting sqref="E9:E20">
    <cfRule type="expression" priority="13" aboveAverage="0" equalAverage="0" bottom="0" percent="0" rank="0" text="" dxfId="20">
      <formula>AND($N9="X",OR($B9&lt;&gt;"",$C9&lt;&gt;"",$D9&lt;&gt;""))</formula>
    </cfRule>
  </conditionalFormatting>
  <conditionalFormatting sqref="F9:F20">
    <cfRule type="expression" priority="14" aboveAverage="0" equalAverage="0" bottom="0" percent="0" rank="0" text="" dxfId="21">
      <formula>AND($N9="X",OR($B9&lt;&gt;"",$C9&lt;&gt;"",$D9&lt;&gt;"",$E9&lt;&gt;""))</formula>
    </cfRule>
  </conditionalFormatting>
  <conditionalFormatting sqref="G9:G20">
    <cfRule type="expression" priority="15" aboveAverage="0" equalAverage="0" bottom="0" percent="0" rank="0" text="" dxfId="22">
      <formula>AND($N9="X",OR($B9&lt;&gt;"",$C9&lt;&gt;"",$D9&lt;&gt;"",$E9&lt;&gt;"",$F9&lt;&gt;""))</formula>
    </cfRule>
  </conditionalFormatting>
  <conditionalFormatting sqref="H22:H23 H43:H883">
    <cfRule type="expression" priority="16" aboveAverage="0" equalAverage="0" bottom="0" percent="0" rank="0" text="" dxfId="23">
      <formula>$M22="X"</formula>
    </cfRule>
  </conditionalFormatting>
  <conditionalFormatting sqref="I9:I20">
    <cfRule type="expression" priority="17" aboveAverage="0" equalAverage="0" bottom="0" percent="0" rank="0" text="" dxfId="24">
      <formula>$N9="X"</formula>
    </cfRule>
  </conditionalFormatting>
  <conditionalFormatting sqref="M9:M20">
    <cfRule type="cellIs" priority="18" operator="equal" aboveAverage="0" equalAverage="0" bottom="0" percent="0" rank="0" text="" dxfId="25">
      <formula>"1..1"</formula>
    </cfRule>
    <cfRule type="cellIs" priority="19" operator="equal" aboveAverage="0" equalAverage="0" bottom="0" percent="0" rank="0" text="" dxfId="26">
      <formula>"0..n"</formula>
    </cfRule>
    <cfRule type="cellIs" priority="20" operator="equal" aboveAverage="0" equalAverage="0" bottom="0" percent="0" rank="0" text="" dxfId="27">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B796F818-8AED-481C-8B16-B7EA485C1FD4}">
            <x14:dataBar minLength="10" maxLength="90" axisPosition="automatic" gradient="true">
              <x14:cfvo type="num">
                <xm:f>0</xm:f>
              </x14:cfvo>
              <x14:cfvo type="num">
                <xm:f>1</xm:f>
              </x14:cfvo>
              <x14:negativeFill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V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P11" activeCellId="0" sqref="P11"/>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27.12"/>
    <col collapsed="false" customWidth="true" hidden="false" outlineLevel="0" max="3" min="3" style="0" width="11.87"/>
    <col collapsed="false" customWidth="true" hidden="false" outlineLevel="0" max="4" min="4" style="0" width="12.51"/>
    <col collapsed="false" customWidth="true" hidden="false" outlineLevel="0" max="5" min="5" style="0" width="12.63"/>
    <col collapsed="false" customWidth="true" hidden="false" outlineLevel="0" max="7" min="6" style="0" width="13"/>
    <col collapsed="false" customWidth="true" hidden="false" outlineLevel="0" max="8" min="8" style="0" width="37.13"/>
    <col collapsed="false" customWidth="true" hidden="false" outlineLevel="0" max="9" min="9" style="0" width="26.5"/>
    <col collapsed="false" customWidth="true" hidden="false" outlineLevel="0" max="10" min="10" style="0" width="16.13"/>
    <col collapsed="false" customWidth="true" hidden="false" outlineLevel="0" max="14" min="11" style="0" width="2.13"/>
    <col collapsed="false" customWidth="true" hidden="false" outlineLevel="0" max="15" min="15" style="0" width="2.38"/>
    <col collapsed="false" customWidth="true" hidden="false" outlineLevel="0" max="16" min="16" style="0" width="12.51"/>
    <col collapsed="false" customWidth="true" hidden="false" outlineLevel="0" max="17" min="17" style="0" width="2"/>
    <col collapsed="false" customWidth="true" hidden="false" outlineLevel="0" max="18" min="18" style="0" width="7.13"/>
    <col collapsed="false" customWidth="true" hidden="false" outlineLevel="0" max="19" min="19" style="0" width="31.13"/>
    <col collapsed="false" customWidth="true" hidden="false" outlineLevel="0" max="20" min="20" style="0" width="8.51"/>
    <col collapsed="false" customWidth="true" hidden="false" outlineLevel="0" max="21" min="21" style="0" width="4.13"/>
    <col collapsed="false" customWidth="true" hidden="true" outlineLevel="0" max="28" min="22" style="0" width="9.14"/>
  </cols>
  <sheetData>
    <row r="1" customFormat="false" ht="14.25" hidden="false" customHeight="true" outlineLevel="0" collapsed="false">
      <c r="A1" s="71" t="s">
        <v>165</v>
      </c>
      <c r="B1" s="71"/>
      <c r="C1" s="72"/>
      <c r="D1" s="30"/>
      <c r="E1" s="30"/>
      <c r="F1" s="30"/>
      <c r="G1" s="30"/>
      <c r="H1" s="73" t="s">
        <v>166</v>
      </c>
      <c r="I1" s="73"/>
      <c r="J1" s="31"/>
      <c r="K1" s="31"/>
      <c r="L1" s="31"/>
      <c r="M1" s="31"/>
      <c r="N1" s="74"/>
      <c r="O1" s="74"/>
      <c r="P1" s="31"/>
      <c r="Q1" s="31"/>
      <c r="R1" s="31"/>
      <c r="S1" s="31"/>
      <c r="T1" s="31"/>
      <c r="V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9"/>
      <c r="O2" s="77"/>
      <c r="P2" s="77"/>
      <c r="Q2" s="77"/>
      <c r="R2" s="77"/>
    </row>
    <row r="3" s="76" customFormat="true" ht="13.5" hidden="false" customHeight="true" outlineLevel="0" collapsed="false">
      <c r="A3" s="75" t="s">
        <v>167</v>
      </c>
      <c r="B3" s="75" t="s">
        <v>85</v>
      </c>
      <c r="C3" s="80" t="s">
        <v>168</v>
      </c>
      <c r="D3" s="75" t="s">
        <v>168</v>
      </c>
      <c r="E3" s="75"/>
      <c r="F3" s="75"/>
      <c r="G3" s="75" t="s">
        <v>90</v>
      </c>
      <c r="H3" s="75" t="s">
        <v>91</v>
      </c>
      <c r="I3" s="75" t="s">
        <v>90</v>
      </c>
      <c r="J3" s="81" t="s">
        <v>169</v>
      </c>
      <c r="K3" s="77"/>
      <c r="L3" s="78"/>
      <c r="M3" s="77"/>
      <c r="N3" s="79"/>
      <c r="O3" s="77"/>
      <c r="P3" s="77"/>
      <c r="Q3" s="77"/>
      <c r="R3" s="77"/>
    </row>
    <row r="4" s="76" customFormat="true" ht="13.5" hidden="false" customHeight="true" outlineLevel="0" collapsed="false">
      <c r="A4" s="75"/>
      <c r="B4" s="75"/>
      <c r="C4" s="75"/>
      <c r="D4" s="75"/>
      <c r="E4" s="75"/>
      <c r="F4" s="75"/>
      <c r="G4" s="75"/>
      <c r="H4" s="75"/>
      <c r="I4" s="75"/>
      <c r="K4" s="77"/>
      <c r="L4" s="78"/>
      <c r="M4" s="77"/>
      <c r="N4" s="79"/>
      <c r="O4" s="77"/>
      <c r="P4" s="77"/>
      <c r="Q4" s="77"/>
      <c r="R4" s="77"/>
    </row>
    <row r="5" s="76" customFormat="true" ht="13.5" hidden="false" customHeight="true" outlineLevel="0" collapsed="false">
      <c r="A5" s="75"/>
      <c r="B5" s="75"/>
      <c r="C5" s="75"/>
      <c r="D5" s="75"/>
      <c r="E5" s="75"/>
      <c r="F5" s="75"/>
      <c r="G5" s="75"/>
      <c r="H5" s="75"/>
      <c r="I5" s="75"/>
      <c r="K5" s="77"/>
      <c r="L5" s="78"/>
      <c r="M5" s="77"/>
      <c r="N5" s="79"/>
      <c r="O5" s="77"/>
      <c r="P5" s="77"/>
      <c r="Q5" s="77"/>
      <c r="R5" s="77"/>
    </row>
    <row r="6" customFormat="false" ht="14.25" hidden="false" customHeight="false" outlineLevel="0" collapsed="false">
      <c r="A6" s="30"/>
      <c r="B6" s="30"/>
      <c r="C6" s="50"/>
      <c r="D6" s="51"/>
      <c r="E6" s="30"/>
      <c r="F6" s="51"/>
      <c r="G6" s="31"/>
      <c r="H6" s="31"/>
      <c r="I6" s="60"/>
      <c r="J6" s="31"/>
      <c r="K6" s="31"/>
      <c r="L6" s="31"/>
      <c r="M6" s="31"/>
      <c r="N6" s="31"/>
      <c r="O6" s="31"/>
      <c r="P6" s="31"/>
      <c r="Q6" s="31"/>
      <c r="R6" s="31"/>
      <c r="S6" s="31"/>
      <c r="T6" s="31"/>
      <c r="V6" s="31"/>
    </row>
    <row r="7" customFormat="false" ht="14.25" hidden="false" customHeight="true" outlineLevel="0" collapsed="false">
      <c r="C7" s="51" t="s">
        <v>166</v>
      </c>
      <c r="D7" s="82" t="s">
        <v>166</v>
      </c>
      <c r="E7" s="83" t="s">
        <v>166</v>
      </c>
      <c r="F7" s="83" t="s">
        <v>166</v>
      </c>
      <c r="G7" s="31"/>
      <c r="H7" s="31"/>
      <c r="I7" s="60"/>
      <c r="J7" s="31"/>
      <c r="K7" s="84" t="s">
        <v>170</v>
      </c>
      <c r="L7" s="84"/>
      <c r="M7" s="84"/>
      <c r="N7" s="84"/>
      <c r="O7" s="31"/>
      <c r="P7" s="31"/>
      <c r="Q7" s="31"/>
      <c r="R7" s="31"/>
      <c r="S7" s="31"/>
      <c r="T7" s="85" t="s">
        <v>93</v>
      </c>
      <c r="V7" s="86"/>
    </row>
    <row r="8" s="94" customFormat="true" ht="27.75" hidden="false" customHeight="true" outlineLevel="0" collapsed="false">
      <c r="A8" s="87" t="s">
        <v>94</v>
      </c>
      <c r="B8" s="88" t="s">
        <v>95</v>
      </c>
      <c r="C8" s="88" t="s">
        <v>96</v>
      </c>
      <c r="D8" s="88" t="s">
        <v>97</v>
      </c>
      <c r="E8" s="88" t="s">
        <v>98</v>
      </c>
      <c r="F8" s="88" t="s">
        <v>99</v>
      </c>
      <c r="G8" s="88" t="s">
        <v>100</v>
      </c>
      <c r="H8" s="89" t="s">
        <v>101</v>
      </c>
      <c r="I8" s="89" t="s">
        <v>102</v>
      </c>
      <c r="J8" s="89" t="s">
        <v>105</v>
      </c>
      <c r="K8" s="90" t="s">
        <v>171</v>
      </c>
      <c r="L8" s="90" t="s">
        <v>172</v>
      </c>
      <c r="M8" s="90" t="s">
        <v>173</v>
      </c>
      <c r="N8" s="90" t="s">
        <v>174</v>
      </c>
      <c r="O8" s="90" t="s">
        <v>175</v>
      </c>
      <c r="P8" s="89" t="s">
        <v>106</v>
      </c>
      <c r="Q8" s="89" t="s">
        <v>107</v>
      </c>
      <c r="R8" s="89" t="s">
        <v>176</v>
      </c>
      <c r="S8" s="89" t="s">
        <v>109</v>
      </c>
      <c r="T8" s="91" t="s">
        <v>85</v>
      </c>
      <c r="U8" s="92" t="s">
        <v>111</v>
      </c>
      <c r="V8" s="93" t="s">
        <v>177</v>
      </c>
    </row>
    <row r="9" customFormat="false" ht="15" hidden="false" customHeight="true" outlineLevel="0" collapsed="false">
      <c r="A9" s="95" t="n">
        <v>1</v>
      </c>
      <c r="B9" s="96" t="s">
        <v>178</v>
      </c>
      <c r="C9" s="97"/>
      <c r="D9" s="96"/>
      <c r="E9" s="95"/>
      <c r="F9" s="95"/>
      <c r="G9" s="95"/>
      <c r="H9" s="98" t="s">
        <v>179</v>
      </c>
      <c r="I9" s="99"/>
      <c r="J9" s="98" t="s">
        <v>180</v>
      </c>
      <c r="K9" s="98"/>
      <c r="L9" s="98"/>
      <c r="M9" s="98"/>
      <c r="N9" s="98"/>
      <c r="O9" s="98"/>
      <c r="P9" s="99" t="s">
        <v>117</v>
      </c>
      <c r="Q9" s="100"/>
      <c r="R9" s="100" t="s">
        <v>118</v>
      </c>
      <c r="S9" s="101"/>
      <c r="T9" s="101" t="s">
        <v>119</v>
      </c>
    </row>
    <row r="10" customFormat="false" ht="15" hidden="false" customHeight="true" outlineLevel="0" collapsed="false">
      <c r="A10" s="95" t="n">
        <v>2</v>
      </c>
      <c r="B10" s="96" t="s">
        <v>181</v>
      </c>
      <c r="C10" s="97"/>
      <c r="D10" s="96"/>
      <c r="E10" s="95"/>
      <c r="F10" s="95"/>
      <c r="G10" s="95"/>
      <c r="H10" s="98" t="s">
        <v>182</v>
      </c>
      <c r="I10" s="99"/>
      <c r="J10" s="98" t="s">
        <v>183</v>
      </c>
      <c r="K10" s="98"/>
      <c r="L10" s="98"/>
      <c r="M10" s="98"/>
      <c r="N10" s="98"/>
      <c r="O10" s="98"/>
      <c r="P10" s="102" t="s">
        <v>163</v>
      </c>
      <c r="Q10" s="103"/>
      <c r="R10" s="103" t="s">
        <v>184</v>
      </c>
      <c r="S10" s="104"/>
      <c r="T10" s="104" t="s">
        <v>119</v>
      </c>
    </row>
    <row r="11" customFormat="false" ht="14.25" hidden="false" customHeight="false" outlineLevel="0" collapsed="false">
      <c r="A11" s="95" t="n">
        <v>3</v>
      </c>
      <c r="B11" s="96" t="s">
        <v>185</v>
      </c>
      <c r="C11" s="105"/>
      <c r="D11" s="96"/>
      <c r="E11" s="95"/>
      <c r="F11" s="95"/>
      <c r="G11" s="95"/>
      <c r="H11" s="98" t="s">
        <v>186</v>
      </c>
      <c r="I11" s="99"/>
      <c r="J11" s="98" t="s">
        <v>187</v>
      </c>
      <c r="K11" s="98"/>
      <c r="L11" s="98"/>
      <c r="M11" s="98"/>
      <c r="N11" s="98"/>
      <c r="O11" s="98"/>
      <c r="P11" s="102" t="s">
        <v>163</v>
      </c>
      <c r="Q11" s="100"/>
      <c r="R11" s="100" t="s">
        <v>118</v>
      </c>
      <c r="S11" s="101"/>
      <c r="T11" s="101" t="s">
        <v>119</v>
      </c>
    </row>
    <row r="12" s="112" customFormat="true" ht="16.5" hidden="false" customHeight="true" outlineLevel="0" collapsed="false">
      <c r="A12" s="106" t="n">
        <v>4</v>
      </c>
      <c r="B12" s="107" t="s">
        <v>188</v>
      </c>
      <c r="C12" s="108"/>
      <c r="D12" s="107"/>
      <c r="E12" s="106"/>
      <c r="F12" s="106"/>
      <c r="G12" s="106"/>
      <c r="H12" s="109" t="s">
        <v>189</v>
      </c>
      <c r="I12" s="110"/>
      <c r="J12" s="109" t="s">
        <v>190</v>
      </c>
      <c r="K12" s="109"/>
      <c r="L12" s="109"/>
      <c r="M12" s="109"/>
      <c r="N12" s="109"/>
      <c r="O12" s="109"/>
      <c r="P12" s="111" t="s">
        <v>163</v>
      </c>
      <c r="R12" s="113" t="s">
        <v>118</v>
      </c>
      <c r="S12" s="114" t="s">
        <v>191</v>
      </c>
      <c r="T12" s="115" t="s">
        <v>119</v>
      </c>
    </row>
  </sheetData>
  <mergeCells count="2">
    <mergeCell ref="N1:O1"/>
    <mergeCell ref="K7:N7"/>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{EC2E969A-9AE6-4494-9079-AE4BD377D4DC}</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EC2E969A-9AE6-4494-9079-AE4BD377D4DC}">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0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H98" activePane="bottomRight" state="frozen"/>
      <selection pane="topLeft" activeCell="A1" activeCellId="0" sqref="A1"/>
      <selection pane="topRight" activeCell="H1" activeCellId="0" sqref="H1"/>
      <selection pane="bottomLeft" activeCell="A98" activeCellId="0" sqref="A98"/>
      <selection pane="bottomRight" activeCell="H107" activeCellId="0" sqref="H107"/>
    </sheetView>
  </sheetViews>
  <sheetFormatPr defaultColWidth="9.515625" defaultRowHeight="12" zeroHeight="false" outlineLevelRow="0" outlineLevelCol="0"/>
  <cols>
    <col collapsed="false" customWidth="true" hidden="false" outlineLevel="0" max="1" min="1" style="30" width="9.13"/>
    <col collapsed="false" customWidth="true" hidden="false" outlineLevel="0" max="2" min="2" style="30" width="13.63"/>
    <col collapsed="false" customWidth="true" hidden="false" outlineLevel="0" max="3" min="3" style="30" width="31.38"/>
    <col collapsed="false" customWidth="true" hidden="false" outlineLevel="0" max="4" min="4" style="30" width="19.5"/>
    <col collapsed="false" customWidth="true" hidden="false" outlineLevel="0" max="5" min="5" style="30" width="10.87"/>
    <col collapsed="false" customWidth="true" hidden="false" outlineLevel="0" max="6" min="6" style="30" width="8.64"/>
    <col collapsed="false" customWidth="true" hidden="false" outlineLevel="0" max="7" min="7" style="31" width="8.88"/>
    <col collapsed="false" customWidth="true" hidden="false" outlineLevel="0" max="8" min="8" style="31" width="58.38"/>
    <col collapsed="false" customWidth="true" hidden="false" outlineLevel="0" max="9" min="9" style="60" width="33.5"/>
    <col collapsed="false" customWidth="true" hidden="false" outlineLevel="0" max="10" min="10" style="32" width="17.87"/>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43.13"/>
    <col collapsed="false" customWidth="false" hidden="false" outlineLevel="0" max="17" min="15" style="31" width="9.51"/>
    <col collapsed="false" customWidth="true" hidden="false" outlineLevel="0" max="18" min="18" style="0" width="3.62"/>
    <col collapsed="false" customWidth="true" hidden="false" outlineLevel="0" max="19" min="19" style="0" width="9.87"/>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192</v>
      </c>
      <c r="C1" s="72"/>
      <c r="F1" s="37"/>
      <c r="G1" s="30"/>
      <c r="I1" s="31"/>
      <c r="S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193</v>
      </c>
      <c r="B3" s="75" t="s">
        <v>110</v>
      </c>
      <c r="C3" s="80" t="s">
        <v>31</v>
      </c>
      <c r="D3" s="75" t="s">
        <v>194</v>
      </c>
      <c r="E3" s="75"/>
      <c r="F3" s="75"/>
      <c r="G3" s="75" t="s">
        <v>90</v>
      </c>
      <c r="H3" s="75" t="s">
        <v>91</v>
      </c>
      <c r="I3" s="75" t="s">
        <v>90</v>
      </c>
      <c r="J3" s="81" t="s">
        <v>195</v>
      </c>
      <c r="K3" s="77"/>
      <c r="L3" s="78"/>
      <c r="M3" s="77"/>
      <c r="N3" s="77"/>
      <c r="O3" s="77"/>
      <c r="P3" s="77"/>
      <c r="Q3" s="77"/>
    </row>
    <row r="4" s="76" customFormat="true" ht="13.5" hidden="false" customHeight="true" outlineLevel="0" collapsed="false">
      <c r="A4" s="76" t="s">
        <v>196</v>
      </c>
      <c r="B4" s="76" t="s">
        <v>85</v>
      </c>
      <c r="C4" s="116" t="s">
        <v>197</v>
      </c>
      <c r="D4" s="76" t="s">
        <v>198</v>
      </c>
      <c r="E4" s="116"/>
      <c r="G4" s="116" t="s">
        <v>90</v>
      </c>
      <c r="H4" s="77" t="s">
        <v>91</v>
      </c>
      <c r="I4" s="77" t="s">
        <v>90</v>
      </c>
      <c r="J4" s="76" t="s">
        <v>199</v>
      </c>
      <c r="K4" s="77"/>
      <c r="L4" s="78"/>
      <c r="M4" s="77"/>
      <c r="N4" s="77"/>
      <c r="O4" s="77"/>
      <c r="P4" s="77"/>
      <c r="Q4" s="77"/>
    </row>
    <row r="5" s="76" customFormat="true" ht="13.5" hidden="false" customHeight="true" outlineLevel="0" collapsed="false">
      <c r="A5" s="76" t="s">
        <v>200</v>
      </c>
      <c r="B5" s="76" t="s">
        <v>201</v>
      </c>
      <c r="C5" s="76" t="s">
        <v>202</v>
      </c>
      <c r="D5" s="117" t="s">
        <v>198</v>
      </c>
      <c r="E5" s="77"/>
      <c r="F5" s="117"/>
      <c r="G5" s="77" t="s">
        <v>90</v>
      </c>
      <c r="H5" s="77" t="s">
        <v>90</v>
      </c>
      <c r="I5" s="77" t="s">
        <v>90</v>
      </c>
      <c r="J5" s="76" t="s">
        <v>203</v>
      </c>
      <c r="K5" s="77"/>
      <c r="L5" s="78"/>
      <c r="M5" s="77"/>
      <c r="N5" s="77"/>
      <c r="O5" s="77"/>
      <c r="P5" s="77"/>
      <c r="Q5" s="77"/>
    </row>
    <row r="6" customFormat="false" ht="13.5" hidden="false" customHeight="true" outlineLevel="0" collapsed="false">
      <c r="C6" s="50"/>
      <c r="D6" s="51"/>
      <c r="F6" s="51"/>
      <c r="S6" s="30"/>
    </row>
    <row r="7" customFormat="false" ht="13.5" hidden="false" customHeight="true" outlineLevel="0" collapsed="false">
      <c r="B7" s="76"/>
      <c r="C7" s="51"/>
      <c r="D7" s="118"/>
      <c r="E7" s="51"/>
      <c r="F7" s="51"/>
      <c r="O7" s="52" t="s">
        <v>93</v>
      </c>
      <c r="P7" s="52" t="s">
        <v>93</v>
      </c>
      <c r="Q7" s="52" t="s">
        <v>93</v>
      </c>
      <c r="S7" s="30"/>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123" t="s">
        <v>201</v>
      </c>
      <c r="R8" s="124" t="s">
        <v>111</v>
      </c>
      <c r="S8" s="125" t="s">
        <v>205</v>
      </c>
      <c r="T8" s="125" t="s">
        <v>206</v>
      </c>
      <c r="U8" s="125" t="s">
        <v>207</v>
      </c>
      <c r="V8" s="125" t="s">
        <v>208</v>
      </c>
      <c r="W8" s="125" t="s">
        <v>209</v>
      </c>
      <c r="X8" s="125" t="s">
        <v>210</v>
      </c>
      <c r="Y8" s="125" t="s">
        <v>211</v>
      </c>
      <c r="Z8" s="125" t="s">
        <v>212</v>
      </c>
      <c r="AA8" s="125" t="s">
        <v>213</v>
      </c>
      <c r="AB8" s="125" t="s">
        <v>214</v>
      </c>
      <c r="AC8" s="125" t="s">
        <v>215</v>
      </c>
      <c r="AD8" s="125" t="s">
        <v>216</v>
      </c>
      <c r="AE8" s="125" t="s">
        <v>217</v>
      </c>
      <c r="AF8" s="125" t="s">
        <v>218</v>
      </c>
      <c r="AG8" s="125" t="s">
        <v>219</v>
      </c>
      <c r="AH8" s="125" t="s">
        <v>220</v>
      </c>
      <c r="AI8" s="125" t="s">
        <v>221</v>
      </c>
      <c r="AJ8" s="125" t="s">
        <v>222</v>
      </c>
      <c r="AK8" s="125" t="s">
        <v>223</v>
      </c>
      <c r="AL8" s="125" t="s">
        <v>224</v>
      </c>
      <c r="AM8" s="125" t="s">
        <v>225</v>
      </c>
      <c r="AN8" s="125" t="s">
        <v>226</v>
      </c>
      <c r="AO8" s="125" t="s">
        <v>227</v>
      </c>
      <c r="AP8" s="125" t="s">
        <v>228</v>
      </c>
      <c r="AQ8" s="125" t="s">
        <v>229</v>
      </c>
      <c r="AR8" s="125" t="s">
        <v>230</v>
      </c>
      <c r="AS8" s="125" t="s">
        <v>231</v>
      </c>
      <c r="AT8" s="125" t="s">
        <v>232</v>
      </c>
      <c r="AU8" s="125" t="s">
        <v>233</v>
      </c>
      <c r="AV8" s="125" t="s">
        <v>234</v>
      </c>
      <c r="AW8" s="125" t="s">
        <v>235</v>
      </c>
      <c r="AX8" s="125" t="s">
        <v>236</v>
      </c>
      <c r="AY8" s="125" t="s">
        <v>237</v>
      </c>
      <c r="AZ8" s="125" t="s">
        <v>238</v>
      </c>
      <c r="BA8" s="125" t="s">
        <v>239</v>
      </c>
      <c r="BB8" s="125" t="s">
        <v>240</v>
      </c>
      <c r="BC8" s="125" t="s">
        <v>241</v>
      </c>
      <c r="BD8" s="125" t="s">
        <v>242</v>
      </c>
      <c r="BE8" s="125" t="s">
        <v>243</v>
      </c>
      <c r="BF8" s="125" t="s">
        <v>244</v>
      </c>
      <c r="BG8" s="125" t="s">
        <v>245</v>
      </c>
      <c r="BH8" s="125" t="s">
        <v>246</v>
      </c>
      <c r="BI8" s="125" t="s">
        <v>247</v>
      </c>
      <c r="BJ8" s="125" t="s">
        <v>248</v>
      </c>
      <c r="BK8" s="125" t="s">
        <v>249</v>
      </c>
      <c r="BL8" s="125" t="s">
        <v>250</v>
      </c>
      <c r="BM8" s="125" t="s">
        <v>251</v>
      </c>
      <c r="BN8" s="125" t="s">
        <v>252</v>
      </c>
      <c r="BO8" s="125" t="s">
        <v>253</v>
      </c>
      <c r="BP8" s="125" t="s">
        <v>254</v>
      </c>
      <c r="BQ8" s="125" t="s">
        <v>255</v>
      </c>
      <c r="BR8" s="125" t="s">
        <v>256</v>
      </c>
      <c r="BS8" s="125" t="s">
        <v>257</v>
      </c>
      <c r="BT8" s="125" t="s">
        <v>258</v>
      </c>
      <c r="BU8" s="125" t="s">
        <v>259</v>
      </c>
      <c r="BV8" s="125" t="s">
        <v>260</v>
      </c>
      <c r="BW8" s="125" t="s">
        <v>261</v>
      </c>
      <c r="BX8" s="125" t="s">
        <v>262</v>
      </c>
      <c r="BY8" s="125" t="s">
        <v>263</v>
      </c>
      <c r="BZ8" s="125" t="s">
        <v>264</v>
      </c>
      <c r="CA8" s="125" t="s">
        <v>265</v>
      </c>
      <c r="CB8" s="125" t="s">
        <v>266</v>
      </c>
      <c r="CC8" s="125" t="s">
        <v>267</v>
      </c>
      <c r="CD8" s="125" t="s">
        <v>268</v>
      </c>
      <c r="CE8" s="125" t="s">
        <v>269</v>
      </c>
      <c r="CF8" s="125" t="s">
        <v>270</v>
      </c>
      <c r="CG8" s="125" t="s">
        <v>271</v>
      </c>
      <c r="CH8" s="125" t="s">
        <v>272</v>
      </c>
      <c r="CI8" s="125" t="s">
        <v>273</v>
      </c>
      <c r="CJ8" s="125" t="s">
        <v>274</v>
      </c>
      <c r="CK8" s="125" t="s">
        <v>275</v>
      </c>
      <c r="CL8" s="125" t="s">
        <v>276</v>
      </c>
      <c r="CM8" s="125" t="s">
        <v>277</v>
      </c>
      <c r="CN8" s="125" t="s">
        <v>278</v>
      </c>
      <c r="CO8" s="125" t="s">
        <v>279</v>
      </c>
      <c r="CP8" s="125" t="s">
        <v>280</v>
      </c>
      <c r="CQ8" s="125" t="s">
        <v>281</v>
      </c>
      <c r="CR8" s="125" t="s">
        <v>282</v>
      </c>
      <c r="CS8" s="125" t="s">
        <v>283</v>
      </c>
      <c r="CT8" s="125" t="s">
        <v>284</v>
      </c>
      <c r="CU8" s="125" t="s">
        <v>285</v>
      </c>
      <c r="CV8" s="125" t="s">
        <v>286</v>
      </c>
      <c r="CW8" s="125" t="s">
        <v>287</v>
      </c>
      <c r="CX8" s="125" t="s">
        <v>288</v>
      </c>
      <c r="CY8" s="125" t="s">
        <v>289</v>
      </c>
      <c r="CZ8" s="125" t="s">
        <v>290</v>
      </c>
      <c r="DA8" s="125" t="s">
        <v>291</v>
      </c>
      <c r="DB8" s="125" t="s">
        <v>292</v>
      </c>
      <c r="DC8" s="125" t="s">
        <v>293</v>
      </c>
      <c r="DD8" s="125" t="s">
        <v>294</v>
      </c>
      <c r="DE8" s="125" t="s">
        <v>295</v>
      </c>
      <c r="DF8" s="125" t="s">
        <v>296</v>
      </c>
      <c r="DG8" s="125" t="s">
        <v>297</v>
      </c>
      <c r="DH8" s="125" t="s">
        <v>298</v>
      </c>
      <c r="DI8" s="125" t="s">
        <v>299</v>
      </c>
      <c r="DJ8" s="125" t="s">
        <v>300</v>
      </c>
      <c r="DK8" s="125" t="s">
        <v>301</v>
      </c>
      <c r="DL8" s="125" t="s">
        <v>302</v>
      </c>
      <c r="DM8" s="125" t="s">
        <v>303</v>
      </c>
      <c r="DN8" s="125" t="s">
        <v>304</v>
      </c>
      <c r="DO8" s="125" t="s">
        <v>305</v>
      </c>
      <c r="DP8" s="125" t="s">
        <v>306</v>
      </c>
      <c r="DQ8" s="125" t="s">
        <v>307</v>
      </c>
      <c r="DR8" s="125" t="s">
        <v>308</v>
      </c>
      <c r="DS8" s="125" t="s">
        <v>309</v>
      </c>
      <c r="DT8" s="125" t="s">
        <v>310</v>
      </c>
      <c r="DU8" s="125" t="s">
        <v>311</v>
      </c>
      <c r="DV8" s="125" t="s">
        <v>312</v>
      </c>
      <c r="DW8" s="125" t="s">
        <v>313</v>
      </c>
      <c r="DX8" s="125" t="s">
        <v>314</v>
      </c>
      <c r="DY8" s="125" t="s">
        <v>315</v>
      </c>
      <c r="DZ8" s="125" t="s">
        <v>316</v>
      </c>
      <c r="EA8" s="125" t="s">
        <v>317</v>
      </c>
      <c r="EB8" s="125" t="s">
        <v>318</v>
      </c>
      <c r="EC8" s="125" t="s">
        <v>319</v>
      </c>
      <c r="ED8" s="125" t="s">
        <v>320</v>
      </c>
      <c r="EE8" s="125" t="s">
        <v>321</v>
      </c>
      <c r="EF8" s="125" t="s">
        <v>322</v>
      </c>
      <c r="EG8" s="125" t="s">
        <v>323</v>
      </c>
      <c r="EH8" s="125" t="s">
        <v>324</v>
      </c>
      <c r="EI8" s="125" t="s">
        <v>325</v>
      </c>
      <c r="EJ8" s="125" t="s">
        <v>326</v>
      </c>
      <c r="EK8" s="125" t="s">
        <v>327</v>
      </c>
      <c r="EL8" s="125" t="s">
        <v>328</v>
      </c>
      <c r="EM8" s="125" t="s">
        <v>329</v>
      </c>
      <c r="EN8" s="125" t="s">
        <v>330</v>
      </c>
      <c r="EO8" s="125" t="s">
        <v>331</v>
      </c>
      <c r="EP8" s="125" t="s">
        <v>332</v>
      </c>
      <c r="EQ8" s="125" t="s">
        <v>333</v>
      </c>
      <c r="ER8" s="125" t="s">
        <v>334</v>
      </c>
      <c r="ES8" s="125" t="s">
        <v>335</v>
      </c>
      <c r="ET8" s="125" t="s">
        <v>336</v>
      </c>
      <c r="EU8" s="125" t="s">
        <v>337</v>
      </c>
      <c r="EV8" s="125" t="s">
        <v>338</v>
      </c>
      <c r="EW8" s="125" t="s">
        <v>339</v>
      </c>
      <c r="EX8" s="125" t="s">
        <v>340</v>
      </c>
      <c r="EY8" s="125" t="s">
        <v>341</v>
      </c>
      <c r="EZ8" s="125" t="s">
        <v>342</v>
      </c>
      <c r="FA8" s="125" t="s">
        <v>343</v>
      </c>
      <c r="FB8" s="125" t="s">
        <v>344</v>
      </c>
      <c r="FC8" s="125" t="s">
        <v>345</v>
      </c>
      <c r="FD8" s="125" t="s">
        <v>346</v>
      </c>
      <c r="FE8" s="125" t="s">
        <v>347</v>
      </c>
      <c r="FF8" s="125" t="s">
        <v>348</v>
      </c>
      <c r="FG8" s="125" t="s">
        <v>349</v>
      </c>
      <c r="FH8" s="125" t="s">
        <v>350</v>
      </c>
      <c r="FI8" s="125" t="s">
        <v>351</v>
      </c>
      <c r="FJ8" s="125" t="s">
        <v>352</v>
      </c>
      <c r="FK8" s="125" t="s">
        <v>353</v>
      </c>
      <c r="FL8" s="125" t="s">
        <v>354</v>
      </c>
      <c r="FM8" s="125" t="s">
        <v>355</v>
      </c>
      <c r="FN8" s="125" t="s">
        <v>356</v>
      </c>
      <c r="FO8" s="125" t="s">
        <v>357</v>
      </c>
      <c r="FP8" s="125" t="s">
        <v>358</v>
      </c>
      <c r="FQ8" s="125" t="s">
        <v>359</v>
      </c>
      <c r="FR8" s="125" t="s">
        <v>360</v>
      </c>
      <c r="FS8" s="125" t="s">
        <v>361</v>
      </c>
      <c r="FT8" s="125" t="s">
        <v>362</v>
      </c>
      <c r="FU8" s="125" t="s">
        <v>363</v>
      </c>
      <c r="FV8" s="125" t="s">
        <v>364</v>
      </c>
      <c r="FW8" s="125" t="s">
        <v>365</v>
      </c>
      <c r="FX8" s="125" t="s">
        <v>366</v>
      </c>
      <c r="FY8" s="125" t="s">
        <v>367</v>
      </c>
      <c r="FZ8" s="125" t="s">
        <v>368</v>
      </c>
      <c r="GA8" s="125" t="s">
        <v>369</v>
      </c>
      <c r="GB8" s="125" t="s">
        <v>370</v>
      </c>
      <c r="GC8" s="125" t="s">
        <v>371</v>
      </c>
      <c r="GD8" s="125" t="s">
        <v>372</v>
      </c>
      <c r="GE8" s="125" t="s">
        <v>373</v>
      </c>
      <c r="GF8" s="125" t="s">
        <v>374</v>
      </c>
      <c r="GG8" s="125" t="s">
        <v>375</v>
      </c>
      <c r="GH8" s="125" t="s">
        <v>376</v>
      </c>
      <c r="GI8" s="125" t="s">
        <v>377</v>
      </c>
      <c r="GJ8" s="125" t="s">
        <v>378</v>
      </c>
      <c r="GK8" s="125" t="s">
        <v>379</v>
      </c>
      <c r="GL8" s="125" t="s">
        <v>380</v>
      </c>
      <c r="GM8" s="125" t="s">
        <v>381</v>
      </c>
      <c r="GN8" s="125" t="s">
        <v>382</v>
      </c>
      <c r="GO8" s="125" t="s">
        <v>383</v>
      </c>
      <c r="GP8" s="125" t="s">
        <v>384</v>
      </c>
      <c r="GQ8" s="125" t="s">
        <v>385</v>
      </c>
      <c r="GR8" s="125" t="s">
        <v>386</v>
      </c>
      <c r="GS8" s="125" t="s">
        <v>387</v>
      </c>
      <c r="GT8" s="125" t="s">
        <v>388</v>
      </c>
      <c r="GU8" s="125" t="s">
        <v>389</v>
      </c>
      <c r="GV8" s="125" t="s">
        <v>390</v>
      </c>
      <c r="GW8" s="125" t="s">
        <v>391</v>
      </c>
      <c r="GX8" s="125" t="s">
        <v>392</v>
      </c>
      <c r="GY8" s="125" t="s">
        <v>393</v>
      </c>
      <c r="GZ8" s="125" t="s">
        <v>394</v>
      </c>
      <c r="HA8" s="125" t="s">
        <v>395</v>
      </c>
      <c r="HB8" s="125" t="s">
        <v>396</v>
      </c>
      <c r="HC8" s="125" t="s">
        <v>397</v>
      </c>
      <c r="HD8" s="125" t="s">
        <v>398</v>
      </c>
      <c r="HE8" s="125" t="s">
        <v>399</v>
      </c>
      <c r="HF8" s="125" t="s">
        <v>400</v>
      </c>
      <c r="HG8" s="125" t="s">
        <v>401</v>
      </c>
      <c r="HH8" s="125" t="s">
        <v>402</v>
      </c>
      <c r="HI8" s="125" t="s">
        <v>403</v>
      </c>
      <c r="HJ8" s="125" t="s">
        <v>404</v>
      </c>
      <c r="HK8" s="125" t="s">
        <v>405</v>
      </c>
      <c r="HL8" s="125" t="s">
        <v>406</v>
      </c>
      <c r="HM8" s="125" t="s">
        <v>407</v>
      </c>
      <c r="HN8" s="125" t="s">
        <v>408</v>
      </c>
      <c r="HO8" s="125" t="s">
        <v>409</v>
      </c>
      <c r="HP8" s="125" t="s">
        <v>410</v>
      </c>
      <c r="HQ8" s="125" t="s">
        <v>411</v>
      </c>
      <c r="HR8" s="125" t="s">
        <v>412</v>
      </c>
      <c r="HS8" s="125" t="s">
        <v>413</v>
      </c>
      <c r="HT8" s="125" t="s">
        <v>414</v>
      </c>
      <c r="HU8" s="125" t="s">
        <v>415</v>
      </c>
      <c r="HV8" s="125" t="s">
        <v>416</v>
      </c>
      <c r="HW8" s="125" t="s">
        <v>417</v>
      </c>
      <c r="HX8" s="125" t="s">
        <v>418</v>
      </c>
      <c r="HY8" s="125" t="s">
        <v>419</v>
      </c>
      <c r="HZ8" s="125" t="s">
        <v>420</v>
      </c>
      <c r="IA8" s="125" t="s">
        <v>421</v>
      </c>
      <c r="IB8" s="125" t="s">
        <v>422</v>
      </c>
      <c r="IC8" s="125" t="s">
        <v>423</v>
      </c>
      <c r="ID8" s="125" t="s">
        <v>424</v>
      </c>
      <c r="IE8" s="125" t="s">
        <v>425</v>
      </c>
      <c r="IF8" s="125" t="s">
        <v>426</v>
      </c>
      <c r="IG8" s="125" t="s">
        <v>427</v>
      </c>
      <c r="IH8" s="125" t="s">
        <v>428</v>
      </c>
      <c r="II8" s="125" t="s">
        <v>429</v>
      </c>
      <c r="IJ8" s="125" t="s">
        <v>430</v>
      </c>
      <c r="IK8" s="125" t="s">
        <v>431</v>
      </c>
      <c r="IL8" s="125" t="s">
        <v>432</v>
      </c>
      <c r="IM8" s="125" t="s">
        <v>433</v>
      </c>
      <c r="IN8" s="125" t="s">
        <v>434</v>
      </c>
      <c r="IO8" s="125" t="s">
        <v>435</v>
      </c>
      <c r="IP8" s="125" t="s">
        <v>436</v>
      </c>
      <c r="IQ8" s="125" t="s">
        <v>437</v>
      </c>
      <c r="IR8" s="125" t="s">
        <v>438</v>
      </c>
      <c r="IS8" s="125" t="s">
        <v>439</v>
      </c>
      <c r="IT8" s="125" t="s">
        <v>440</v>
      </c>
      <c r="IU8" s="125" t="s">
        <v>441</v>
      </c>
      <c r="IV8" s="125" t="s">
        <v>442</v>
      </c>
      <c r="IW8" s="125" t="s">
        <v>443</v>
      </c>
      <c r="IX8" s="125" t="s">
        <v>444</v>
      </c>
      <c r="IY8" s="125" t="s">
        <v>445</v>
      </c>
      <c r="IZ8" s="125" t="s">
        <v>446</v>
      </c>
      <c r="JA8" s="125" t="s">
        <v>447</v>
      </c>
      <c r="JB8" s="125" t="s">
        <v>448</v>
      </c>
      <c r="JC8" s="125" t="s">
        <v>449</v>
      </c>
      <c r="JD8" s="125" t="s">
        <v>450</v>
      </c>
      <c r="JE8" s="125" t="s">
        <v>451</v>
      </c>
      <c r="JF8" s="125" t="s">
        <v>452</v>
      </c>
      <c r="JG8" s="125" t="s">
        <v>453</v>
      </c>
      <c r="JH8" s="125" t="s">
        <v>454</v>
      </c>
      <c r="JI8" s="125" t="s">
        <v>455</v>
      </c>
      <c r="JJ8" s="125" t="s">
        <v>456</v>
      </c>
      <c r="JK8" s="125" t="s">
        <v>457</v>
      </c>
      <c r="JL8" s="125" t="s">
        <v>458</v>
      </c>
      <c r="JM8" s="125" t="s">
        <v>459</v>
      </c>
      <c r="JN8" s="125" t="s">
        <v>460</v>
      </c>
      <c r="JO8" s="125" t="s">
        <v>461</v>
      </c>
      <c r="JP8" s="125" t="s">
        <v>462</v>
      </c>
      <c r="JQ8" s="125" t="s">
        <v>463</v>
      </c>
      <c r="JR8" s="125" t="s">
        <v>464</v>
      </c>
      <c r="JS8" s="125" t="s">
        <v>465</v>
      </c>
      <c r="JT8" s="125" t="s">
        <v>466</v>
      </c>
      <c r="JU8" s="125" t="s">
        <v>467</v>
      </c>
      <c r="JV8" s="125" t="s">
        <v>468</v>
      </c>
      <c r="JW8" s="125" t="s">
        <v>469</v>
      </c>
      <c r="JX8" s="125" t="s">
        <v>470</v>
      </c>
      <c r="JY8" s="125" t="s">
        <v>471</v>
      </c>
      <c r="JZ8" s="125" t="s">
        <v>472</v>
      </c>
      <c r="KA8" s="125" t="s">
        <v>473</v>
      </c>
      <c r="KB8" s="125" t="s">
        <v>474</v>
      </c>
      <c r="KC8" s="125" t="s">
        <v>475</v>
      </c>
      <c r="KD8" s="125" t="s">
        <v>476</v>
      </c>
      <c r="KE8" s="125" t="s">
        <v>477</v>
      </c>
      <c r="KF8" s="125" t="s">
        <v>478</v>
      </c>
      <c r="KG8" s="125" t="s">
        <v>479</v>
      </c>
      <c r="KH8" s="125" t="s">
        <v>480</v>
      </c>
      <c r="KI8" s="125" t="s">
        <v>481</v>
      </c>
      <c r="KJ8" s="125" t="s">
        <v>482</v>
      </c>
      <c r="KK8" s="125" t="s">
        <v>483</v>
      </c>
      <c r="KL8" s="125" t="s">
        <v>484</v>
      </c>
      <c r="KM8" s="125" t="s">
        <v>485</v>
      </c>
      <c r="KN8" s="125" t="s">
        <v>486</v>
      </c>
      <c r="KO8" s="125" t="s">
        <v>487</v>
      </c>
      <c r="KP8" s="125" t="s">
        <v>488</v>
      </c>
      <c r="KQ8" s="125" t="s">
        <v>489</v>
      </c>
      <c r="KR8" s="125" t="s">
        <v>490</v>
      </c>
      <c r="KS8" s="125" t="s">
        <v>491</v>
      </c>
      <c r="KT8" s="125" t="s">
        <v>492</v>
      </c>
      <c r="KU8" s="125" t="s">
        <v>493</v>
      </c>
      <c r="KV8" s="125" t="s">
        <v>494</v>
      </c>
      <c r="KW8" s="125" t="s">
        <v>495</v>
      </c>
      <c r="KX8" s="125" t="s">
        <v>496</v>
      </c>
      <c r="KY8" s="125" t="s">
        <v>497</v>
      </c>
      <c r="KZ8" s="125" t="s">
        <v>498</v>
      </c>
      <c r="LA8" s="125" t="s">
        <v>499</v>
      </c>
      <c r="LB8" s="125" t="s">
        <v>500</v>
      </c>
      <c r="LC8" s="125" t="s">
        <v>501</v>
      </c>
      <c r="LD8" s="125" t="s">
        <v>502</v>
      </c>
      <c r="LE8" s="125" t="s">
        <v>503</v>
      </c>
      <c r="LF8" s="125" t="s">
        <v>504</v>
      </c>
      <c r="LG8" s="125" t="s">
        <v>505</v>
      </c>
      <c r="LH8" s="125" t="s">
        <v>506</v>
      </c>
      <c r="LI8" s="125" t="s">
        <v>507</v>
      </c>
      <c r="LJ8" s="125" t="s">
        <v>508</v>
      </c>
      <c r="LK8" s="125" t="s">
        <v>509</v>
      </c>
      <c r="LL8" s="125" t="s">
        <v>510</v>
      </c>
      <c r="LM8" s="125" t="s">
        <v>511</v>
      </c>
      <c r="LN8" s="125" t="s">
        <v>512</v>
      </c>
      <c r="LO8" s="125" t="s">
        <v>513</v>
      </c>
      <c r="LP8" s="125" t="s">
        <v>514</v>
      </c>
      <c r="LQ8" s="125" t="s">
        <v>515</v>
      </c>
      <c r="LR8" s="125" t="s">
        <v>516</v>
      </c>
      <c r="LS8" s="125" t="s">
        <v>517</v>
      </c>
      <c r="LT8" s="125" t="s">
        <v>518</v>
      </c>
      <c r="LU8" s="125" t="s">
        <v>519</v>
      </c>
      <c r="LV8" s="125" t="s">
        <v>520</v>
      </c>
      <c r="LW8" s="125" t="s">
        <v>521</v>
      </c>
      <c r="LX8" s="125" t="s">
        <v>522</v>
      </c>
      <c r="LY8" s="125" t="s">
        <v>523</v>
      </c>
      <c r="LZ8" s="125" t="s">
        <v>524</v>
      </c>
      <c r="MA8" s="125" t="s">
        <v>525</v>
      </c>
      <c r="MB8" s="125" t="s">
        <v>526</v>
      </c>
      <c r="MC8" s="125" t="s">
        <v>527</v>
      </c>
      <c r="MD8" s="125" t="s">
        <v>528</v>
      </c>
      <c r="ME8" s="125" t="s">
        <v>529</v>
      </c>
      <c r="MF8" s="125" t="s">
        <v>530</v>
      </c>
      <c r="MG8" s="125" t="s">
        <v>531</v>
      </c>
      <c r="MH8" s="125" t="s">
        <v>532</v>
      </c>
      <c r="MI8" s="125" t="s">
        <v>533</v>
      </c>
      <c r="MJ8" s="125" t="s">
        <v>534</v>
      </c>
      <c r="MK8" s="125" t="s">
        <v>535</v>
      </c>
      <c r="ML8" s="125" t="s">
        <v>536</v>
      </c>
      <c r="MM8" s="125" t="s">
        <v>537</v>
      </c>
      <c r="MN8" s="125" t="s">
        <v>538</v>
      </c>
      <c r="MO8" s="125" t="s">
        <v>539</v>
      </c>
      <c r="MP8" s="125" t="s">
        <v>540</v>
      </c>
      <c r="MQ8" s="125" t="s">
        <v>541</v>
      </c>
      <c r="MR8" s="125" t="s">
        <v>542</v>
      </c>
      <c r="MS8" s="125" t="s">
        <v>543</v>
      </c>
      <c r="MT8" s="125" t="s">
        <v>544</v>
      </c>
      <c r="MU8" s="125" t="s">
        <v>545</v>
      </c>
      <c r="MV8" s="125" t="s">
        <v>546</v>
      </c>
      <c r="MW8" s="125" t="s">
        <v>547</v>
      </c>
      <c r="MX8" s="125" t="s">
        <v>548</v>
      </c>
      <c r="MY8" s="125" t="s">
        <v>549</v>
      </c>
      <c r="MZ8" s="125" t="s">
        <v>550</v>
      </c>
      <c r="NA8" s="125" t="s">
        <v>551</v>
      </c>
      <c r="NB8" s="125" t="s">
        <v>552</v>
      </c>
      <c r="NC8" s="125" t="s">
        <v>553</v>
      </c>
      <c r="ND8" s="125" t="s">
        <v>554</v>
      </c>
      <c r="NE8" s="125" t="s">
        <v>555</v>
      </c>
      <c r="NF8" s="125" t="s">
        <v>556</v>
      </c>
      <c r="NG8" s="125" t="s">
        <v>557</v>
      </c>
      <c r="NH8" s="125" t="s">
        <v>558</v>
      </c>
      <c r="NI8" s="125" t="s">
        <v>559</v>
      </c>
      <c r="NJ8" s="125" t="s">
        <v>560</v>
      </c>
      <c r="NK8" s="125" t="s">
        <v>561</v>
      </c>
      <c r="NL8" s="125" t="s">
        <v>562</v>
      </c>
      <c r="NM8" s="125" t="s">
        <v>563</v>
      </c>
      <c r="NN8" s="125" t="s">
        <v>564</v>
      </c>
      <c r="NO8" s="125" t="s">
        <v>565</v>
      </c>
      <c r="NP8" s="125" t="s">
        <v>566</v>
      </c>
      <c r="NQ8" s="125" t="s">
        <v>567</v>
      </c>
      <c r="NR8" s="125" t="s">
        <v>568</v>
      </c>
      <c r="NS8" s="125" t="s">
        <v>569</v>
      </c>
      <c r="NT8" s="125" t="s">
        <v>570</v>
      </c>
      <c r="NU8" s="125" t="s">
        <v>571</v>
      </c>
      <c r="NV8" s="125" t="s">
        <v>572</v>
      </c>
      <c r="NW8" s="125" t="s">
        <v>573</v>
      </c>
      <c r="NX8" s="125" t="s">
        <v>574</v>
      </c>
      <c r="NY8" s="125" t="s">
        <v>575</v>
      </c>
      <c r="NZ8" s="125" t="s">
        <v>576</v>
      </c>
      <c r="OA8" s="125" t="s">
        <v>577</v>
      </c>
      <c r="OB8" s="125" t="s">
        <v>578</v>
      </c>
      <c r="OC8" s="125" t="s">
        <v>579</v>
      </c>
      <c r="OD8" s="125" t="s">
        <v>580</v>
      </c>
      <c r="OE8" s="125" t="s">
        <v>581</v>
      </c>
      <c r="OF8" s="125" t="s">
        <v>582</v>
      </c>
      <c r="OG8" s="125" t="s">
        <v>583</v>
      </c>
      <c r="OH8" s="125" t="s">
        <v>584</v>
      </c>
      <c r="OI8" s="125" t="s">
        <v>585</v>
      </c>
      <c r="OJ8" s="125" t="s">
        <v>586</v>
      </c>
      <c r="OK8" s="125" t="s">
        <v>587</v>
      </c>
      <c r="OL8" s="125" t="s">
        <v>588</v>
      </c>
      <c r="OM8" s="125" t="s">
        <v>589</v>
      </c>
      <c r="ON8" s="125" t="s">
        <v>590</v>
      </c>
      <c r="OO8" s="125" t="s">
        <v>591</v>
      </c>
      <c r="OP8" s="125" t="s">
        <v>592</v>
      </c>
      <c r="OQ8" s="125" t="s">
        <v>593</v>
      </c>
      <c r="OR8" s="125" t="s">
        <v>594</v>
      </c>
      <c r="OS8" s="125" t="s">
        <v>595</v>
      </c>
      <c r="OT8" s="125" t="s">
        <v>596</v>
      </c>
      <c r="OU8" s="125" t="s">
        <v>597</v>
      </c>
      <c r="OV8" s="125" t="s">
        <v>598</v>
      </c>
      <c r="OW8" s="125" t="s">
        <v>599</v>
      </c>
      <c r="OX8" s="125" t="s">
        <v>600</v>
      </c>
      <c r="OY8" s="125" t="s">
        <v>601</v>
      </c>
      <c r="OZ8" s="125" t="s">
        <v>602</v>
      </c>
      <c r="PA8" s="125" t="s">
        <v>603</v>
      </c>
      <c r="PB8" s="125" t="s">
        <v>604</v>
      </c>
      <c r="PC8" s="125" t="s">
        <v>605</v>
      </c>
      <c r="PD8" s="125" t="s">
        <v>606</v>
      </c>
      <c r="PE8" s="125" t="s">
        <v>607</v>
      </c>
      <c r="PF8" s="125" t="s">
        <v>608</v>
      </c>
      <c r="PG8" s="125" t="s">
        <v>609</v>
      </c>
      <c r="PH8" s="125" t="s">
        <v>610</v>
      </c>
      <c r="PI8" s="125" t="s">
        <v>611</v>
      </c>
      <c r="PJ8" s="125" t="s">
        <v>612</v>
      </c>
      <c r="PK8" s="125" t="s">
        <v>613</v>
      </c>
      <c r="PL8" s="125" t="s">
        <v>614</v>
      </c>
      <c r="PM8" s="125" t="s">
        <v>615</v>
      </c>
      <c r="PN8" s="125" t="s">
        <v>616</v>
      </c>
      <c r="PO8" s="125" t="s">
        <v>617</v>
      </c>
      <c r="PP8" s="125" t="s">
        <v>618</v>
      </c>
      <c r="PQ8" s="125" t="s">
        <v>619</v>
      </c>
      <c r="PR8" s="125" t="s">
        <v>620</v>
      </c>
      <c r="PS8" s="125" t="s">
        <v>621</v>
      </c>
      <c r="PT8" s="125" t="s">
        <v>622</v>
      </c>
      <c r="PU8" s="125" t="s">
        <v>623</v>
      </c>
      <c r="PV8" s="125" t="s">
        <v>624</v>
      </c>
      <c r="PW8" s="125" t="s">
        <v>625</v>
      </c>
      <c r="PX8" s="125" t="s">
        <v>626</v>
      </c>
      <c r="PY8" s="125" t="s">
        <v>627</v>
      </c>
      <c r="PZ8" s="125" t="s">
        <v>628</v>
      </c>
      <c r="QA8" s="125" t="s">
        <v>629</v>
      </c>
      <c r="QB8" s="125" t="s">
        <v>630</v>
      </c>
      <c r="QC8" s="125" t="s">
        <v>631</v>
      </c>
      <c r="QD8" s="125" t="s">
        <v>632</v>
      </c>
      <c r="QE8" s="125" t="s">
        <v>633</v>
      </c>
      <c r="QF8" s="125" t="s">
        <v>634</v>
      </c>
      <c r="QG8" s="125" t="s">
        <v>635</v>
      </c>
      <c r="QH8" s="125" t="s">
        <v>636</v>
      </c>
      <c r="QI8" s="125" t="s">
        <v>637</v>
      </c>
      <c r="QJ8" s="125" t="s">
        <v>638</v>
      </c>
      <c r="QK8" s="125" t="s">
        <v>639</v>
      </c>
      <c r="QL8" s="125" t="s">
        <v>640</v>
      </c>
      <c r="QM8" s="125" t="s">
        <v>641</v>
      </c>
      <c r="QN8" s="125" t="s">
        <v>642</v>
      </c>
      <c r="QO8" s="125" t="s">
        <v>643</v>
      </c>
      <c r="QP8" s="125" t="s">
        <v>644</v>
      </c>
      <c r="QQ8" s="125" t="s">
        <v>645</v>
      </c>
      <c r="QR8" s="125" t="s">
        <v>646</v>
      </c>
      <c r="QS8" s="125" t="s">
        <v>647</v>
      </c>
      <c r="QT8" s="125" t="s">
        <v>648</v>
      </c>
      <c r="QU8" s="125" t="s">
        <v>649</v>
      </c>
      <c r="QV8" s="125" t="s">
        <v>650</v>
      </c>
      <c r="QW8" s="125" t="s">
        <v>651</v>
      </c>
      <c r="QX8" s="125" t="s">
        <v>652</v>
      </c>
      <c r="QY8" s="125" t="s">
        <v>653</v>
      </c>
      <c r="QZ8" s="125" t="s">
        <v>654</v>
      </c>
      <c r="RA8" s="125" t="s">
        <v>655</v>
      </c>
      <c r="RB8" s="125" t="s">
        <v>656</v>
      </c>
      <c r="RC8" s="125" t="s">
        <v>657</v>
      </c>
      <c r="RD8" s="125" t="s">
        <v>658</v>
      </c>
      <c r="RE8" s="125" t="s">
        <v>659</v>
      </c>
      <c r="RF8" s="125" t="s">
        <v>660</v>
      </c>
      <c r="RG8" s="125" t="s">
        <v>661</v>
      </c>
      <c r="RH8" s="125" t="s">
        <v>662</v>
      </c>
      <c r="RI8" s="125" t="s">
        <v>663</v>
      </c>
      <c r="RJ8" s="125" t="s">
        <v>664</v>
      </c>
      <c r="RK8" s="125" t="s">
        <v>665</v>
      </c>
      <c r="RL8" s="125" t="s">
        <v>666</v>
      </c>
      <c r="RM8" s="125" t="s">
        <v>667</v>
      </c>
      <c r="RN8" s="125" t="s">
        <v>668</v>
      </c>
      <c r="RO8" s="125" t="s">
        <v>669</v>
      </c>
      <c r="RP8" s="125" t="s">
        <v>670</v>
      </c>
      <c r="RQ8" s="125" t="s">
        <v>671</v>
      </c>
      <c r="RR8" s="125" t="s">
        <v>672</v>
      </c>
      <c r="RS8" s="125" t="s">
        <v>673</v>
      </c>
      <c r="RT8" s="125" t="s">
        <v>674</v>
      </c>
      <c r="RU8" s="125" t="s">
        <v>675</v>
      </c>
      <c r="RV8" s="125" t="s">
        <v>676</v>
      </c>
      <c r="RW8" s="125" t="s">
        <v>677</v>
      </c>
      <c r="RX8" s="125" t="s">
        <v>678</v>
      </c>
      <c r="RY8" s="125" t="s">
        <v>679</v>
      </c>
      <c r="RZ8" s="125" t="s">
        <v>680</v>
      </c>
      <c r="SA8" s="125" t="s">
        <v>681</v>
      </c>
      <c r="SB8" s="125" t="s">
        <v>682</v>
      </c>
      <c r="SC8" s="125" t="s">
        <v>683</v>
      </c>
      <c r="SD8" s="125" t="s">
        <v>684</v>
      </c>
      <c r="SE8" s="125" t="s">
        <v>685</v>
      </c>
      <c r="SF8" s="125" t="s">
        <v>686</v>
      </c>
      <c r="SG8" s="125" t="s">
        <v>687</v>
      </c>
      <c r="SH8" s="125" t="s">
        <v>688</v>
      </c>
      <c r="SI8" s="125" t="s">
        <v>689</v>
      </c>
      <c r="SJ8" s="125" t="s">
        <v>690</v>
      </c>
      <c r="SK8" s="125" t="s">
        <v>691</v>
      </c>
      <c r="SL8" s="125" t="s">
        <v>692</v>
      </c>
      <c r="SM8" s="125" t="s">
        <v>693</v>
      </c>
      <c r="SN8" s="125" t="s">
        <v>694</v>
      </c>
      <c r="SO8" s="125" t="s">
        <v>695</v>
      </c>
      <c r="SP8" s="125" t="s">
        <v>696</v>
      </c>
      <c r="SQ8" s="125" t="s">
        <v>697</v>
      </c>
      <c r="SR8" s="125" t="s">
        <v>698</v>
      </c>
      <c r="SS8" s="125" t="s">
        <v>699</v>
      </c>
      <c r="ST8" s="125" t="s">
        <v>700</v>
      </c>
      <c r="SU8" s="125" t="s">
        <v>701</v>
      </c>
      <c r="SV8" s="125" t="s">
        <v>702</v>
      </c>
      <c r="SW8" s="125" t="s">
        <v>703</v>
      </c>
      <c r="SX8" s="125" t="s">
        <v>704</v>
      </c>
      <c r="SY8" s="125" t="s">
        <v>705</v>
      </c>
      <c r="SZ8" s="125" t="s">
        <v>706</v>
      </c>
      <c r="TA8" s="125" t="s">
        <v>707</v>
      </c>
      <c r="TB8" s="125" t="s">
        <v>708</v>
      </c>
      <c r="TC8" s="125" t="s">
        <v>709</v>
      </c>
      <c r="TD8" s="125" t="s">
        <v>710</v>
      </c>
      <c r="TE8" s="125" t="s">
        <v>711</v>
      </c>
      <c r="TF8" s="125" t="s">
        <v>712</v>
      </c>
      <c r="TG8" s="125" t="s">
        <v>713</v>
      </c>
      <c r="TH8" s="125" t="s">
        <v>714</v>
      </c>
      <c r="TI8" s="125" t="s">
        <v>715</v>
      </c>
      <c r="TJ8" s="125" t="s">
        <v>716</v>
      </c>
      <c r="TK8" s="125" t="s">
        <v>717</v>
      </c>
      <c r="TL8" s="125" t="s">
        <v>718</v>
      </c>
      <c r="TM8" s="125" t="s">
        <v>719</v>
      </c>
      <c r="TN8" s="125" t="s">
        <v>720</v>
      </c>
      <c r="TO8" s="125" t="s">
        <v>721</v>
      </c>
      <c r="TP8" s="125" t="s">
        <v>722</v>
      </c>
      <c r="TQ8" s="125" t="s">
        <v>723</v>
      </c>
      <c r="TR8" s="125" t="s">
        <v>724</v>
      </c>
      <c r="TS8" s="125" t="s">
        <v>725</v>
      </c>
      <c r="TT8" s="125" t="s">
        <v>726</v>
      </c>
      <c r="TU8" s="125" t="s">
        <v>727</v>
      </c>
      <c r="TV8" s="125" t="s">
        <v>728</v>
      </c>
      <c r="TW8" s="125" t="s">
        <v>729</v>
      </c>
      <c r="TX8" s="125" t="s">
        <v>730</v>
      </c>
      <c r="TY8" s="125" t="s">
        <v>731</v>
      </c>
      <c r="TZ8" s="125" t="s">
        <v>732</v>
      </c>
      <c r="UA8" s="125" t="s">
        <v>733</v>
      </c>
      <c r="UB8" s="125" t="s">
        <v>734</v>
      </c>
      <c r="UC8" s="125" t="s">
        <v>735</v>
      </c>
      <c r="UD8" s="125" t="s">
        <v>736</v>
      </c>
      <c r="UE8" s="125" t="s">
        <v>737</v>
      </c>
      <c r="UF8" s="125" t="s">
        <v>738</v>
      </c>
      <c r="UG8" s="125" t="s">
        <v>739</v>
      </c>
      <c r="UH8" s="125" t="s">
        <v>740</v>
      </c>
      <c r="UI8" s="125" t="s">
        <v>741</v>
      </c>
      <c r="UJ8" s="125" t="s">
        <v>742</v>
      </c>
      <c r="UK8" s="125" t="s">
        <v>743</v>
      </c>
      <c r="UL8" s="125" t="s">
        <v>744</v>
      </c>
      <c r="UM8" s="125" t="s">
        <v>745</v>
      </c>
      <c r="UN8" s="125" t="s">
        <v>746</v>
      </c>
      <c r="UO8" s="125" t="s">
        <v>747</v>
      </c>
      <c r="UP8" s="125" t="s">
        <v>748</v>
      </c>
      <c r="UQ8" s="125" t="s">
        <v>749</v>
      </c>
      <c r="UR8" s="125" t="s">
        <v>750</v>
      </c>
      <c r="US8" s="125" t="s">
        <v>751</v>
      </c>
      <c r="UT8" s="125" t="s">
        <v>752</v>
      </c>
      <c r="UU8" s="125" t="s">
        <v>753</v>
      </c>
      <c r="UV8" s="125" t="s">
        <v>754</v>
      </c>
      <c r="UW8" s="125" t="s">
        <v>755</v>
      </c>
      <c r="UX8" s="125" t="s">
        <v>756</v>
      </c>
      <c r="UY8" s="125" t="s">
        <v>757</v>
      </c>
      <c r="UZ8" s="125" t="s">
        <v>758</v>
      </c>
      <c r="VA8" s="125" t="s">
        <v>759</v>
      </c>
      <c r="VB8" s="125" t="s">
        <v>760</v>
      </c>
      <c r="VC8" s="125" t="s">
        <v>761</v>
      </c>
      <c r="VD8" s="125" t="s">
        <v>762</v>
      </c>
      <c r="VE8" s="125" t="s">
        <v>763</v>
      </c>
      <c r="VF8" s="125" t="s">
        <v>764</v>
      </c>
      <c r="VG8" s="125" t="s">
        <v>765</v>
      </c>
      <c r="VH8" s="125" t="s">
        <v>766</v>
      </c>
      <c r="VI8" s="125" t="s">
        <v>767</v>
      </c>
      <c r="VJ8" s="125" t="s">
        <v>768</v>
      </c>
      <c r="VK8" s="125" t="s">
        <v>769</v>
      </c>
      <c r="VL8" s="125" t="s">
        <v>770</v>
      </c>
      <c r="VM8" s="125" t="s">
        <v>771</v>
      </c>
      <c r="VN8" s="125" t="s">
        <v>772</v>
      </c>
      <c r="VO8" s="125" t="s">
        <v>773</v>
      </c>
      <c r="VP8" s="125" t="s">
        <v>774</v>
      </c>
      <c r="VQ8" s="125" t="s">
        <v>775</v>
      </c>
      <c r="VR8" s="125" t="s">
        <v>776</v>
      </c>
      <c r="VS8" s="125" t="s">
        <v>777</v>
      </c>
      <c r="VT8" s="125" t="s">
        <v>778</v>
      </c>
      <c r="VU8" s="125" t="s">
        <v>779</v>
      </c>
      <c r="VV8" s="125" t="s">
        <v>780</v>
      </c>
      <c r="VW8" s="125" t="s">
        <v>781</v>
      </c>
      <c r="VX8" s="125" t="s">
        <v>782</v>
      </c>
      <c r="VY8" s="125" t="s">
        <v>783</v>
      </c>
      <c r="VZ8" s="125" t="s">
        <v>784</v>
      </c>
      <c r="WA8" s="125" t="s">
        <v>785</v>
      </c>
      <c r="WB8" s="125" t="s">
        <v>786</v>
      </c>
      <c r="WC8" s="125" t="s">
        <v>787</v>
      </c>
      <c r="WD8" s="125" t="s">
        <v>788</v>
      </c>
      <c r="WE8" s="125" t="s">
        <v>789</v>
      </c>
      <c r="WF8" s="125" t="s">
        <v>790</v>
      </c>
      <c r="WG8" s="125" t="s">
        <v>791</v>
      </c>
      <c r="WH8" s="125" t="s">
        <v>792</v>
      </c>
      <c r="WI8" s="125" t="s">
        <v>793</v>
      </c>
      <c r="WJ8" s="125" t="s">
        <v>794</v>
      </c>
      <c r="WK8" s="125" t="s">
        <v>795</v>
      </c>
      <c r="WL8" s="125" t="s">
        <v>796</v>
      </c>
      <c r="WM8" s="125" t="s">
        <v>797</v>
      </c>
      <c r="WN8" s="125" t="s">
        <v>798</v>
      </c>
      <c r="WO8" s="125" t="s">
        <v>799</v>
      </c>
      <c r="WP8" s="125" t="s">
        <v>800</v>
      </c>
      <c r="WQ8" s="125" t="s">
        <v>801</v>
      </c>
      <c r="WR8" s="125" t="s">
        <v>802</v>
      </c>
      <c r="WS8" s="125" t="s">
        <v>803</v>
      </c>
      <c r="WT8" s="125" t="s">
        <v>804</v>
      </c>
      <c r="WU8" s="125" t="s">
        <v>805</v>
      </c>
      <c r="WV8" s="125" t="s">
        <v>806</v>
      </c>
      <c r="WW8" s="125" t="s">
        <v>807</v>
      </c>
      <c r="WX8" s="125" t="s">
        <v>808</v>
      </c>
      <c r="WY8" s="125" t="s">
        <v>809</v>
      </c>
      <c r="WZ8" s="125" t="s">
        <v>810</v>
      </c>
      <c r="XA8" s="125" t="s">
        <v>811</v>
      </c>
      <c r="XB8" s="125" t="s">
        <v>812</v>
      </c>
      <c r="XC8" s="125" t="s">
        <v>813</v>
      </c>
      <c r="XD8" s="125" t="s">
        <v>814</v>
      </c>
      <c r="XE8" s="125" t="s">
        <v>815</v>
      </c>
      <c r="XF8" s="125" t="s">
        <v>816</v>
      </c>
      <c r="XG8" s="125" t="s">
        <v>817</v>
      </c>
      <c r="XH8" s="125" t="s">
        <v>818</v>
      </c>
      <c r="XI8" s="125" t="s">
        <v>819</v>
      </c>
      <c r="XJ8" s="125" t="s">
        <v>820</v>
      </c>
      <c r="XK8" s="125" t="s">
        <v>821</v>
      </c>
      <c r="XL8" s="125" t="s">
        <v>822</v>
      </c>
      <c r="XM8" s="125" t="s">
        <v>823</v>
      </c>
      <c r="XN8" s="125" t="s">
        <v>824</v>
      </c>
      <c r="XO8" s="125" t="s">
        <v>825</v>
      </c>
      <c r="XP8" s="125" t="s">
        <v>826</v>
      </c>
      <c r="XQ8" s="125" t="s">
        <v>827</v>
      </c>
      <c r="XR8" s="125" t="s">
        <v>828</v>
      </c>
      <c r="XS8" s="125" t="s">
        <v>829</v>
      </c>
      <c r="XT8" s="125" t="s">
        <v>830</v>
      </c>
      <c r="XU8" s="125" t="s">
        <v>831</v>
      </c>
      <c r="XV8" s="125" t="s">
        <v>832</v>
      </c>
      <c r="XW8" s="125" t="s">
        <v>833</v>
      </c>
      <c r="XX8" s="125" t="s">
        <v>834</v>
      </c>
      <c r="XY8" s="125" t="s">
        <v>835</v>
      </c>
      <c r="XZ8" s="125" t="s">
        <v>836</v>
      </c>
      <c r="YA8" s="125" t="s">
        <v>837</v>
      </c>
      <c r="YB8" s="125" t="s">
        <v>838</v>
      </c>
      <c r="YC8" s="125" t="s">
        <v>839</v>
      </c>
      <c r="YD8" s="125" t="s">
        <v>840</v>
      </c>
      <c r="YE8" s="125" t="s">
        <v>841</v>
      </c>
      <c r="YF8" s="125" t="s">
        <v>842</v>
      </c>
      <c r="YG8" s="125" t="s">
        <v>843</v>
      </c>
      <c r="YH8" s="125" t="s">
        <v>844</v>
      </c>
      <c r="YI8" s="125" t="s">
        <v>845</v>
      </c>
      <c r="YJ8" s="125" t="s">
        <v>846</v>
      </c>
      <c r="YK8" s="125" t="s">
        <v>847</v>
      </c>
      <c r="YL8" s="125" t="s">
        <v>848</v>
      </c>
      <c r="YM8" s="125" t="s">
        <v>849</v>
      </c>
      <c r="YN8" s="125" t="s">
        <v>850</v>
      </c>
      <c r="YO8" s="125" t="s">
        <v>851</v>
      </c>
      <c r="YP8" s="125" t="s">
        <v>852</v>
      </c>
      <c r="YQ8" s="125" t="s">
        <v>853</v>
      </c>
      <c r="YR8" s="125" t="s">
        <v>854</v>
      </c>
      <c r="YS8" s="125" t="s">
        <v>855</v>
      </c>
      <c r="YT8" s="125" t="s">
        <v>856</v>
      </c>
      <c r="YU8" s="125" t="s">
        <v>857</v>
      </c>
      <c r="YV8" s="125" t="s">
        <v>858</v>
      </c>
      <c r="YW8" s="125" t="s">
        <v>859</v>
      </c>
      <c r="YX8" s="125" t="s">
        <v>860</v>
      </c>
      <c r="YY8" s="125" t="s">
        <v>861</v>
      </c>
      <c r="YZ8" s="125" t="s">
        <v>862</v>
      </c>
      <c r="ZA8" s="125" t="s">
        <v>863</v>
      </c>
      <c r="ZB8" s="125" t="s">
        <v>864</v>
      </c>
      <c r="ZC8" s="125" t="s">
        <v>865</v>
      </c>
      <c r="ZD8" s="125" t="s">
        <v>866</v>
      </c>
      <c r="ZE8" s="125" t="s">
        <v>867</v>
      </c>
      <c r="ZF8" s="125" t="s">
        <v>868</v>
      </c>
      <c r="ZG8" s="125" t="s">
        <v>869</v>
      </c>
      <c r="ZH8" s="125" t="s">
        <v>870</v>
      </c>
      <c r="ZI8" s="125" t="s">
        <v>871</v>
      </c>
      <c r="ZJ8" s="125" t="s">
        <v>872</v>
      </c>
      <c r="ZK8" s="125" t="s">
        <v>873</v>
      </c>
      <c r="ZL8" s="125" t="s">
        <v>874</v>
      </c>
      <c r="ZM8" s="125" t="s">
        <v>875</v>
      </c>
      <c r="ZN8" s="125" t="s">
        <v>876</v>
      </c>
      <c r="ZO8" s="125" t="s">
        <v>877</v>
      </c>
      <c r="ZP8" s="125" t="s">
        <v>878</v>
      </c>
      <c r="ZQ8" s="125" t="s">
        <v>879</v>
      </c>
      <c r="ZR8" s="125" t="s">
        <v>880</v>
      </c>
      <c r="ZS8" s="125" t="s">
        <v>881</v>
      </c>
      <c r="ZT8" s="125" t="s">
        <v>882</v>
      </c>
      <c r="ZU8" s="125" t="s">
        <v>883</v>
      </c>
      <c r="ZV8" s="125" t="s">
        <v>884</v>
      </c>
      <c r="ZW8" s="125" t="s">
        <v>885</v>
      </c>
      <c r="ZX8" s="125" t="s">
        <v>886</v>
      </c>
      <c r="ZY8" s="125" t="s">
        <v>887</v>
      </c>
      <c r="ZZ8" s="125" t="s">
        <v>888</v>
      </c>
      <c r="AAA8" s="125" t="s">
        <v>889</v>
      </c>
      <c r="AAB8" s="125" t="s">
        <v>890</v>
      </c>
      <c r="AAC8" s="125" t="s">
        <v>891</v>
      </c>
      <c r="AAD8" s="125" t="s">
        <v>892</v>
      </c>
      <c r="AAE8" s="125" t="s">
        <v>893</v>
      </c>
      <c r="AAF8" s="125" t="s">
        <v>894</v>
      </c>
      <c r="AAG8" s="125" t="s">
        <v>895</v>
      </c>
      <c r="AAH8" s="125" t="s">
        <v>896</v>
      </c>
      <c r="AAI8" s="125" t="s">
        <v>897</v>
      </c>
      <c r="AAJ8" s="125" t="s">
        <v>898</v>
      </c>
      <c r="AAK8" s="125" t="s">
        <v>899</v>
      </c>
      <c r="AAL8" s="125" t="s">
        <v>900</v>
      </c>
      <c r="AAM8" s="125" t="s">
        <v>901</v>
      </c>
      <c r="AAN8" s="125" t="s">
        <v>902</v>
      </c>
      <c r="AAO8" s="125" t="s">
        <v>903</v>
      </c>
      <c r="AAP8" s="125" t="s">
        <v>904</v>
      </c>
      <c r="AAQ8" s="125" t="s">
        <v>905</v>
      </c>
      <c r="AAR8" s="125" t="s">
        <v>906</v>
      </c>
      <c r="AAS8" s="125" t="s">
        <v>907</v>
      </c>
      <c r="AAT8" s="125" t="s">
        <v>908</v>
      </c>
      <c r="AAU8" s="125" t="s">
        <v>909</v>
      </c>
      <c r="AAV8" s="125" t="s">
        <v>910</v>
      </c>
      <c r="AAW8" s="125" t="s">
        <v>911</v>
      </c>
      <c r="AAX8" s="125" t="s">
        <v>912</v>
      </c>
      <c r="AAY8" s="125" t="s">
        <v>913</v>
      </c>
      <c r="AAZ8" s="125" t="s">
        <v>914</v>
      </c>
      <c r="ABA8" s="125" t="s">
        <v>915</v>
      </c>
      <c r="ABB8" s="125" t="s">
        <v>916</v>
      </c>
      <c r="ABC8" s="125" t="s">
        <v>917</v>
      </c>
      <c r="ABD8" s="125" t="s">
        <v>918</v>
      </c>
      <c r="ABE8" s="125" t="s">
        <v>919</v>
      </c>
      <c r="ABF8" s="125" t="s">
        <v>920</v>
      </c>
      <c r="ABG8" s="125" t="s">
        <v>921</v>
      </c>
      <c r="ABH8" s="125" t="s">
        <v>922</v>
      </c>
      <c r="ABI8" s="125" t="s">
        <v>923</v>
      </c>
      <c r="ABJ8" s="125" t="s">
        <v>924</v>
      </c>
      <c r="ABK8" s="125" t="s">
        <v>925</v>
      </c>
      <c r="ABL8" s="125" t="s">
        <v>926</v>
      </c>
      <c r="ABM8" s="125" t="s">
        <v>927</v>
      </c>
      <c r="ABN8" s="125" t="s">
        <v>928</v>
      </c>
      <c r="ABO8" s="125" t="s">
        <v>929</v>
      </c>
      <c r="ABP8" s="125" t="s">
        <v>930</v>
      </c>
      <c r="ABQ8" s="125" t="s">
        <v>931</v>
      </c>
      <c r="ABR8" s="125" t="s">
        <v>932</v>
      </c>
      <c r="ABS8" s="125" t="s">
        <v>933</v>
      </c>
      <c r="ABT8" s="125" t="s">
        <v>934</v>
      </c>
      <c r="ABU8" s="125" t="s">
        <v>935</v>
      </c>
      <c r="ABV8" s="125" t="s">
        <v>936</v>
      </c>
      <c r="ABW8" s="125" t="s">
        <v>937</v>
      </c>
      <c r="ABX8" s="125" t="s">
        <v>938</v>
      </c>
      <c r="ABY8" s="125" t="s">
        <v>939</v>
      </c>
      <c r="ABZ8" s="125" t="s">
        <v>940</v>
      </c>
      <c r="ACA8" s="125" t="s">
        <v>941</v>
      </c>
      <c r="ACB8" s="125" t="s">
        <v>942</v>
      </c>
      <c r="ACC8" s="125" t="s">
        <v>943</v>
      </c>
      <c r="ACD8" s="125" t="s">
        <v>944</v>
      </c>
      <c r="ACE8" s="125" t="s">
        <v>945</v>
      </c>
      <c r="ACF8" s="125" t="s">
        <v>946</v>
      </c>
      <c r="ACG8" s="125" t="s">
        <v>947</v>
      </c>
      <c r="ACH8" s="125" t="s">
        <v>948</v>
      </c>
      <c r="ACI8" s="125" t="s">
        <v>949</v>
      </c>
      <c r="ACJ8" s="125" t="s">
        <v>950</v>
      </c>
      <c r="ACK8" s="125" t="s">
        <v>951</v>
      </c>
      <c r="ACL8" s="125" t="s">
        <v>952</v>
      </c>
      <c r="ACM8" s="125" t="s">
        <v>953</v>
      </c>
      <c r="ACN8" s="125" t="s">
        <v>954</v>
      </c>
      <c r="ACO8" s="125" t="s">
        <v>955</v>
      </c>
      <c r="ACP8" s="125" t="s">
        <v>956</v>
      </c>
      <c r="ACQ8" s="125" t="s">
        <v>957</v>
      </c>
      <c r="ACR8" s="125" t="s">
        <v>958</v>
      </c>
      <c r="ACS8" s="125" t="s">
        <v>959</v>
      </c>
      <c r="ACT8" s="125" t="s">
        <v>960</v>
      </c>
      <c r="ACU8" s="125" t="s">
        <v>961</v>
      </c>
      <c r="ACV8" s="125" t="s">
        <v>962</v>
      </c>
      <c r="ACW8" s="125" t="s">
        <v>963</v>
      </c>
      <c r="ACX8" s="125" t="s">
        <v>964</v>
      </c>
      <c r="ACY8" s="125" t="s">
        <v>965</v>
      </c>
      <c r="ACZ8" s="125" t="s">
        <v>966</v>
      </c>
      <c r="ADA8" s="125" t="s">
        <v>967</v>
      </c>
      <c r="ADB8" s="125" t="s">
        <v>968</v>
      </c>
      <c r="ADC8" s="125" t="s">
        <v>969</v>
      </c>
      <c r="ADD8" s="125" t="s">
        <v>970</v>
      </c>
      <c r="ADE8" s="125" t="s">
        <v>971</v>
      </c>
      <c r="ADF8" s="125" t="s">
        <v>972</v>
      </c>
      <c r="ADG8" s="125" t="s">
        <v>973</v>
      </c>
      <c r="ADH8" s="125" t="s">
        <v>974</v>
      </c>
      <c r="ADI8" s="125" t="s">
        <v>975</v>
      </c>
      <c r="ADJ8" s="125" t="s">
        <v>976</v>
      </c>
      <c r="ADK8" s="125" t="s">
        <v>977</v>
      </c>
      <c r="ADL8" s="125" t="s">
        <v>978</v>
      </c>
      <c r="ADM8" s="125" t="s">
        <v>979</v>
      </c>
      <c r="ADN8" s="125" t="s">
        <v>980</v>
      </c>
      <c r="ADO8" s="125" t="s">
        <v>981</v>
      </c>
      <c r="ADP8" s="125" t="s">
        <v>982</v>
      </c>
      <c r="ADQ8" s="125" t="s">
        <v>983</v>
      </c>
      <c r="ADR8" s="125" t="s">
        <v>984</v>
      </c>
      <c r="ADS8" s="125" t="s">
        <v>985</v>
      </c>
      <c r="ADT8" s="125" t="s">
        <v>986</v>
      </c>
      <c r="ADU8" s="125" t="s">
        <v>987</v>
      </c>
      <c r="ADV8" s="125" t="s">
        <v>988</v>
      </c>
      <c r="ADW8" s="125" t="s">
        <v>989</v>
      </c>
      <c r="ADX8" s="125" t="s">
        <v>990</v>
      </c>
      <c r="ADY8" s="125" t="s">
        <v>991</v>
      </c>
      <c r="ADZ8" s="125" t="s">
        <v>992</v>
      </c>
      <c r="AEA8" s="125" t="s">
        <v>993</v>
      </c>
      <c r="AEB8" s="125" t="s">
        <v>994</v>
      </c>
      <c r="AEC8" s="125" t="s">
        <v>995</v>
      </c>
      <c r="AED8" s="125" t="s">
        <v>996</v>
      </c>
      <c r="AEE8" s="125" t="s">
        <v>997</v>
      </c>
      <c r="AEF8" s="125" t="s">
        <v>998</v>
      </c>
      <c r="AEG8" s="125" t="s">
        <v>999</v>
      </c>
      <c r="AEH8" s="125" t="s">
        <v>1000</v>
      </c>
      <c r="AEI8" s="125" t="s">
        <v>1001</v>
      </c>
      <c r="AEJ8" s="125" t="s">
        <v>1002</v>
      </c>
      <c r="AEK8" s="125" t="s">
        <v>1003</v>
      </c>
      <c r="AEL8" s="125" t="s">
        <v>1004</v>
      </c>
      <c r="AEM8" s="125" t="s">
        <v>1005</v>
      </c>
      <c r="AEN8" s="125" t="s">
        <v>1006</v>
      </c>
      <c r="AEO8" s="125" t="s">
        <v>1007</v>
      </c>
      <c r="AEP8" s="125" t="s">
        <v>1008</v>
      </c>
      <c r="AEQ8" s="125" t="s">
        <v>1009</v>
      </c>
      <c r="AER8" s="125" t="s">
        <v>1010</v>
      </c>
      <c r="AES8" s="125" t="s">
        <v>1011</v>
      </c>
      <c r="AET8" s="125" t="s">
        <v>1012</v>
      </c>
      <c r="AEU8" s="125" t="s">
        <v>1013</v>
      </c>
      <c r="AEV8" s="125" t="s">
        <v>1014</v>
      </c>
      <c r="AEW8" s="125" t="s">
        <v>1015</v>
      </c>
      <c r="AEX8" s="125" t="s">
        <v>1016</v>
      </c>
      <c r="AEY8" s="125" t="s">
        <v>1017</v>
      </c>
      <c r="AEZ8" s="125" t="s">
        <v>1018</v>
      </c>
      <c r="AFA8" s="125" t="s">
        <v>1019</v>
      </c>
      <c r="AFB8" s="125" t="s">
        <v>1020</v>
      </c>
      <c r="AFC8" s="125" t="s">
        <v>1021</v>
      </c>
      <c r="AFD8" s="125" t="s">
        <v>1022</v>
      </c>
      <c r="AFE8" s="125" t="s">
        <v>1023</v>
      </c>
      <c r="AFF8" s="125" t="s">
        <v>1024</v>
      </c>
      <c r="AFG8" s="125" t="s">
        <v>1025</v>
      </c>
      <c r="AFH8" s="125" t="s">
        <v>1026</v>
      </c>
      <c r="AFI8" s="125" t="s">
        <v>1027</v>
      </c>
      <c r="AFJ8" s="125" t="s">
        <v>1028</v>
      </c>
      <c r="AFK8" s="125" t="s">
        <v>1029</v>
      </c>
      <c r="AFL8" s="125" t="s">
        <v>1030</v>
      </c>
      <c r="AFM8" s="125" t="s">
        <v>1031</v>
      </c>
      <c r="AFN8" s="125" t="s">
        <v>1032</v>
      </c>
      <c r="AFO8" s="125" t="s">
        <v>1033</v>
      </c>
      <c r="AFP8" s="125" t="s">
        <v>1034</v>
      </c>
      <c r="AFQ8" s="125" t="s">
        <v>1035</v>
      </c>
      <c r="AFR8" s="125" t="s">
        <v>1036</v>
      </c>
      <c r="AFS8" s="125" t="s">
        <v>1037</v>
      </c>
      <c r="AFT8" s="125" t="s">
        <v>1038</v>
      </c>
      <c r="AFU8" s="125" t="s">
        <v>1039</v>
      </c>
      <c r="AFV8" s="125" t="s">
        <v>1040</v>
      </c>
      <c r="AFW8" s="125" t="s">
        <v>1041</v>
      </c>
      <c r="AFX8" s="125" t="s">
        <v>1042</v>
      </c>
      <c r="AFY8" s="125" t="s">
        <v>1043</v>
      </c>
      <c r="AFZ8" s="125" t="s">
        <v>1044</v>
      </c>
      <c r="AGA8" s="125" t="s">
        <v>1045</v>
      </c>
      <c r="AGB8" s="125" t="s">
        <v>1046</v>
      </c>
      <c r="AGC8" s="125" t="s">
        <v>1047</v>
      </c>
      <c r="AGD8" s="125" t="s">
        <v>1048</v>
      </c>
      <c r="AGE8" s="125" t="s">
        <v>1049</v>
      </c>
      <c r="AGF8" s="125" t="s">
        <v>1050</v>
      </c>
      <c r="AGG8" s="125" t="s">
        <v>1051</v>
      </c>
      <c r="AGH8" s="125" t="s">
        <v>1052</v>
      </c>
      <c r="AGI8" s="125" t="s">
        <v>1053</v>
      </c>
      <c r="AGJ8" s="125" t="s">
        <v>1054</v>
      </c>
      <c r="AGK8" s="125" t="s">
        <v>1055</v>
      </c>
      <c r="AGL8" s="125" t="s">
        <v>1056</v>
      </c>
      <c r="AGM8" s="125" t="s">
        <v>1057</v>
      </c>
      <c r="AGN8" s="125" t="s">
        <v>1058</v>
      </c>
      <c r="AGO8" s="125" t="s">
        <v>1059</v>
      </c>
      <c r="AGP8" s="125" t="s">
        <v>1060</v>
      </c>
      <c r="AGQ8" s="125" t="s">
        <v>1061</v>
      </c>
      <c r="AGR8" s="125" t="s">
        <v>1062</v>
      </c>
      <c r="AGS8" s="125" t="s">
        <v>1063</v>
      </c>
      <c r="AGT8" s="125" t="s">
        <v>1064</v>
      </c>
      <c r="AGU8" s="125" t="s">
        <v>1065</v>
      </c>
      <c r="AGV8" s="125" t="s">
        <v>1066</v>
      </c>
      <c r="AGW8" s="125" t="s">
        <v>1067</v>
      </c>
      <c r="AGX8" s="125" t="s">
        <v>1068</v>
      </c>
      <c r="AGY8" s="125" t="s">
        <v>1069</v>
      </c>
      <c r="AGZ8" s="125" t="s">
        <v>1070</v>
      </c>
      <c r="AHA8" s="125" t="s">
        <v>1071</v>
      </c>
      <c r="AHB8" s="125" t="s">
        <v>1072</v>
      </c>
      <c r="AHC8" s="125" t="s">
        <v>1073</v>
      </c>
      <c r="AHD8" s="125" t="s">
        <v>1074</v>
      </c>
      <c r="AHE8" s="125" t="s">
        <v>1075</v>
      </c>
      <c r="AHF8" s="125" t="s">
        <v>1076</v>
      </c>
      <c r="AHG8" s="125" t="s">
        <v>1077</v>
      </c>
      <c r="AHH8" s="125" t="s">
        <v>1078</v>
      </c>
      <c r="AHI8" s="125" t="s">
        <v>1079</v>
      </c>
      <c r="AHJ8" s="125" t="s">
        <v>1080</v>
      </c>
      <c r="AHK8" s="125" t="s">
        <v>1081</v>
      </c>
      <c r="AHL8" s="125" t="s">
        <v>1082</v>
      </c>
      <c r="AHM8" s="125" t="s">
        <v>1083</v>
      </c>
      <c r="AHN8" s="125" t="s">
        <v>1084</v>
      </c>
      <c r="AHO8" s="125" t="s">
        <v>1085</v>
      </c>
      <c r="AHP8" s="125" t="s">
        <v>1086</v>
      </c>
      <c r="AHQ8" s="125" t="s">
        <v>1087</v>
      </c>
      <c r="AHR8" s="125" t="s">
        <v>1088</v>
      </c>
      <c r="AHS8" s="125" t="s">
        <v>1089</v>
      </c>
      <c r="AHT8" s="125" t="s">
        <v>1090</v>
      </c>
      <c r="AHU8" s="125" t="s">
        <v>1091</v>
      </c>
      <c r="AHV8" s="125" t="s">
        <v>1092</v>
      </c>
      <c r="AHW8" s="125" t="s">
        <v>1093</v>
      </c>
      <c r="AHX8" s="125" t="s">
        <v>1094</v>
      </c>
      <c r="AHY8" s="125" t="s">
        <v>1095</v>
      </c>
      <c r="AHZ8" s="125" t="s">
        <v>1096</v>
      </c>
      <c r="AIA8" s="125" t="s">
        <v>1097</v>
      </c>
      <c r="AIB8" s="125" t="s">
        <v>1098</v>
      </c>
      <c r="AIC8" s="125" t="s">
        <v>1099</v>
      </c>
      <c r="AID8" s="125" t="s">
        <v>1100</v>
      </c>
      <c r="AIE8" s="125" t="s">
        <v>1101</v>
      </c>
      <c r="AIF8" s="125" t="s">
        <v>1102</v>
      </c>
      <c r="AIG8" s="125" t="s">
        <v>1103</v>
      </c>
      <c r="AIH8" s="125" t="s">
        <v>1104</v>
      </c>
      <c r="AII8" s="125" t="s">
        <v>1105</v>
      </c>
      <c r="AIJ8" s="125" t="s">
        <v>1106</v>
      </c>
      <c r="AIK8" s="125" t="s">
        <v>1107</v>
      </c>
      <c r="AIL8" s="125" t="s">
        <v>1108</v>
      </c>
      <c r="AIM8" s="125" t="s">
        <v>1109</v>
      </c>
      <c r="AIN8" s="125" t="s">
        <v>1110</v>
      </c>
      <c r="AIO8" s="125" t="s">
        <v>1111</v>
      </c>
      <c r="AIP8" s="125" t="s">
        <v>1112</v>
      </c>
      <c r="AIQ8" s="125" t="s">
        <v>1113</v>
      </c>
      <c r="AIR8" s="125" t="s">
        <v>1114</v>
      </c>
      <c r="AIS8" s="125" t="s">
        <v>1115</v>
      </c>
      <c r="AIT8" s="125" t="s">
        <v>1116</v>
      </c>
      <c r="AIU8" s="125" t="s">
        <v>1117</v>
      </c>
      <c r="AIV8" s="125" t="s">
        <v>1118</v>
      </c>
      <c r="AIW8" s="125" t="s">
        <v>1119</v>
      </c>
      <c r="AIX8" s="125" t="s">
        <v>1120</v>
      </c>
      <c r="AIY8" s="125" t="s">
        <v>1121</v>
      </c>
      <c r="AIZ8" s="125" t="s">
        <v>1122</v>
      </c>
      <c r="AJA8" s="125" t="s">
        <v>1123</v>
      </c>
      <c r="AJB8" s="125" t="s">
        <v>1124</v>
      </c>
      <c r="AJC8" s="125" t="s">
        <v>1125</v>
      </c>
      <c r="AJD8" s="125" t="s">
        <v>1126</v>
      </c>
      <c r="AJE8" s="125" t="s">
        <v>1127</v>
      </c>
      <c r="AJF8" s="125" t="s">
        <v>1128</v>
      </c>
      <c r="AJG8" s="125" t="s">
        <v>1129</v>
      </c>
      <c r="AJH8" s="125" t="s">
        <v>1130</v>
      </c>
      <c r="AJI8" s="125" t="s">
        <v>1131</v>
      </c>
      <c r="AJJ8" s="125" t="s">
        <v>1132</v>
      </c>
      <c r="AJK8" s="125" t="s">
        <v>1133</v>
      </c>
      <c r="AJL8" s="125" t="s">
        <v>1134</v>
      </c>
      <c r="AJM8" s="125" t="s">
        <v>1135</v>
      </c>
      <c r="AJN8" s="125" t="s">
        <v>1136</v>
      </c>
      <c r="AJO8" s="125" t="s">
        <v>1137</v>
      </c>
      <c r="AJP8" s="125" t="s">
        <v>1138</v>
      </c>
      <c r="AJQ8" s="125" t="s">
        <v>1139</v>
      </c>
      <c r="AJR8" s="125" t="s">
        <v>1140</v>
      </c>
      <c r="AJS8" s="125" t="s">
        <v>1141</v>
      </c>
      <c r="AJT8" s="125" t="s">
        <v>1142</v>
      </c>
      <c r="AJU8" s="125" t="s">
        <v>1143</v>
      </c>
      <c r="AJV8" s="125" t="s">
        <v>1144</v>
      </c>
      <c r="AJW8" s="125" t="s">
        <v>1145</v>
      </c>
      <c r="AJX8" s="125" t="s">
        <v>1146</v>
      </c>
      <c r="AJY8" s="125" t="s">
        <v>1147</v>
      </c>
      <c r="AJZ8" s="125" t="s">
        <v>1148</v>
      </c>
      <c r="AKA8" s="125" t="s">
        <v>1149</v>
      </c>
      <c r="AKB8" s="125" t="s">
        <v>1150</v>
      </c>
      <c r="AKC8" s="125" t="s">
        <v>1151</v>
      </c>
      <c r="AKD8" s="125" t="s">
        <v>1152</v>
      </c>
      <c r="AKE8" s="125" t="s">
        <v>1153</v>
      </c>
      <c r="AKF8" s="125" t="s">
        <v>1154</v>
      </c>
      <c r="AKG8" s="125" t="s">
        <v>1155</v>
      </c>
      <c r="AKH8" s="125" t="s">
        <v>1156</v>
      </c>
      <c r="AKI8" s="125" t="s">
        <v>1157</v>
      </c>
      <c r="AKJ8" s="125" t="s">
        <v>1158</v>
      </c>
      <c r="AKK8" s="125" t="s">
        <v>1159</v>
      </c>
      <c r="AKL8" s="125" t="s">
        <v>1160</v>
      </c>
      <c r="AKM8" s="125" t="s">
        <v>1161</v>
      </c>
      <c r="AKN8" s="125" t="s">
        <v>1162</v>
      </c>
      <c r="AKO8" s="125" t="s">
        <v>1163</v>
      </c>
      <c r="AKP8" s="125" t="s">
        <v>1164</v>
      </c>
      <c r="AKQ8" s="125" t="s">
        <v>1165</v>
      </c>
      <c r="AKR8" s="125" t="s">
        <v>1166</v>
      </c>
      <c r="AKS8" s="125" t="s">
        <v>1167</v>
      </c>
      <c r="AKT8" s="125" t="s">
        <v>1168</v>
      </c>
      <c r="AKU8" s="125" t="s">
        <v>1169</v>
      </c>
      <c r="AKV8" s="125" t="s">
        <v>1170</v>
      </c>
      <c r="AKW8" s="125" t="s">
        <v>1171</v>
      </c>
      <c r="AKX8" s="125" t="s">
        <v>1172</v>
      </c>
      <c r="AKY8" s="125" t="s">
        <v>1173</v>
      </c>
      <c r="AKZ8" s="125" t="s">
        <v>1174</v>
      </c>
      <c r="ALA8" s="125" t="s">
        <v>1175</v>
      </c>
      <c r="ALB8" s="125" t="s">
        <v>1176</v>
      </c>
      <c r="ALC8" s="125" t="s">
        <v>1177</v>
      </c>
      <c r="ALD8" s="125" t="s">
        <v>1178</v>
      </c>
      <c r="ALE8" s="125" t="s">
        <v>1179</v>
      </c>
      <c r="ALF8" s="125" t="s">
        <v>1180</v>
      </c>
      <c r="ALG8" s="125" t="s">
        <v>1181</v>
      </c>
      <c r="ALH8" s="125" t="s">
        <v>1182</v>
      </c>
      <c r="ALI8" s="125" t="s">
        <v>1183</v>
      </c>
      <c r="ALJ8" s="125" t="s">
        <v>1184</v>
      </c>
      <c r="ALK8" s="125" t="s">
        <v>1185</v>
      </c>
      <c r="ALL8" s="125" t="s">
        <v>1186</v>
      </c>
      <c r="ALM8" s="125" t="s">
        <v>1187</v>
      </c>
      <c r="ALN8" s="125" t="s">
        <v>1188</v>
      </c>
      <c r="ALO8" s="125" t="s">
        <v>1189</v>
      </c>
      <c r="ALP8" s="125" t="s">
        <v>1190</v>
      </c>
      <c r="ALQ8" s="125" t="s">
        <v>1191</v>
      </c>
      <c r="ALR8" s="125" t="s">
        <v>1192</v>
      </c>
      <c r="ALS8" s="125" t="s">
        <v>1193</v>
      </c>
      <c r="ALT8" s="125" t="s">
        <v>1194</v>
      </c>
      <c r="ALU8" s="125" t="s">
        <v>1195</v>
      </c>
      <c r="ALV8" s="125" t="s">
        <v>1196</v>
      </c>
      <c r="ALW8" s="125" t="s">
        <v>1197</v>
      </c>
      <c r="ALX8" s="125" t="s">
        <v>1198</v>
      </c>
      <c r="ALY8" s="125" t="s">
        <v>1199</v>
      </c>
      <c r="ALZ8" s="125" t="s">
        <v>1200</v>
      </c>
      <c r="AMA8" s="125" t="s">
        <v>1201</v>
      </c>
      <c r="AMB8" s="125" t="s">
        <v>1202</v>
      </c>
      <c r="AMC8" s="125" t="s">
        <v>1203</v>
      </c>
    </row>
    <row r="9" s="131" customFormat="true" ht="13.5" hidden="false" customHeight="true" outlineLevel="0" collapsed="false">
      <c r="A9" s="126" t="n">
        <f aca="false">ROW()-8</f>
        <v>1</v>
      </c>
      <c r="B9" s="127" t="s">
        <v>1204</v>
      </c>
      <c r="C9" s="128"/>
      <c r="D9" s="129"/>
      <c r="E9" s="129"/>
      <c r="F9" s="129"/>
      <c r="G9" s="129"/>
      <c r="H9" s="62" t="s">
        <v>113</v>
      </c>
      <c r="I9" s="98" t="s">
        <v>1205</v>
      </c>
      <c r="J9" s="63" t="s">
        <v>1206</v>
      </c>
      <c r="K9" s="62" t="s">
        <v>117</v>
      </c>
      <c r="L9" s="130"/>
      <c r="M9" s="62" t="s">
        <v>118</v>
      </c>
      <c r="N9" s="62" t="s">
        <v>1207</v>
      </c>
      <c r="O9" s="65" t="s">
        <v>119</v>
      </c>
      <c r="P9" s="65" t="s">
        <v>119</v>
      </c>
      <c r="Q9" s="65" t="s">
        <v>119</v>
      </c>
      <c r="R9" s="66"/>
      <c r="AMD9" s="67"/>
      <c r="AME9" s="67"/>
      <c r="AMF9" s="67"/>
      <c r="AMG9" s="67"/>
      <c r="AMH9" s="67"/>
      <c r="AMI9" s="67"/>
      <c r="AMJ9" s="67"/>
    </row>
    <row r="10" s="135"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163</v>
      </c>
      <c r="L10" s="130"/>
      <c r="M10" s="62" t="s">
        <v>118</v>
      </c>
      <c r="N10" s="62"/>
      <c r="O10" s="65" t="s">
        <v>119</v>
      </c>
      <c r="P10" s="65" t="s">
        <v>119</v>
      </c>
      <c r="Q10" s="65" t="s">
        <v>119</v>
      </c>
      <c r="R10" s="66"/>
      <c r="S10" s="134"/>
      <c r="AMD10" s="67"/>
      <c r="AME10" s="67"/>
      <c r="AMF10" s="67"/>
      <c r="AMG10" s="67"/>
      <c r="AMH10" s="67"/>
      <c r="AMI10" s="67"/>
      <c r="AMJ10" s="67"/>
    </row>
    <row r="11" s="135" customFormat="true" ht="13.5" hidden="false" customHeight="true" outlineLevel="0" collapsed="false">
      <c r="A11" s="126" t="n">
        <f aca="false">ROW()-8</f>
        <v>3</v>
      </c>
      <c r="B11" s="127" t="s">
        <v>1212</v>
      </c>
      <c r="C11" s="128"/>
      <c r="D11" s="129"/>
      <c r="E11" s="129"/>
      <c r="F11" s="129"/>
      <c r="G11" s="129"/>
      <c r="H11" s="62" t="s">
        <v>1213</v>
      </c>
      <c r="I11" s="63" t="s">
        <v>1214</v>
      </c>
      <c r="J11" s="63" t="s">
        <v>1215</v>
      </c>
      <c r="K11" s="62" t="s">
        <v>117</v>
      </c>
      <c r="L11" s="130"/>
      <c r="M11" s="62" t="s">
        <v>134</v>
      </c>
      <c r="N11" s="62" t="s">
        <v>1216</v>
      </c>
      <c r="O11" s="65" t="s">
        <v>119</v>
      </c>
      <c r="P11" s="65" t="s">
        <v>119</v>
      </c>
      <c r="Q11" s="65"/>
      <c r="R11" s="66"/>
      <c r="S11" s="134"/>
      <c r="AMD11" s="67"/>
      <c r="AME11" s="67"/>
      <c r="AMF11" s="67"/>
      <c r="AMG11" s="67"/>
      <c r="AMH11" s="67"/>
      <c r="AMI11" s="67"/>
      <c r="AMJ11" s="67"/>
    </row>
    <row r="12" s="135" customFormat="true" ht="13.5" hidden="false" customHeight="true" outlineLevel="0" collapsed="false">
      <c r="A12" s="126" t="n">
        <f aca="false">ROW()-8</f>
        <v>4</v>
      </c>
      <c r="B12" s="127" t="s">
        <v>1217</v>
      </c>
      <c r="C12" s="128"/>
      <c r="D12" s="129"/>
      <c r="E12" s="129"/>
      <c r="F12" s="129"/>
      <c r="G12" s="129"/>
      <c r="H12" s="62" t="s">
        <v>1218</v>
      </c>
      <c r="I12" s="63" t="s">
        <v>1219</v>
      </c>
      <c r="J12" s="63" t="s">
        <v>1220</v>
      </c>
      <c r="K12" s="62" t="s">
        <v>117</v>
      </c>
      <c r="L12" s="130"/>
      <c r="M12" s="62" t="s">
        <v>118</v>
      </c>
      <c r="N12" s="62"/>
      <c r="O12" s="65" t="s">
        <v>119</v>
      </c>
      <c r="P12" s="65"/>
      <c r="Q12" s="65"/>
      <c r="R12" s="66"/>
      <c r="S12" s="134" t="s">
        <v>119</v>
      </c>
      <c r="AMD12" s="67"/>
      <c r="AME12" s="67"/>
      <c r="AMF12" s="67"/>
      <c r="AMG12" s="67"/>
      <c r="AMH12" s="67"/>
      <c r="AMI12" s="67"/>
      <c r="AMJ12" s="67"/>
    </row>
    <row r="13" s="135" customFormat="true" ht="13.5" hidden="false" customHeight="true" outlineLevel="0" collapsed="false">
      <c r="A13" s="126" t="n">
        <f aca="false">ROW()-8</f>
        <v>5</v>
      </c>
      <c r="B13" s="132" t="s">
        <v>1221</v>
      </c>
      <c r="C13" s="128"/>
      <c r="D13" s="129"/>
      <c r="E13" s="129"/>
      <c r="F13" s="129"/>
      <c r="G13" s="129"/>
      <c r="H13" s="62" t="s">
        <v>1222</v>
      </c>
      <c r="I13" s="63" t="s">
        <v>1223</v>
      </c>
      <c r="J13" s="63" t="s">
        <v>1224</v>
      </c>
      <c r="K13" s="62" t="s">
        <v>163</v>
      </c>
      <c r="L13" s="130"/>
      <c r="M13" s="62" t="s">
        <v>118</v>
      </c>
      <c r="N13" s="62" t="s">
        <v>1225</v>
      </c>
      <c r="O13" s="65"/>
      <c r="P13" s="65"/>
      <c r="Q13" s="65"/>
      <c r="R13" s="66"/>
      <c r="AMD13" s="67"/>
      <c r="AME13" s="67"/>
      <c r="AMF13" s="67"/>
      <c r="AMG13" s="67"/>
      <c r="AMH13" s="67"/>
      <c r="AMI13" s="67"/>
      <c r="AMJ13" s="67"/>
    </row>
    <row r="14" s="135" customFormat="true" ht="13.5" hidden="false" customHeight="true" outlineLevel="0" collapsed="false">
      <c r="A14" s="126" t="n">
        <f aca="false">ROW()-8</f>
        <v>6</v>
      </c>
      <c r="B14" s="127" t="s">
        <v>1226</v>
      </c>
      <c r="C14" s="128"/>
      <c r="D14" s="129"/>
      <c r="E14" s="129"/>
      <c r="F14" s="129"/>
      <c r="G14" s="129"/>
      <c r="H14" s="136" t="s">
        <v>1227</v>
      </c>
      <c r="I14" s="137" t="s">
        <v>1228</v>
      </c>
      <c r="J14" s="137" t="s">
        <v>75</v>
      </c>
      <c r="K14" s="136" t="s">
        <v>163</v>
      </c>
      <c r="L14" s="138"/>
      <c r="M14" s="136" t="s">
        <v>118</v>
      </c>
      <c r="N14" s="136" t="s">
        <v>1229</v>
      </c>
      <c r="O14" s="65"/>
      <c r="P14" s="65" t="s">
        <v>119</v>
      </c>
      <c r="Q14" s="65" t="s">
        <v>119</v>
      </c>
      <c r="R14" s="66"/>
      <c r="AMD14" s="67"/>
      <c r="AME14" s="67"/>
      <c r="AMF14" s="67"/>
      <c r="AMG14" s="67"/>
      <c r="AMH14" s="67"/>
      <c r="AMI14" s="67"/>
      <c r="AMJ14" s="67"/>
    </row>
    <row r="15" s="135" customFormat="true" ht="13.5" hidden="false" customHeight="true" outlineLevel="0" collapsed="false">
      <c r="A15" s="126" t="n">
        <f aca="false">ROW()-8</f>
        <v>7</v>
      </c>
      <c r="B15" s="127" t="s">
        <v>1230</v>
      </c>
      <c r="C15" s="128"/>
      <c r="D15" s="129"/>
      <c r="E15" s="129"/>
      <c r="F15" s="129"/>
      <c r="G15" s="129"/>
      <c r="H15" s="136" t="s">
        <v>1231</v>
      </c>
      <c r="I15" s="137" t="s">
        <v>1232</v>
      </c>
      <c r="J15" s="137" t="s">
        <v>1233</v>
      </c>
      <c r="K15" s="136" t="s">
        <v>163</v>
      </c>
      <c r="L15" s="138"/>
      <c r="M15" s="136" t="s">
        <v>118</v>
      </c>
      <c r="N15" s="136" t="s">
        <v>1234</v>
      </c>
      <c r="O15" s="65"/>
      <c r="P15" s="65" t="s">
        <v>119</v>
      </c>
      <c r="Q15" s="65"/>
      <c r="R15" s="66"/>
      <c r="AMD15" s="67"/>
      <c r="AME15" s="67"/>
      <c r="AMF15" s="67"/>
      <c r="AMG15" s="67"/>
      <c r="AMH15" s="67"/>
      <c r="AMI15" s="67"/>
      <c r="AMJ15" s="67"/>
    </row>
    <row r="16" s="135" customFormat="true" ht="13.5" hidden="false" customHeight="true" outlineLevel="0" collapsed="false">
      <c r="A16" s="126" t="n">
        <f aca="false">ROW()-8</f>
        <v>8</v>
      </c>
      <c r="B16" s="127" t="s">
        <v>1235</v>
      </c>
      <c r="C16" s="139"/>
      <c r="D16" s="139"/>
      <c r="E16" s="139"/>
      <c r="F16" s="139"/>
      <c r="G16" s="139"/>
      <c r="H16" s="62" t="s">
        <v>1236</v>
      </c>
      <c r="I16" s="63"/>
      <c r="J16" s="63" t="s">
        <v>1237</v>
      </c>
      <c r="K16" s="62" t="s">
        <v>117</v>
      </c>
      <c r="L16" s="130" t="s">
        <v>119</v>
      </c>
      <c r="M16" s="140" t="s">
        <v>1237</v>
      </c>
      <c r="N16" s="136"/>
      <c r="O16" s="65" t="s">
        <v>119</v>
      </c>
      <c r="P16" s="65" t="s">
        <v>119</v>
      </c>
      <c r="Q16" s="64" t="s">
        <v>163</v>
      </c>
      <c r="R16" s="66"/>
      <c r="AMD16" s="67"/>
      <c r="AME16" s="67"/>
      <c r="AMF16" s="67"/>
      <c r="AMG16" s="67"/>
      <c r="AMH16" s="67"/>
      <c r="AMI16" s="67"/>
      <c r="AMJ16" s="67"/>
    </row>
    <row r="17" s="135" customFormat="true" ht="13.5" hidden="false" customHeight="true" outlineLevel="0" collapsed="false">
      <c r="A17" s="126" t="n">
        <f aca="false">ROW()-8</f>
        <v>9</v>
      </c>
      <c r="B17" s="127"/>
      <c r="C17" s="129" t="s">
        <v>1238</v>
      </c>
      <c r="D17" s="129"/>
      <c r="E17" s="129"/>
      <c r="F17" s="129"/>
      <c r="G17" s="129"/>
      <c r="H17" s="62" t="s">
        <v>1239</v>
      </c>
      <c r="I17" s="63" t="s">
        <v>1240</v>
      </c>
      <c r="J17" s="63" t="s">
        <v>1241</v>
      </c>
      <c r="K17" s="136" t="s">
        <v>163</v>
      </c>
      <c r="L17" s="130"/>
      <c r="M17" s="62" t="s">
        <v>118</v>
      </c>
      <c r="N17" s="136" t="s">
        <v>1242</v>
      </c>
      <c r="O17" s="65"/>
      <c r="P17" s="65" t="s">
        <v>119</v>
      </c>
      <c r="Q17" s="65"/>
      <c r="R17" s="66"/>
      <c r="AMD17" s="67"/>
      <c r="AME17" s="67"/>
      <c r="AMF17" s="67"/>
      <c r="AMG17" s="67"/>
      <c r="AMH17" s="67"/>
      <c r="AMI17" s="67"/>
      <c r="AMJ17" s="67"/>
    </row>
    <row r="18" s="135" customFormat="true" ht="13.5" hidden="false" customHeight="true" outlineLevel="0" collapsed="false">
      <c r="A18" s="126" t="n">
        <f aca="false">ROW()-8</f>
        <v>10</v>
      </c>
      <c r="B18" s="127"/>
      <c r="C18" s="129" t="s">
        <v>1243</v>
      </c>
      <c r="D18" s="139" t="s">
        <v>1244</v>
      </c>
      <c r="E18" s="139"/>
      <c r="F18" s="139"/>
      <c r="G18" s="139"/>
      <c r="H18" s="62" t="s">
        <v>1245</v>
      </c>
      <c r="I18" s="63"/>
      <c r="J18" s="62" t="s">
        <v>1246</v>
      </c>
      <c r="K18" s="62" t="s">
        <v>1247</v>
      </c>
      <c r="L18" s="130" t="s">
        <v>119</v>
      </c>
      <c r="M18" s="140" t="s">
        <v>1248</v>
      </c>
      <c r="N18" s="136"/>
      <c r="O18" s="65" t="s">
        <v>119</v>
      </c>
      <c r="P18" s="65" t="s">
        <v>119</v>
      </c>
      <c r="Q18" s="65" t="s">
        <v>119</v>
      </c>
      <c r="R18" s="66"/>
      <c r="AMD18" s="67"/>
      <c r="AME18" s="67"/>
      <c r="AMF18" s="67"/>
      <c r="AMG18" s="67"/>
      <c r="AMH18" s="67"/>
      <c r="AMI18" s="67"/>
      <c r="AMJ18" s="67"/>
    </row>
    <row r="19" s="135" customFormat="true" ht="12.75" hidden="false" customHeight="true" outlineLevel="0" collapsed="false">
      <c r="A19" s="126" t="n">
        <f aca="false">ROW()-8</f>
        <v>11</v>
      </c>
      <c r="B19" s="127"/>
      <c r="C19" s="129"/>
      <c r="D19" s="141" t="s">
        <v>1249</v>
      </c>
      <c r="E19" s="139"/>
      <c r="F19" s="139"/>
      <c r="G19" s="139"/>
      <c r="H19" s="62" t="s">
        <v>1250</v>
      </c>
      <c r="I19" s="63" t="s">
        <v>1251</v>
      </c>
      <c r="J19" s="62" t="s">
        <v>1252</v>
      </c>
      <c r="K19" s="62" t="s">
        <v>117</v>
      </c>
      <c r="L19" s="130"/>
      <c r="M19" s="62" t="s">
        <v>118</v>
      </c>
      <c r="N19" s="136" t="s">
        <v>1253</v>
      </c>
      <c r="O19" s="65" t="s">
        <v>119</v>
      </c>
      <c r="P19" s="65" t="s">
        <v>119</v>
      </c>
      <c r="Q19" s="65" t="s">
        <v>119</v>
      </c>
      <c r="R19" s="66"/>
      <c r="AMD19" s="67"/>
      <c r="AME19" s="67"/>
      <c r="AMF19" s="67"/>
      <c r="AMG19" s="67"/>
      <c r="AMH19" s="67"/>
      <c r="AMI19" s="67"/>
      <c r="AMJ19" s="67"/>
    </row>
    <row r="20" s="135" customFormat="true" ht="13.5" hidden="false" customHeight="true" outlineLevel="0" collapsed="false">
      <c r="A20" s="126" t="n">
        <f aca="false">ROW()-8</f>
        <v>12</v>
      </c>
      <c r="B20" s="127"/>
      <c r="C20" s="129"/>
      <c r="D20" s="141" t="s">
        <v>1254</v>
      </c>
      <c r="E20" s="139"/>
      <c r="F20" s="139"/>
      <c r="G20" s="139"/>
      <c r="H20" s="62" t="s">
        <v>1255</v>
      </c>
      <c r="I20" s="63" t="s">
        <v>1256</v>
      </c>
      <c r="J20" s="62" t="s">
        <v>1257</v>
      </c>
      <c r="K20" s="62" t="s">
        <v>117</v>
      </c>
      <c r="L20" s="130"/>
      <c r="M20" s="62" t="s">
        <v>118</v>
      </c>
      <c r="N20" s="136"/>
      <c r="O20" s="65" t="s">
        <v>119</v>
      </c>
      <c r="P20" s="65" t="s">
        <v>119</v>
      </c>
      <c r="Q20" s="65" t="s">
        <v>119</v>
      </c>
      <c r="R20" s="66"/>
      <c r="AMD20" s="67"/>
      <c r="AME20" s="67"/>
      <c r="AMF20" s="67"/>
      <c r="AMG20" s="67"/>
      <c r="AMH20" s="67"/>
      <c r="AMI20" s="67"/>
      <c r="AMJ20" s="67"/>
    </row>
    <row r="21" s="135" customFormat="true" ht="13.5" hidden="false" customHeight="true" outlineLevel="0" collapsed="false">
      <c r="A21" s="126" t="n">
        <f aca="false">ROW()-8</f>
        <v>13</v>
      </c>
      <c r="B21" s="127"/>
      <c r="C21" s="129" t="s">
        <v>1258</v>
      </c>
      <c r="D21" s="139" t="s">
        <v>1244</v>
      </c>
      <c r="E21" s="139"/>
      <c r="F21" s="139"/>
      <c r="G21" s="139"/>
      <c r="H21" s="62" t="s">
        <v>1259</v>
      </c>
      <c r="I21" s="63"/>
      <c r="J21" s="62" t="s">
        <v>1260</v>
      </c>
      <c r="K21" s="62" t="s">
        <v>117</v>
      </c>
      <c r="L21" s="130" t="s">
        <v>119</v>
      </c>
      <c r="M21" s="140" t="s">
        <v>1248</v>
      </c>
      <c r="N21" s="136" t="s">
        <v>1261</v>
      </c>
      <c r="O21" s="65" t="s">
        <v>119</v>
      </c>
      <c r="P21" s="64" t="s">
        <v>163</v>
      </c>
      <c r="Q21" s="65"/>
      <c r="R21" s="66"/>
      <c r="AMD21" s="67"/>
      <c r="AME21" s="67"/>
      <c r="AMF21" s="67"/>
      <c r="AMG21" s="67"/>
      <c r="AMH21" s="67"/>
      <c r="AMI21" s="67"/>
      <c r="AMJ21" s="67"/>
    </row>
    <row r="22" s="135" customFormat="true" ht="13.5" hidden="false" customHeight="true" outlineLevel="0" collapsed="false">
      <c r="A22" s="126" t="n">
        <f aca="false">ROW()-8</f>
        <v>14</v>
      </c>
      <c r="B22" s="127"/>
      <c r="C22" s="129" t="s">
        <v>1262</v>
      </c>
      <c r="D22" s="139" t="s">
        <v>1244</v>
      </c>
      <c r="E22" s="139"/>
      <c r="F22" s="139"/>
      <c r="G22" s="139"/>
      <c r="H22" s="62" t="s">
        <v>1263</v>
      </c>
      <c r="I22" s="63"/>
      <c r="J22" s="62" t="s">
        <v>1264</v>
      </c>
      <c r="K22" s="62" t="s">
        <v>163</v>
      </c>
      <c r="L22" s="130" t="s">
        <v>119</v>
      </c>
      <c r="M22" s="140" t="s">
        <v>1248</v>
      </c>
      <c r="N22" s="136" t="s">
        <v>1265</v>
      </c>
      <c r="O22" s="65" t="s">
        <v>119</v>
      </c>
      <c r="P22" s="65" t="s">
        <v>119</v>
      </c>
      <c r="Q22" s="65"/>
      <c r="R22" s="66"/>
      <c r="AMD22" s="67"/>
      <c r="AME22" s="67"/>
      <c r="AMF22" s="67"/>
      <c r="AMG22" s="67"/>
      <c r="AMH22" s="67"/>
      <c r="AMI22" s="67"/>
      <c r="AMJ22" s="67"/>
    </row>
    <row r="23" s="135" customFormat="true" ht="13.5" hidden="false" customHeight="true" outlineLevel="0" collapsed="false">
      <c r="A23" s="126" t="n">
        <f aca="false">ROW()-8</f>
        <v>15</v>
      </c>
      <c r="B23" s="127"/>
      <c r="C23" s="129" t="s">
        <v>1266</v>
      </c>
      <c r="D23" s="139" t="s">
        <v>1244</v>
      </c>
      <c r="E23" s="139"/>
      <c r="F23" s="139"/>
      <c r="G23" s="139"/>
      <c r="H23" s="62" t="s">
        <v>1267</v>
      </c>
      <c r="I23" s="63"/>
      <c r="J23" s="62" t="s">
        <v>1268</v>
      </c>
      <c r="K23" s="62" t="s">
        <v>163</v>
      </c>
      <c r="L23" s="130" t="s">
        <v>119</v>
      </c>
      <c r="M23" s="140" t="s">
        <v>1248</v>
      </c>
      <c r="N23" s="136" t="s">
        <v>1269</v>
      </c>
      <c r="O23" s="65" t="s">
        <v>119</v>
      </c>
      <c r="P23" s="65" t="s">
        <v>119</v>
      </c>
      <c r="Q23" s="65"/>
      <c r="R23" s="66"/>
      <c r="AMD23" s="67"/>
      <c r="AME23" s="67"/>
      <c r="AMF23" s="67"/>
      <c r="AMG23" s="67"/>
      <c r="AMH23" s="67"/>
      <c r="AMI23" s="67"/>
      <c r="AMJ23" s="67"/>
    </row>
    <row r="24" s="135" customFormat="true" ht="13.5" hidden="false" customHeight="true" outlineLevel="0" collapsed="false">
      <c r="A24" s="126" t="n">
        <f aca="false">ROW()-8</f>
        <v>16</v>
      </c>
      <c r="B24" s="127"/>
      <c r="C24" s="129" t="s">
        <v>1270</v>
      </c>
      <c r="D24" s="139"/>
      <c r="E24" s="139"/>
      <c r="F24" s="139"/>
      <c r="G24" s="139"/>
      <c r="H24" s="136" t="s">
        <v>1271</v>
      </c>
      <c r="I24" s="63"/>
      <c r="J24" s="62" t="s">
        <v>1272</v>
      </c>
      <c r="K24" s="62" t="s">
        <v>163</v>
      </c>
      <c r="L24" s="130" t="s">
        <v>119</v>
      </c>
      <c r="M24" s="140" t="s">
        <v>1273</v>
      </c>
      <c r="N24" s="136"/>
      <c r="O24" s="65"/>
      <c r="P24" s="65" t="s">
        <v>119</v>
      </c>
      <c r="Q24" s="65" t="s">
        <v>119</v>
      </c>
      <c r="R24" s="66"/>
      <c r="AMD24" s="67"/>
      <c r="AME24" s="67"/>
      <c r="AMF24" s="67"/>
      <c r="AMG24" s="67"/>
      <c r="AMH24" s="67"/>
      <c r="AMI24" s="67"/>
      <c r="AMJ24" s="67"/>
    </row>
    <row r="25" s="135" customFormat="true" ht="13.5" hidden="false" customHeight="true" outlineLevel="0" collapsed="false">
      <c r="A25" s="126" t="n">
        <f aca="false">ROW()-8</f>
        <v>17</v>
      </c>
      <c r="B25" s="127"/>
      <c r="C25" s="129"/>
      <c r="D25" s="129" t="s">
        <v>1274</v>
      </c>
      <c r="E25" s="129"/>
      <c r="F25" s="129"/>
      <c r="G25" s="129"/>
      <c r="H25" s="136" t="s">
        <v>1275</v>
      </c>
      <c r="I25" s="63" t="s">
        <v>1276</v>
      </c>
      <c r="J25" s="62" t="s">
        <v>143</v>
      </c>
      <c r="K25" s="62" t="s">
        <v>163</v>
      </c>
      <c r="L25" s="130"/>
      <c r="M25" s="62" t="s">
        <v>118</v>
      </c>
      <c r="N25" s="136" t="s">
        <v>1277</v>
      </c>
      <c r="O25" s="65"/>
      <c r="P25" s="65" t="s">
        <v>119</v>
      </c>
      <c r="Q25" s="65" t="s">
        <v>119</v>
      </c>
      <c r="R25" s="66"/>
      <c r="AMD25" s="67"/>
      <c r="AME25" s="67"/>
      <c r="AMF25" s="67"/>
      <c r="AMG25" s="67"/>
      <c r="AMH25" s="67"/>
      <c r="AMI25" s="67"/>
      <c r="AMJ25" s="67"/>
    </row>
    <row r="26" s="135" customFormat="true" ht="13.5" hidden="false" customHeight="true" outlineLevel="0" collapsed="false">
      <c r="A26" s="126" t="n">
        <f aca="false">ROW()-8</f>
        <v>18</v>
      </c>
      <c r="B26" s="127"/>
      <c r="C26" s="129"/>
      <c r="D26" s="129" t="s">
        <v>1278</v>
      </c>
      <c r="E26" s="129"/>
      <c r="F26" s="129"/>
      <c r="G26" s="129"/>
      <c r="H26" s="62" t="s">
        <v>1279</v>
      </c>
      <c r="I26" s="63" t="s">
        <v>1280</v>
      </c>
      <c r="J26" s="62" t="s">
        <v>1281</v>
      </c>
      <c r="K26" s="62" t="s">
        <v>163</v>
      </c>
      <c r="L26" s="130"/>
      <c r="M26" s="62" t="s">
        <v>118</v>
      </c>
      <c r="N26" s="142" t="s">
        <v>1282</v>
      </c>
      <c r="O26" s="65"/>
      <c r="P26" s="65"/>
      <c r="Q26" s="65"/>
      <c r="R26" s="66"/>
      <c r="AMD26" s="67"/>
      <c r="AME26" s="67"/>
      <c r="AMF26" s="67"/>
      <c r="AMG26" s="67"/>
      <c r="AMH26" s="67"/>
      <c r="AMI26" s="67"/>
      <c r="AMJ26" s="67"/>
    </row>
    <row r="27" s="135" customFormat="true" ht="13.5" hidden="false" customHeight="true" outlineLevel="0" collapsed="false">
      <c r="A27" s="126" t="n">
        <f aca="false">ROW()-8</f>
        <v>19</v>
      </c>
      <c r="B27" s="127"/>
      <c r="C27" s="129"/>
      <c r="D27" s="129" t="s">
        <v>1283</v>
      </c>
      <c r="E27" s="129"/>
      <c r="F27" s="129"/>
      <c r="G27" s="129"/>
      <c r="H27" s="136" t="s">
        <v>1284</v>
      </c>
      <c r="I27" s="61" t="s">
        <v>1285</v>
      </c>
      <c r="J27" s="63" t="s">
        <v>1286</v>
      </c>
      <c r="K27" s="62" t="s">
        <v>163</v>
      </c>
      <c r="L27" s="130"/>
      <c r="M27" s="62" t="s">
        <v>118</v>
      </c>
      <c r="N27" s="63" t="s">
        <v>1287</v>
      </c>
      <c r="O27" s="65"/>
      <c r="P27" s="65" t="s">
        <v>119</v>
      </c>
      <c r="Q27" s="134"/>
      <c r="R27" s="66"/>
      <c r="AMD27" s="67"/>
      <c r="AME27" s="67"/>
      <c r="AMF27" s="67"/>
      <c r="AMG27" s="67"/>
      <c r="AMH27" s="67"/>
      <c r="AMI27" s="67"/>
      <c r="AMJ27" s="67"/>
    </row>
    <row r="28" s="135" customFormat="true" ht="13.5" hidden="false" customHeight="true" outlineLevel="0" collapsed="false">
      <c r="A28" s="126" t="n">
        <f aca="false">ROW()-8</f>
        <v>20</v>
      </c>
      <c r="B28" s="127"/>
      <c r="C28" s="129"/>
      <c r="D28" s="129" t="s">
        <v>1288</v>
      </c>
      <c r="E28" s="129"/>
      <c r="F28" s="129"/>
      <c r="G28" s="129"/>
      <c r="H28" s="62" t="s">
        <v>1289</v>
      </c>
      <c r="I28" s="63" t="s">
        <v>1290</v>
      </c>
      <c r="J28" s="63" t="s">
        <v>1291</v>
      </c>
      <c r="K28" s="62" t="s">
        <v>163</v>
      </c>
      <c r="L28" s="130"/>
      <c r="M28" s="62" t="s">
        <v>118</v>
      </c>
      <c r="N28" s="136" t="s">
        <v>1292</v>
      </c>
      <c r="O28" s="65"/>
      <c r="P28" s="65" t="s">
        <v>119</v>
      </c>
      <c r="Q28" s="65" t="s">
        <v>119</v>
      </c>
      <c r="R28" s="66"/>
      <c r="AMD28" s="67"/>
      <c r="AME28" s="67"/>
      <c r="AMF28" s="67"/>
      <c r="AMG28" s="67"/>
      <c r="AMH28" s="67"/>
      <c r="AMI28" s="67"/>
      <c r="AMJ28" s="67"/>
    </row>
    <row r="29" s="135" customFormat="true" ht="13.5" hidden="false" customHeight="true" outlineLevel="0" collapsed="false">
      <c r="A29" s="126" t="n">
        <f aca="false">ROW()-8</f>
        <v>21</v>
      </c>
      <c r="B29" s="127"/>
      <c r="C29" s="69"/>
      <c r="D29" s="129" t="s">
        <v>1293</v>
      </c>
      <c r="E29" s="129"/>
      <c r="F29" s="129"/>
      <c r="G29" s="129"/>
      <c r="H29" s="62" t="s">
        <v>1294</v>
      </c>
      <c r="I29" s="63" t="s">
        <v>1295</v>
      </c>
      <c r="J29" s="63" t="s">
        <v>1296</v>
      </c>
      <c r="K29" s="62" t="s">
        <v>163</v>
      </c>
      <c r="L29" s="130"/>
      <c r="M29" s="62" t="s">
        <v>118</v>
      </c>
      <c r="N29" s="62" t="s">
        <v>1297</v>
      </c>
      <c r="O29" s="65"/>
      <c r="P29" s="143" t="s">
        <v>119</v>
      </c>
      <c r="Q29" s="65" t="s">
        <v>119</v>
      </c>
      <c r="R29" s="66"/>
      <c r="AMD29" s="67"/>
      <c r="AME29" s="67"/>
      <c r="AMF29" s="67"/>
      <c r="AMG29" s="67"/>
      <c r="AMH29" s="67"/>
      <c r="AMI29" s="67"/>
      <c r="AMJ29" s="67"/>
    </row>
    <row r="30" s="135" customFormat="true" ht="13.5" hidden="false" customHeight="true" outlineLevel="0" collapsed="false">
      <c r="A30" s="126" t="n">
        <f aca="false">ROW()-8</f>
        <v>22</v>
      </c>
      <c r="B30" s="127"/>
      <c r="C30" s="129" t="s">
        <v>1298</v>
      </c>
      <c r="D30" s="139"/>
      <c r="E30" s="139"/>
      <c r="F30" s="139"/>
      <c r="G30" s="139"/>
      <c r="H30" s="62"/>
      <c r="I30" s="63"/>
      <c r="J30" s="62" t="s">
        <v>1299</v>
      </c>
      <c r="K30" s="62" t="s">
        <v>163</v>
      </c>
      <c r="L30" s="130" t="s">
        <v>119</v>
      </c>
      <c r="M30" s="140" t="s">
        <v>1299</v>
      </c>
      <c r="N30" s="136"/>
      <c r="O30" s="65" t="s">
        <v>119</v>
      </c>
      <c r="P30" s="65"/>
      <c r="Q30" s="65"/>
      <c r="R30" s="66"/>
      <c r="AMD30" s="67"/>
      <c r="AME30" s="67"/>
      <c r="AMF30" s="67"/>
      <c r="AMG30" s="67"/>
      <c r="AMH30" s="67"/>
      <c r="AMI30" s="67"/>
      <c r="AMJ30" s="67"/>
    </row>
    <row r="31" s="135" customFormat="true" ht="13.5" hidden="false" customHeight="true" outlineLevel="0" collapsed="false">
      <c r="A31" s="126" t="n">
        <f aca="false">ROW()-8</f>
        <v>23</v>
      </c>
      <c r="B31" s="127"/>
      <c r="C31" s="129"/>
      <c r="D31" s="129" t="s">
        <v>1300</v>
      </c>
      <c r="E31" s="129"/>
      <c r="F31" s="129"/>
      <c r="G31" s="129"/>
      <c r="H31" s="62" t="s">
        <v>1301</v>
      </c>
      <c r="I31" s="63" t="s">
        <v>1302</v>
      </c>
      <c r="J31" s="62" t="s">
        <v>1303</v>
      </c>
      <c r="K31" s="62" t="s">
        <v>163</v>
      </c>
      <c r="L31" s="130"/>
      <c r="M31" s="62" t="s">
        <v>118</v>
      </c>
      <c r="N31" s="136" t="s">
        <v>1304</v>
      </c>
      <c r="O31" s="65" t="s">
        <v>119</v>
      </c>
      <c r="P31" s="65"/>
      <c r="Q31" s="65"/>
      <c r="R31" s="66"/>
      <c r="AMD31" s="67"/>
      <c r="AME31" s="67"/>
      <c r="AMF31" s="67"/>
      <c r="AMG31" s="67"/>
      <c r="AMH31" s="67"/>
      <c r="AMI31" s="67"/>
      <c r="AMJ31" s="67"/>
    </row>
    <row r="32" s="135" customFormat="true" ht="13.5" hidden="false" customHeight="true" outlineLevel="0" collapsed="false">
      <c r="A32" s="126" t="n">
        <f aca="false">ROW()-8</f>
        <v>24</v>
      </c>
      <c r="B32" s="127"/>
      <c r="C32" s="129"/>
      <c r="D32" s="129" t="s">
        <v>1305</v>
      </c>
      <c r="E32" s="129"/>
      <c r="F32" s="129"/>
      <c r="G32" s="129"/>
      <c r="H32" s="62" t="s">
        <v>1306</v>
      </c>
      <c r="I32" s="63" t="s">
        <v>1307</v>
      </c>
      <c r="J32" s="62" t="s">
        <v>1308</v>
      </c>
      <c r="K32" s="62" t="s">
        <v>163</v>
      </c>
      <c r="L32" s="130"/>
      <c r="M32" s="62" t="s">
        <v>118</v>
      </c>
      <c r="N32" s="136" t="s">
        <v>1309</v>
      </c>
      <c r="O32" s="65" t="s">
        <v>119</v>
      </c>
      <c r="P32" s="65"/>
      <c r="Q32" s="65"/>
      <c r="R32" s="66"/>
      <c r="AMD32" s="67"/>
      <c r="AME32" s="67"/>
      <c r="AMF32" s="67"/>
      <c r="AMG32" s="67"/>
      <c r="AMH32" s="67"/>
      <c r="AMI32" s="67"/>
      <c r="AMJ32" s="67"/>
    </row>
    <row r="33" s="135" customFormat="true" ht="13.5" hidden="false" customHeight="true" outlineLevel="0" collapsed="false">
      <c r="A33" s="126" t="n">
        <f aca="false">ROW()-8</f>
        <v>25</v>
      </c>
      <c r="B33" s="127"/>
      <c r="C33" s="129"/>
      <c r="D33" s="129" t="s">
        <v>1310</v>
      </c>
      <c r="E33" s="129"/>
      <c r="F33" s="129"/>
      <c r="G33" s="129"/>
      <c r="H33" s="62" t="s">
        <v>1311</v>
      </c>
      <c r="I33" s="63" t="s">
        <v>1312</v>
      </c>
      <c r="J33" s="62" t="s">
        <v>1313</v>
      </c>
      <c r="K33" s="62" t="s">
        <v>163</v>
      </c>
      <c r="L33" s="130"/>
      <c r="M33" s="62" t="s">
        <v>118</v>
      </c>
      <c r="N33" s="62"/>
      <c r="O33" s="65" t="s">
        <v>119</v>
      </c>
      <c r="P33" s="65"/>
      <c r="Q33" s="65"/>
      <c r="R33" s="66"/>
      <c r="AMD33" s="67"/>
      <c r="AME33" s="67"/>
      <c r="AMF33" s="67"/>
      <c r="AMG33" s="67"/>
      <c r="AMH33" s="67"/>
      <c r="AMI33" s="67"/>
      <c r="AMJ33" s="67"/>
    </row>
    <row r="34" s="135" customFormat="true" ht="13.5" hidden="false" customHeight="true" outlineLevel="0" collapsed="false">
      <c r="A34" s="126" t="n">
        <f aca="false">ROW()-8</f>
        <v>26</v>
      </c>
      <c r="B34" s="127" t="s">
        <v>1314</v>
      </c>
      <c r="C34" s="139"/>
      <c r="D34" s="139"/>
      <c r="E34" s="139"/>
      <c r="F34" s="139"/>
      <c r="G34" s="139"/>
      <c r="H34" s="62" t="s">
        <v>1315</v>
      </c>
      <c r="I34" s="63"/>
      <c r="J34" s="63" t="s">
        <v>1316</v>
      </c>
      <c r="K34" s="62" t="s">
        <v>117</v>
      </c>
      <c r="L34" s="130" t="s">
        <v>119</v>
      </c>
      <c r="M34" s="140" t="s">
        <v>1316</v>
      </c>
      <c r="N34" s="62"/>
      <c r="O34" s="65" t="s">
        <v>119</v>
      </c>
      <c r="P34" s="65" t="s">
        <v>119</v>
      </c>
      <c r="Q34" s="64" t="s">
        <v>163</v>
      </c>
      <c r="R34" s="66"/>
      <c r="AMD34" s="67"/>
      <c r="AME34" s="67"/>
      <c r="AMF34" s="67"/>
      <c r="AMG34" s="67"/>
      <c r="AMH34" s="67"/>
      <c r="AMI34" s="67"/>
      <c r="AMJ34" s="67"/>
    </row>
    <row r="35" s="135" customFormat="true" ht="13.5" hidden="false" customHeight="true" outlineLevel="0" collapsed="false">
      <c r="A35" s="126" t="n">
        <f aca="false">ROW()-8</f>
        <v>27</v>
      </c>
      <c r="B35" s="127"/>
      <c r="C35" s="127" t="s">
        <v>1317</v>
      </c>
      <c r="D35" s="127"/>
      <c r="E35" s="127"/>
      <c r="F35" s="127"/>
      <c r="G35" s="127"/>
      <c r="H35" s="62" t="s">
        <v>1318</v>
      </c>
      <c r="I35" s="63" t="s">
        <v>1319</v>
      </c>
      <c r="J35" s="62" t="s">
        <v>1320</v>
      </c>
      <c r="K35" s="62" t="s">
        <v>117</v>
      </c>
      <c r="L35" s="130"/>
      <c r="M35" s="62" t="s">
        <v>118</v>
      </c>
      <c r="N35" s="62"/>
      <c r="O35" s="65" t="s">
        <v>119</v>
      </c>
      <c r="P35" s="65"/>
      <c r="Q35" s="65"/>
      <c r="R35" s="66"/>
      <c r="AMD35" s="67"/>
      <c r="AME35" s="67"/>
      <c r="AMF35" s="67"/>
      <c r="AMG35" s="67"/>
      <c r="AMH35" s="67"/>
      <c r="AMI35" s="67"/>
      <c r="AMJ35" s="67"/>
    </row>
    <row r="36" s="135" customFormat="true" ht="13.5" hidden="false" customHeight="true" outlineLevel="0" collapsed="false">
      <c r="A36" s="126" t="n">
        <f aca="false">ROW()-8</f>
        <v>28</v>
      </c>
      <c r="B36" s="127"/>
      <c r="C36" s="141" t="s">
        <v>1321</v>
      </c>
      <c r="D36" s="141"/>
      <c r="E36" s="144"/>
      <c r="F36" s="144"/>
      <c r="G36" s="144"/>
      <c r="H36" s="62" t="s">
        <v>1322</v>
      </c>
      <c r="I36" s="63" t="s">
        <v>1323</v>
      </c>
      <c r="J36" s="62" t="s">
        <v>1324</v>
      </c>
      <c r="K36" s="62" t="s">
        <v>163</v>
      </c>
      <c r="L36" s="130"/>
      <c r="M36" s="62" t="s">
        <v>118</v>
      </c>
      <c r="N36" s="62"/>
      <c r="O36" s="65" t="s">
        <v>119</v>
      </c>
      <c r="P36" s="65"/>
      <c r="Q36" s="65"/>
      <c r="R36" s="66"/>
      <c r="AMD36" s="145"/>
      <c r="AME36" s="145"/>
      <c r="AMF36" s="145"/>
      <c r="AMG36" s="145"/>
      <c r="AMH36" s="145"/>
      <c r="AMI36" s="145"/>
      <c r="AMJ36" s="145"/>
    </row>
    <row r="37" s="135" customFormat="true" ht="13.5" hidden="false" customHeight="true" outlineLevel="0" collapsed="false">
      <c r="A37" s="126" t="n">
        <f aca="false">ROW()-8</f>
        <v>29</v>
      </c>
      <c r="B37" s="127"/>
      <c r="C37" s="127" t="s">
        <v>1325</v>
      </c>
      <c r="D37" s="127"/>
      <c r="E37" s="127"/>
      <c r="F37" s="127"/>
      <c r="G37" s="127"/>
      <c r="H37" s="136" t="s">
        <v>1326</v>
      </c>
      <c r="I37" s="63" t="s">
        <v>1327</v>
      </c>
      <c r="J37" s="62" t="s">
        <v>126</v>
      </c>
      <c r="K37" s="62" t="s">
        <v>163</v>
      </c>
      <c r="L37" s="130"/>
      <c r="M37" s="62" t="s">
        <v>118</v>
      </c>
      <c r="N37" s="136"/>
      <c r="O37" s="65" t="s">
        <v>119</v>
      </c>
      <c r="P37" s="65" t="s">
        <v>119</v>
      </c>
      <c r="Q37" s="65"/>
      <c r="R37" s="66"/>
      <c r="AMD37" s="67"/>
      <c r="AME37" s="67"/>
      <c r="AMF37" s="67"/>
      <c r="AMG37" s="67"/>
      <c r="AMH37" s="67"/>
      <c r="AMI37" s="67"/>
      <c r="AMJ37" s="67"/>
    </row>
    <row r="38" s="135" customFormat="true" ht="13.5" hidden="false" customHeight="true" outlineLevel="0" collapsed="false">
      <c r="A38" s="126" t="n">
        <f aca="false">ROW()-8</f>
        <v>30</v>
      </c>
      <c r="B38" s="127"/>
      <c r="C38" s="129" t="s">
        <v>1328</v>
      </c>
      <c r="D38" s="139"/>
      <c r="E38" s="133"/>
      <c r="F38" s="133"/>
      <c r="G38" s="133"/>
      <c r="H38" s="62" t="s">
        <v>1329</v>
      </c>
      <c r="I38" s="63"/>
      <c r="J38" s="63" t="s">
        <v>1330</v>
      </c>
      <c r="K38" s="62" t="s">
        <v>1247</v>
      </c>
      <c r="L38" s="130" t="s">
        <v>119</v>
      </c>
      <c r="M38" s="146" t="s">
        <v>1330</v>
      </c>
      <c r="N38" s="147"/>
      <c r="O38" s="148" t="s">
        <v>119</v>
      </c>
      <c r="P38" s="143" t="s">
        <v>119</v>
      </c>
      <c r="Q38" s="65"/>
      <c r="R38" s="66"/>
      <c r="AMD38" s="67"/>
      <c r="AME38" s="67"/>
      <c r="AMF38" s="67"/>
      <c r="AMG38" s="67"/>
      <c r="AMH38" s="67"/>
      <c r="AMI38" s="67"/>
      <c r="AMJ38" s="67"/>
    </row>
    <row r="39" s="135" customFormat="true" ht="13.5" hidden="false" customHeight="true" outlineLevel="0" collapsed="false">
      <c r="A39" s="126" t="n">
        <f aca="false">ROW()-8</f>
        <v>31</v>
      </c>
      <c r="B39" s="127"/>
      <c r="C39" s="129"/>
      <c r="D39" s="129" t="s">
        <v>1331</v>
      </c>
      <c r="E39" s="129"/>
      <c r="F39" s="129"/>
      <c r="G39" s="129"/>
      <c r="H39" s="62" t="s">
        <v>1332</v>
      </c>
      <c r="I39" s="63" t="s">
        <v>1333</v>
      </c>
      <c r="J39" s="63" t="s">
        <v>162</v>
      </c>
      <c r="K39" s="62" t="s">
        <v>117</v>
      </c>
      <c r="L39" s="130"/>
      <c r="M39" s="62" t="s">
        <v>118</v>
      </c>
      <c r="N39" s="137" t="s">
        <v>1334</v>
      </c>
      <c r="O39" s="148" t="s">
        <v>119</v>
      </c>
      <c r="P39" s="143" t="s">
        <v>119</v>
      </c>
      <c r="Q39" s="65"/>
      <c r="R39" s="66"/>
      <c r="AMD39" s="67"/>
      <c r="AME39" s="67"/>
      <c r="AMF39" s="67"/>
      <c r="AMG39" s="67"/>
      <c r="AMH39" s="67"/>
      <c r="AMI39" s="67"/>
      <c r="AMJ39" s="67"/>
    </row>
    <row r="40" s="135" customFormat="true" ht="13.5" hidden="false" customHeight="true" outlineLevel="0" collapsed="false">
      <c r="A40" s="126" t="n">
        <f aca="false">ROW()-8</f>
        <v>32</v>
      </c>
      <c r="B40" s="127"/>
      <c r="C40" s="129"/>
      <c r="D40" s="129" t="s">
        <v>1335</v>
      </c>
      <c r="E40" s="129"/>
      <c r="F40" s="129"/>
      <c r="G40" s="129"/>
      <c r="H40" s="62" t="s">
        <v>1336</v>
      </c>
      <c r="I40" s="63" t="s">
        <v>1337</v>
      </c>
      <c r="J40" s="63" t="s">
        <v>1338</v>
      </c>
      <c r="K40" s="62" t="s">
        <v>117</v>
      </c>
      <c r="L40" s="130"/>
      <c r="M40" s="62" t="s">
        <v>118</v>
      </c>
      <c r="N40" s="137" t="s">
        <v>1339</v>
      </c>
      <c r="O40" s="148" t="s">
        <v>119</v>
      </c>
      <c r="P40" s="143" t="s">
        <v>119</v>
      </c>
      <c r="Q40" s="65"/>
      <c r="R40" s="66"/>
      <c r="AMD40" s="67"/>
      <c r="AME40" s="67"/>
      <c r="AMF40" s="67"/>
      <c r="AMG40" s="67"/>
      <c r="AMH40" s="67"/>
      <c r="AMI40" s="67"/>
      <c r="AMJ40" s="67"/>
    </row>
    <row r="41" s="135" customFormat="true" ht="13.5" hidden="false" customHeight="true" outlineLevel="0" collapsed="false">
      <c r="A41" s="126" t="n">
        <f aca="false">ROW()-8</f>
        <v>33</v>
      </c>
      <c r="B41" s="127"/>
      <c r="C41" s="127" t="s">
        <v>1340</v>
      </c>
      <c r="D41" s="139"/>
      <c r="E41" s="139"/>
      <c r="F41" s="139"/>
      <c r="G41" s="139"/>
      <c r="H41" s="62"/>
      <c r="I41" s="63"/>
      <c r="J41" s="63" t="s">
        <v>1341</v>
      </c>
      <c r="K41" s="62" t="s">
        <v>163</v>
      </c>
      <c r="L41" s="130" t="s">
        <v>119</v>
      </c>
      <c r="M41" s="140" t="s">
        <v>1341</v>
      </c>
      <c r="N41" s="62"/>
      <c r="O41" s="65" t="s">
        <v>119</v>
      </c>
      <c r="P41" s="65" t="s">
        <v>119</v>
      </c>
      <c r="Q41" s="65"/>
      <c r="R41" s="66"/>
      <c r="AMD41" s="67"/>
      <c r="AME41" s="67"/>
      <c r="AMF41" s="67"/>
      <c r="AMG41" s="67"/>
      <c r="AMH41" s="67"/>
      <c r="AMI41" s="67"/>
      <c r="AMJ41" s="67"/>
    </row>
    <row r="42" s="135" customFormat="true" ht="13.5" hidden="false" customHeight="true" outlineLevel="0" collapsed="false">
      <c r="A42" s="126" t="n">
        <f aca="false">ROW()-8</f>
        <v>34</v>
      </c>
      <c r="B42" s="127"/>
      <c r="C42" s="127"/>
      <c r="D42" s="129" t="s">
        <v>1342</v>
      </c>
      <c r="E42" s="139"/>
      <c r="F42" s="139"/>
      <c r="G42" s="139"/>
      <c r="H42" s="62" t="s">
        <v>1343</v>
      </c>
      <c r="I42" s="63"/>
      <c r="J42" s="63" t="s">
        <v>1344</v>
      </c>
      <c r="K42" s="62" t="s">
        <v>163</v>
      </c>
      <c r="L42" s="130" t="s">
        <v>119</v>
      </c>
      <c r="M42" s="149" t="s">
        <v>1344</v>
      </c>
      <c r="N42" s="62"/>
      <c r="O42" s="65"/>
      <c r="P42" s="65" t="s">
        <v>119</v>
      </c>
      <c r="Q42" s="65"/>
      <c r="R42" s="66"/>
      <c r="AMD42" s="67"/>
      <c r="AME42" s="67"/>
      <c r="AMF42" s="67"/>
      <c r="AMG42" s="67"/>
      <c r="AMH42" s="67"/>
      <c r="AMI42" s="67"/>
      <c r="AMJ42" s="67"/>
    </row>
    <row r="43" s="135" customFormat="true" ht="13.5" hidden="false" customHeight="true" outlineLevel="0" collapsed="false">
      <c r="A43" s="126" t="n">
        <f aca="false">ROW()-8</f>
        <v>35</v>
      </c>
      <c r="B43" s="127"/>
      <c r="C43" s="127"/>
      <c r="D43" s="129"/>
      <c r="E43" s="129" t="s">
        <v>1345</v>
      </c>
      <c r="F43" s="129"/>
      <c r="G43" s="129"/>
      <c r="H43" s="62" t="s">
        <v>1346</v>
      </c>
      <c r="I43" s="63" t="s">
        <v>1347</v>
      </c>
      <c r="J43" s="63" t="s">
        <v>126</v>
      </c>
      <c r="K43" s="62" t="s">
        <v>163</v>
      </c>
      <c r="L43" s="130"/>
      <c r="M43" s="62" t="s">
        <v>118</v>
      </c>
      <c r="N43" s="62"/>
      <c r="O43" s="65"/>
      <c r="P43" s="65" t="s">
        <v>119</v>
      </c>
      <c r="Q43" s="65"/>
      <c r="R43" s="66"/>
      <c r="AMD43" s="67"/>
      <c r="AME43" s="67"/>
      <c r="AMF43" s="67"/>
      <c r="AMG43" s="67"/>
      <c r="AMH43" s="67"/>
      <c r="AMI43" s="67"/>
      <c r="AMJ43" s="67"/>
    </row>
    <row r="44" s="135" customFormat="true" ht="13.5" hidden="false" customHeight="true" outlineLevel="0" collapsed="false">
      <c r="A44" s="126" t="n">
        <f aca="false">ROW()-8</f>
        <v>36</v>
      </c>
      <c r="B44" s="127"/>
      <c r="C44" s="127"/>
      <c r="D44" s="129"/>
      <c r="E44" s="129" t="s">
        <v>1348</v>
      </c>
      <c r="F44" s="129"/>
      <c r="G44" s="129"/>
      <c r="H44" s="63" t="s">
        <v>1349</v>
      </c>
      <c r="I44" s="63" t="s">
        <v>1350</v>
      </c>
      <c r="J44" s="63" t="s">
        <v>1351</v>
      </c>
      <c r="K44" s="62" t="s">
        <v>163</v>
      </c>
      <c r="L44" s="130"/>
      <c r="M44" s="62" t="s">
        <v>118</v>
      </c>
      <c r="N44" s="62"/>
      <c r="O44" s="65"/>
      <c r="P44" s="65" t="s">
        <v>119</v>
      </c>
      <c r="Q44" s="65"/>
      <c r="R44" s="66"/>
      <c r="AMD44" s="67"/>
      <c r="AME44" s="67"/>
      <c r="AMF44" s="67"/>
      <c r="AMG44" s="67"/>
      <c r="AMH44" s="67"/>
      <c r="AMI44" s="67"/>
      <c r="AMJ44" s="67"/>
    </row>
    <row r="45" s="135" customFormat="true" ht="13.5" hidden="false" customHeight="true" outlineLevel="0" collapsed="false">
      <c r="A45" s="126" t="n">
        <f aca="false">ROW()-8</f>
        <v>37</v>
      </c>
      <c r="B45" s="127"/>
      <c r="C45" s="127"/>
      <c r="D45" s="129"/>
      <c r="E45" s="129" t="s">
        <v>1352</v>
      </c>
      <c r="F45" s="129"/>
      <c r="G45" s="129"/>
      <c r="H45" s="63" t="s">
        <v>1353</v>
      </c>
      <c r="I45" s="63" t="s">
        <v>1354</v>
      </c>
      <c r="J45" s="63" t="s">
        <v>1355</v>
      </c>
      <c r="K45" s="62" t="s">
        <v>163</v>
      </c>
      <c r="L45" s="130"/>
      <c r="M45" s="62" t="s">
        <v>118</v>
      </c>
      <c r="N45" s="62"/>
      <c r="O45" s="65"/>
      <c r="P45" s="65" t="s">
        <v>119</v>
      </c>
      <c r="Q45" s="65"/>
      <c r="R45" s="66"/>
      <c r="AMD45" s="67"/>
      <c r="AME45" s="67"/>
      <c r="AMF45" s="67"/>
      <c r="AMG45" s="67"/>
      <c r="AMH45" s="67"/>
      <c r="AMI45" s="67"/>
      <c r="AMJ45" s="67"/>
    </row>
    <row r="46" s="135" customFormat="true" ht="13.5" hidden="false" customHeight="true" outlineLevel="0" collapsed="false">
      <c r="A46" s="126" t="n">
        <f aca="false">ROW()-8</f>
        <v>38</v>
      </c>
      <c r="B46" s="127"/>
      <c r="C46" s="127"/>
      <c r="D46" s="129" t="s">
        <v>1356</v>
      </c>
      <c r="E46" s="132"/>
      <c r="F46" s="69"/>
      <c r="G46" s="69"/>
      <c r="H46" s="63" t="s">
        <v>1357</v>
      </c>
      <c r="I46" s="63" t="s">
        <v>1358</v>
      </c>
      <c r="J46" s="63" t="s">
        <v>1359</v>
      </c>
      <c r="K46" s="62" t="s">
        <v>117</v>
      </c>
      <c r="L46" s="130"/>
      <c r="M46" s="62" t="s">
        <v>118</v>
      </c>
      <c r="N46" s="62" t="s">
        <v>1360</v>
      </c>
      <c r="O46" s="65" t="s">
        <v>119</v>
      </c>
      <c r="P46" s="65" t="s">
        <v>119</v>
      </c>
      <c r="Q46" s="65"/>
      <c r="R46" s="66"/>
      <c r="AMD46" s="67"/>
      <c r="AME46" s="67"/>
      <c r="AMF46" s="67"/>
      <c r="AMG46" s="67"/>
      <c r="AMH46" s="67"/>
      <c r="AMI46" s="67"/>
      <c r="AMJ46" s="67"/>
    </row>
    <row r="47" s="135" customFormat="true" ht="13.5" hidden="false" customHeight="true" outlineLevel="0" collapsed="false">
      <c r="A47" s="126" t="n">
        <f aca="false">ROW()-8</f>
        <v>39</v>
      </c>
      <c r="B47" s="127"/>
      <c r="C47" s="150"/>
      <c r="D47" s="129" t="s">
        <v>1361</v>
      </c>
      <c r="E47" s="133"/>
      <c r="F47" s="133"/>
      <c r="G47" s="133"/>
      <c r="H47" s="62" t="s">
        <v>1362</v>
      </c>
      <c r="I47" s="63" t="s">
        <v>1363</v>
      </c>
      <c r="J47" s="63" t="s">
        <v>1364</v>
      </c>
      <c r="K47" s="62" t="s">
        <v>163</v>
      </c>
      <c r="L47" s="130"/>
      <c r="M47" s="62" t="s">
        <v>118</v>
      </c>
      <c r="N47" s="62"/>
      <c r="O47" s="65" t="s">
        <v>119</v>
      </c>
      <c r="P47" s="65" t="s">
        <v>119</v>
      </c>
      <c r="Q47" s="65"/>
      <c r="R47" s="66"/>
      <c r="AMD47" s="151"/>
      <c r="AME47" s="151"/>
      <c r="AMF47" s="151"/>
      <c r="AMG47" s="151"/>
      <c r="AMH47" s="151"/>
      <c r="AMI47" s="151"/>
      <c r="AMJ47" s="151"/>
    </row>
    <row r="48" s="135" customFormat="true" ht="13.5" hidden="false" customHeight="true" outlineLevel="0" collapsed="false">
      <c r="A48" s="126" t="n">
        <f aca="false">ROW()-8</f>
        <v>40</v>
      </c>
      <c r="B48" s="127"/>
      <c r="C48" s="150"/>
      <c r="D48" s="129" t="s">
        <v>1365</v>
      </c>
      <c r="E48" s="139"/>
      <c r="F48" s="139"/>
      <c r="G48" s="139"/>
      <c r="H48" s="62" t="s">
        <v>1366</v>
      </c>
      <c r="I48" s="63"/>
      <c r="J48" s="63" t="s">
        <v>1367</v>
      </c>
      <c r="K48" s="62" t="s">
        <v>163</v>
      </c>
      <c r="L48" s="130" t="s">
        <v>119</v>
      </c>
      <c r="M48" s="140" t="s">
        <v>1367</v>
      </c>
      <c r="N48" s="62"/>
      <c r="O48" s="65" t="s">
        <v>119</v>
      </c>
      <c r="P48" s="65" t="s">
        <v>119</v>
      </c>
      <c r="Q48" s="65"/>
      <c r="R48" s="66"/>
      <c r="AMD48" s="151"/>
      <c r="AME48" s="151"/>
      <c r="AMF48" s="151"/>
      <c r="AMG48" s="151"/>
      <c r="AMH48" s="151"/>
      <c r="AMI48" s="151"/>
      <c r="AMJ48" s="151"/>
    </row>
    <row r="49" s="135" customFormat="true" ht="13.5" hidden="false" customHeight="true" outlineLevel="0" collapsed="false">
      <c r="A49" s="126" t="n">
        <f aca="false">ROW()-8</f>
        <v>41</v>
      </c>
      <c r="B49" s="127"/>
      <c r="C49" s="150"/>
      <c r="D49" s="129"/>
      <c r="E49" s="129" t="s">
        <v>1368</v>
      </c>
      <c r="F49" s="129"/>
      <c r="G49" s="129"/>
      <c r="H49" s="62" t="s">
        <v>1369</v>
      </c>
      <c r="I49" s="63" t="s">
        <v>1370</v>
      </c>
      <c r="J49" s="63" t="s">
        <v>1359</v>
      </c>
      <c r="K49" s="62" t="s">
        <v>117</v>
      </c>
      <c r="L49" s="130"/>
      <c r="M49" s="62" t="s">
        <v>118</v>
      </c>
      <c r="N49" s="62" t="s">
        <v>1371</v>
      </c>
      <c r="O49" s="65" t="s">
        <v>119</v>
      </c>
      <c r="P49" s="65" t="s">
        <v>119</v>
      </c>
      <c r="Q49" s="65"/>
      <c r="R49" s="66"/>
      <c r="AMD49" s="151"/>
      <c r="AME49" s="151"/>
      <c r="AMF49" s="151"/>
      <c r="AMG49" s="151"/>
      <c r="AMH49" s="151"/>
      <c r="AMI49" s="151"/>
      <c r="AMJ49" s="151"/>
    </row>
    <row r="50" s="135" customFormat="true" ht="13.5" hidden="false" customHeight="true" outlineLevel="0" collapsed="false">
      <c r="A50" s="126" t="n">
        <f aca="false">ROW()-8</f>
        <v>42</v>
      </c>
      <c r="B50" s="127"/>
      <c r="C50" s="127"/>
      <c r="D50" s="129"/>
      <c r="E50" s="129" t="s">
        <v>1372</v>
      </c>
      <c r="F50" s="129"/>
      <c r="G50" s="129"/>
      <c r="H50" s="62" t="s">
        <v>1373</v>
      </c>
      <c r="I50" s="63" t="s">
        <v>1374</v>
      </c>
      <c r="J50" s="63" t="s">
        <v>1281</v>
      </c>
      <c r="K50" s="62" t="s">
        <v>163</v>
      </c>
      <c r="L50" s="130"/>
      <c r="M50" s="62" t="s">
        <v>118</v>
      </c>
      <c r="N50" s="62"/>
      <c r="O50" s="65" t="s">
        <v>119</v>
      </c>
      <c r="P50" s="65" t="s">
        <v>119</v>
      </c>
      <c r="Q50" s="65"/>
      <c r="R50" s="66"/>
      <c r="AMD50" s="67"/>
      <c r="AME50" s="67"/>
      <c r="AMF50" s="67"/>
      <c r="AMG50" s="67"/>
      <c r="AMH50" s="67"/>
      <c r="AMI50" s="67"/>
      <c r="AMJ50" s="67"/>
    </row>
    <row r="51" s="135" customFormat="true" ht="13.5" hidden="false" customHeight="true" outlineLevel="0" collapsed="false">
      <c r="A51" s="126" t="n">
        <f aca="false">ROW()-8</f>
        <v>43</v>
      </c>
      <c r="B51" s="127"/>
      <c r="C51" s="127"/>
      <c r="D51" s="129"/>
      <c r="E51" s="129" t="s">
        <v>1345</v>
      </c>
      <c r="F51" s="129"/>
      <c r="G51" s="129"/>
      <c r="H51" s="62" t="s">
        <v>1375</v>
      </c>
      <c r="I51" s="63" t="s">
        <v>1376</v>
      </c>
      <c r="J51" s="63" t="s">
        <v>126</v>
      </c>
      <c r="K51" s="62" t="s">
        <v>163</v>
      </c>
      <c r="L51" s="130"/>
      <c r="M51" s="62" t="s">
        <v>118</v>
      </c>
      <c r="N51" s="62"/>
      <c r="O51" s="65" t="s">
        <v>119</v>
      </c>
      <c r="P51" s="65" t="s">
        <v>119</v>
      </c>
      <c r="Q51" s="65"/>
      <c r="R51" s="66"/>
      <c r="AMD51" s="67"/>
      <c r="AME51" s="67"/>
      <c r="AMF51" s="67"/>
      <c r="AMG51" s="67"/>
      <c r="AMH51" s="67"/>
      <c r="AMI51" s="67"/>
      <c r="AMJ51" s="67"/>
    </row>
    <row r="52" s="135" customFormat="true" ht="13.5" hidden="false" customHeight="true" outlineLevel="0" collapsed="false">
      <c r="A52" s="126" t="n">
        <f aca="false">ROW()-8</f>
        <v>44</v>
      </c>
      <c r="B52" s="127"/>
      <c r="C52" s="127" t="s">
        <v>1377</v>
      </c>
      <c r="D52" s="139"/>
      <c r="E52" s="139"/>
      <c r="F52" s="139"/>
      <c r="G52" s="139"/>
      <c r="H52" s="62" t="s">
        <v>1378</v>
      </c>
      <c r="I52" s="63"/>
      <c r="J52" s="63" t="s">
        <v>1379</v>
      </c>
      <c r="K52" s="62" t="s">
        <v>163</v>
      </c>
      <c r="L52" s="130" t="s">
        <v>119</v>
      </c>
      <c r="M52" s="140" t="s">
        <v>1379</v>
      </c>
      <c r="N52" s="62"/>
      <c r="O52" s="65" t="s">
        <v>119</v>
      </c>
      <c r="P52" s="65" t="s">
        <v>119</v>
      </c>
      <c r="Q52" s="65"/>
      <c r="R52" s="66"/>
      <c r="AMD52" s="67"/>
      <c r="AME52" s="67"/>
      <c r="AMF52" s="67"/>
      <c r="AMG52" s="67"/>
      <c r="AMH52" s="67"/>
      <c r="AMI52" s="67"/>
      <c r="AMJ52" s="67"/>
    </row>
    <row r="53" s="135" customFormat="true" ht="13.5" hidden="false" customHeight="true" outlineLevel="0" collapsed="false">
      <c r="A53" s="126" t="n">
        <f aca="false">ROW()-8</f>
        <v>45</v>
      </c>
      <c r="B53" s="127"/>
      <c r="C53" s="127"/>
      <c r="D53" s="129" t="s">
        <v>1380</v>
      </c>
      <c r="E53" s="127"/>
      <c r="F53" s="127"/>
      <c r="G53" s="127"/>
      <c r="H53" s="62" t="s">
        <v>1381</v>
      </c>
      <c r="I53" s="63" t="s">
        <v>1382</v>
      </c>
      <c r="J53" s="63" t="s">
        <v>126</v>
      </c>
      <c r="K53" s="62" t="s">
        <v>163</v>
      </c>
      <c r="L53" s="130"/>
      <c r="M53" s="62" t="s">
        <v>118</v>
      </c>
      <c r="N53" s="62"/>
      <c r="O53" s="65" t="s">
        <v>119</v>
      </c>
      <c r="P53" s="65" t="s">
        <v>119</v>
      </c>
      <c r="Q53" s="65"/>
      <c r="R53" s="66"/>
      <c r="AMD53" s="61"/>
      <c r="AME53" s="61"/>
      <c r="AMF53" s="61"/>
      <c r="AMG53" s="61"/>
      <c r="AMH53" s="61"/>
      <c r="AMI53" s="61"/>
      <c r="AMJ53" s="61"/>
    </row>
    <row r="54" s="135" customFormat="true" ht="13.5" hidden="false" customHeight="true" outlineLevel="0" collapsed="false">
      <c r="A54" s="126" t="n">
        <f aca="false">ROW()-8</f>
        <v>46</v>
      </c>
      <c r="B54" s="127"/>
      <c r="C54" s="127"/>
      <c r="D54" s="129" t="s">
        <v>1383</v>
      </c>
      <c r="E54" s="127"/>
      <c r="F54" s="127"/>
      <c r="G54" s="127"/>
      <c r="H54" s="62" t="s">
        <v>1384</v>
      </c>
      <c r="I54" s="63" t="n">
        <v>59350</v>
      </c>
      <c r="J54" s="63" t="s">
        <v>1385</v>
      </c>
      <c r="K54" s="62" t="s">
        <v>163</v>
      </c>
      <c r="L54" s="130"/>
      <c r="M54" s="62" t="s">
        <v>118</v>
      </c>
      <c r="N54" s="62" t="s">
        <v>1386</v>
      </c>
      <c r="O54" s="65" t="s">
        <v>119</v>
      </c>
      <c r="P54" s="65" t="s">
        <v>119</v>
      </c>
      <c r="Q54" s="65"/>
      <c r="R54" s="66"/>
      <c r="AMD54" s="67"/>
      <c r="AME54" s="67"/>
      <c r="AMF54" s="67"/>
      <c r="AMG54" s="67"/>
      <c r="AMH54" s="67"/>
      <c r="AMI54" s="67"/>
      <c r="AMJ54" s="67"/>
    </row>
    <row r="55" s="135" customFormat="true" ht="13.5" hidden="false" customHeight="true" outlineLevel="0" collapsed="false">
      <c r="A55" s="126" t="n">
        <f aca="false">ROW()-8</f>
        <v>47</v>
      </c>
      <c r="B55" s="127"/>
      <c r="C55" s="127"/>
      <c r="D55" s="129" t="s">
        <v>1387</v>
      </c>
      <c r="E55" s="129"/>
      <c r="F55" s="129"/>
      <c r="G55" s="129"/>
      <c r="H55" s="136" t="s">
        <v>1388</v>
      </c>
      <c r="I55" s="63" t="s">
        <v>1389</v>
      </c>
      <c r="J55" s="63" t="s">
        <v>1390</v>
      </c>
      <c r="K55" s="62" t="s">
        <v>163</v>
      </c>
      <c r="L55" s="130"/>
      <c r="M55" s="152" t="s">
        <v>118</v>
      </c>
      <c r="N55" s="62"/>
      <c r="O55" s="65" t="s">
        <v>119</v>
      </c>
      <c r="P55" s="65"/>
      <c r="Q55" s="65"/>
      <c r="R55" s="66"/>
      <c r="AMD55" s="67"/>
      <c r="AME55" s="67"/>
      <c r="AMF55" s="67"/>
      <c r="AMG55" s="67"/>
      <c r="AMH55" s="67"/>
      <c r="AMI55" s="67"/>
      <c r="AMJ55" s="67"/>
    </row>
    <row r="56" s="135" customFormat="true" ht="12.75" hidden="false" customHeight="true" outlineLevel="0" collapsed="false">
      <c r="A56" s="126" t="n">
        <f aca="false">ROW()-8</f>
        <v>48</v>
      </c>
      <c r="B56" s="127"/>
      <c r="C56" s="127" t="s">
        <v>1391</v>
      </c>
      <c r="D56" s="139"/>
      <c r="E56" s="139"/>
      <c r="F56" s="139"/>
      <c r="G56" s="139"/>
      <c r="H56" s="62" t="s">
        <v>1392</v>
      </c>
      <c r="I56" s="63"/>
      <c r="J56" s="63" t="s">
        <v>1393</v>
      </c>
      <c r="K56" s="62" t="s">
        <v>163</v>
      </c>
      <c r="L56" s="130" t="s">
        <v>119</v>
      </c>
      <c r="M56" s="140" t="s">
        <v>1393</v>
      </c>
      <c r="N56" s="62"/>
      <c r="O56" s="65" t="s">
        <v>119</v>
      </c>
      <c r="P56" s="65" t="s">
        <v>119</v>
      </c>
      <c r="Q56" s="65"/>
      <c r="R56" s="66"/>
      <c r="AMD56" s="153"/>
      <c r="AME56" s="153"/>
      <c r="AMF56" s="153"/>
      <c r="AMG56" s="153"/>
      <c r="AMH56" s="153"/>
      <c r="AMI56" s="153"/>
      <c r="AMJ56" s="153"/>
    </row>
    <row r="57" s="135" customFormat="true" ht="12.75" hidden="false" customHeight="true" outlineLevel="0" collapsed="false">
      <c r="A57" s="126" t="n">
        <f aca="false">ROW()-8</f>
        <v>49</v>
      </c>
      <c r="B57" s="127"/>
      <c r="C57" s="127"/>
      <c r="D57" s="129" t="s">
        <v>1394</v>
      </c>
      <c r="E57" s="133"/>
      <c r="F57" s="133"/>
      <c r="G57" s="133"/>
      <c r="H57" s="62" t="s">
        <v>1395</v>
      </c>
      <c r="I57" s="63" t="s">
        <v>1396</v>
      </c>
      <c r="J57" s="63" t="s">
        <v>1397</v>
      </c>
      <c r="K57" s="62" t="s">
        <v>163</v>
      </c>
      <c r="L57" s="130"/>
      <c r="M57" s="152" t="s">
        <v>118</v>
      </c>
      <c r="N57" s="62"/>
      <c r="O57" s="65" t="s">
        <v>119</v>
      </c>
      <c r="P57" s="65" t="s">
        <v>119</v>
      </c>
      <c r="Q57" s="65"/>
      <c r="R57" s="66"/>
      <c r="AMD57" s="153"/>
      <c r="AME57" s="153"/>
      <c r="AMF57" s="153"/>
      <c r="AMG57" s="153"/>
      <c r="AMH57" s="153"/>
      <c r="AMI57" s="153"/>
      <c r="AMJ57" s="153"/>
    </row>
    <row r="58" s="135" customFormat="true" ht="12.75" hidden="false" customHeight="true" outlineLevel="0" collapsed="false">
      <c r="A58" s="126" t="n">
        <f aca="false">ROW()-8</f>
        <v>50</v>
      </c>
      <c r="B58" s="127"/>
      <c r="C58" s="127"/>
      <c r="D58" s="129" t="s">
        <v>1398</v>
      </c>
      <c r="E58" s="133"/>
      <c r="F58" s="133"/>
      <c r="G58" s="133"/>
      <c r="H58" s="62" t="s">
        <v>1399</v>
      </c>
      <c r="I58" s="63" t="s">
        <v>1400</v>
      </c>
      <c r="J58" s="63" t="s">
        <v>1401</v>
      </c>
      <c r="K58" s="62" t="s">
        <v>163</v>
      </c>
      <c r="L58" s="130"/>
      <c r="M58" s="152" t="s">
        <v>118</v>
      </c>
      <c r="N58" s="62"/>
      <c r="O58" s="65" t="s">
        <v>119</v>
      </c>
      <c r="P58" s="65" t="s">
        <v>119</v>
      </c>
      <c r="Q58" s="65"/>
      <c r="R58" s="66"/>
      <c r="AMD58" s="153"/>
      <c r="AME58" s="153"/>
      <c r="AMF58" s="153"/>
      <c r="AMG58" s="153"/>
      <c r="AMH58" s="153"/>
      <c r="AMI58" s="153"/>
      <c r="AMJ58" s="153"/>
    </row>
    <row r="59" s="135" customFormat="true" ht="12.75" hidden="false" customHeight="true" outlineLevel="0" collapsed="false">
      <c r="A59" s="126" t="n">
        <f aca="false">ROW()-8</f>
        <v>51</v>
      </c>
      <c r="B59" s="127"/>
      <c r="C59" s="150"/>
      <c r="D59" s="129" t="s">
        <v>1402</v>
      </c>
      <c r="E59" s="133"/>
      <c r="F59" s="133"/>
      <c r="G59" s="133"/>
      <c r="H59" s="62" t="s">
        <v>1403</v>
      </c>
      <c r="I59" s="63" t="s">
        <v>1404</v>
      </c>
      <c r="J59" s="63" t="s">
        <v>1405</v>
      </c>
      <c r="K59" s="62" t="s">
        <v>163</v>
      </c>
      <c r="L59" s="130"/>
      <c r="M59" s="152" t="s">
        <v>118</v>
      </c>
      <c r="N59" s="62"/>
      <c r="O59" s="65" t="s">
        <v>119</v>
      </c>
      <c r="P59" s="65" t="s">
        <v>119</v>
      </c>
      <c r="Q59" s="65"/>
      <c r="R59" s="66"/>
      <c r="AMD59" s="154"/>
      <c r="AME59" s="154"/>
      <c r="AMF59" s="154"/>
      <c r="AMG59" s="154"/>
      <c r="AMH59" s="154"/>
      <c r="AMI59" s="154"/>
      <c r="AMJ59" s="154"/>
    </row>
    <row r="60" s="135" customFormat="true" ht="12.75" hidden="false" customHeight="true" outlineLevel="0" collapsed="false">
      <c r="A60" s="126" t="n">
        <f aca="false">ROW()-8</f>
        <v>52</v>
      </c>
      <c r="B60" s="127"/>
      <c r="C60" s="150"/>
      <c r="D60" s="129" t="s">
        <v>1406</v>
      </c>
      <c r="E60" s="133"/>
      <c r="F60" s="133"/>
      <c r="G60" s="133"/>
      <c r="H60" s="62" t="s">
        <v>1407</v>
      </c>
      <c r="I60" s="63" t="s">
        <v>1408</v>
      </c>
      <c r="J60" s="63" t="s">
        <v>1409</v>
      </c>
      <c r="K60" s="62" t="s">
        <v>1247</v>
      </c>
      <c r="L60" s="130"/>
      <c r="M60" s="152" t="s">
        <v>118</v>
      </c>
      <c r="N60" s="62"/>
      <c r="O60" s="65" t="s">
        <v>119</v>
      </c>
      <c r="P60" s="65" t="s">
        <v>119</v>
      </c>
      <c r="Q60" s="65"/>
      <c r="R60" s="66"/>
      <c r="AMD60" s="154"/>
      <c r="AME60" s="154"/>
      <c r="AMF60" s="154"/>
      <c r="AMG60" s="154"/>
      <c r="AMH60" s="154"/>
      <c r="AMI60" s="154"/>
      <c r="AMJ60" s="154"/>
    </row>
    <row r="61" s="135" customFormat="true" ht="12.75" hidden="false" customHeight="true" outlineLevel="0" collapsed="false">
      <c r="A61" s="126" t="n">
        <f aca="false">ROW()-8</f>
        <v>53</v>
      </c>
      <c r="B61" s="127"/>
      <c r="C61" s="150"/>
      <c r="D61" s="129" t="s">
        <v>1410</v>
      </c>
      <c r="E61" s="133"/>
      <c r="F61" s="133"/>
      <c r="G61" s="133"/>
      <c r="H61" s="62" t="s">
        <v>1411</v>
      </c>
      <c r="I61" s="63" t="s">
        <v>1412</v>
      </c>
      <c r="J61" s="63" t="s">
        <v>1413</v>
      </c>
      <c r="K61" s="62" t="s">
        <v>163</v>
      </c>
      <c r="L61" s="130"/>
      <c r="M61" s="152" t="s">
        <v>118</v>
      </c>
      <c r="N61" s="62"/>
      <c r="O61" s="65" t="s">
        <v>119</v>
      </c>
      <c r="P61" s="65" t="s">
        <v>119</v>
      </c>
      <c r="Q61" s="65"/>
      <c r="R61" s="66"/>
      <c r="AMD61" s="154"/>
      <c r="AME61" s="154"/>
      <c r="AMF61" s="154"/>
      <c r="AMG61" s="154"/>
      <c r="AMH61" s="154"/>
      <c r="AMI61" s="154"/>
      <c r="AMJ61" s="154"/>
    </row>
    <row r="62" s="135" customFormat="true" ht="12.75" hidden="false" customHeight="true" outlineLevel="0" collapsed="false">
      <c r="A62" s="126" t="n">
        <f aca="false">ROW()-8</f>
        <v>54</v>
      </c>
      <c r="B62" s="127"/>
      <c r="C62" s="150"/>
      <c r="D62" s="129" t="s">
        <v>1414</v>
      </c>
      <c r="E62" s="133"/>
      <c r="F62" s="133"/>
      <c r="G62" s="133"/>
      <c r="H62" s="62" t="s">
        <v>1415</v>
      </c>
      <c r="I62" s="63" t="s">
        <v>1416</v>
      </c>
      <c r="J62" s="63" t="s">
        <v>1417</v>
      </c>
      <c r="K62" s="62" t="s">
        <v>163</v>
      </c>
      <c r="L62" s="130"/>
      <c r="M62" s="152" t="s">
        <v>118</v>
      </c>
      <c r="N62" s="62"/>
      <c r="O62" s="65" t="s">
        <v>119</v>
      </c>
      <c r="P62" s="65" t="s">
        <v>119</v>
      </c>
      <c r="Q62" s="65"/>
      <c r="R62" s="66"/>
      <c r="AMD62" s="155"/>
      <c r="AME62" s="155"/>
      <c r="AMF62" s="155"/>
      <c r="AMG62" s="155"/>
      <c r="AMH62" s="155"/>
      <c r="AMI62" s="155"/>
      <c r="AMJ62" s="155"/>
    </row>
    <row r="63" s="135" customFormat="true" ht="12.75" hidden="false" customHeight="true" outlineLevel="0" collapsed="false">
      <c r="A63" s="126" t="n">
        <f aca="false">ROW()-8</f>
        <v>55</v>
      </c>
      <c r="B63" s="127"/>
      <c r="C63" s="156"/>
      <c r="D63" s="129" t="s">
        <v>1418</v>
      </c>
      <c r="E63" s="133"/>
      <c r="F63" s="133"/>
      <c r="G63" s="133"/>
      <c r="H63" s="62" t="s">
        <v>1419</v>
      </c>
      <c r="I63" s="62" t="s">
        <v>1419</v>
      </c>
      <c r="J63" s="63" t="s">
        <v>1420</v>
      </c>
      <c r="K63" s="62" t="s">
        <v>163</v>
      </c>
      <c r="L63" s="130"/>
      <c r="M63" s="152" t="s">
        <v>118</v>
      </c>
      <c r="N63" s="62"/>
      <c r="O63" s="65" t="s">
        <v>119</v>
      </c>
      <c r="P63" s="65" t="s">
        <v>119</v>
      </c>
      <c r="Q63" s="65"/>
      <c r="R63" s="66"/>
      <c r="AMD63" s="157"/>
      <c r="AME63" s="157"/>
      <c r="AMF63" s="157"/>
      <c r="AMG63" s="157"/>
      <c r="AMH63" s="157"/>
      <c r="AMI63" s="157"/>
      <c r="AMJ63" s="157"/>
    </row>
    <row r="64" s="135" customFormat="true" ht="12.75" hidden="false" customHeight="true" outlineLevel="0" collapsed="false">
      <c r="A64" s="126" t="n">
        <f aca="false">ROW()-8</f>
        <v>56</v>
      </c>
      <c r="B64" s="127"/>
      <c r="C64" s="156"/>
      <c r="D64" s="129" t="s">
        <v>1421</v>
      </c>
      <c r="E64" s="133"/>
      <c r="F64" s="133"/>
      <c r="G64" s="133"/>
      <c r="H64" s="62" t="s">
        <v>1422</v>
      </c>
      <c r="I64" s="63" t="s">
        <v>1423</v>
      </c>
      <c r="J64" s="63" t="s">
        <v>1424</v>
      </c>
      <c r="K64" s="62" t="s">
        <v>163</v>
      </c>
      <c r="L64" s="130"/>
      <c r="M64" s="152" t="s">
        <v>118</v>
      </c>
      <c r="N64" s="62"/>
      <c r="O64" s="65" t="s">
        <v>119</v>
      </c>
      <c r="P64" s="65" t="s">
        <v>119</v>
      </c>
      <c r="Q64" s="65"/>
      <c r="R64" s="66"/>
      <c r="AMD64" s="153"/>
      <c r="AME64" s="153"/>
      <c r="AMF64" s="153"/>
      <c r="AMG64" s="153"/>
      <c r="AMH64" s="153"/>
      <c r="AMI64" s="153"/>
      <c r="AMJ64" s="153"/>
    </row>
    <row r="65" s="135" customFormat="true" ht="12.75" hidden="false" customHeight="true" outlineLevel="0" collapsed="false">
      <c r="A65" s="126" t="n">
        <f aca="false">ROW()-8</f>
        <v>57</v>
      </c>
      <c r="B65" s="127"/>
      <c r="C65" s="156"/>
      <c r="D65" s="129" t="s">
        <v>1425</v>
      </c>
      <c r="E65" s="129"/>
      <c r="F65" s="129"/>
      <c r="G65" s="129"/>
      <c r="H65" s="62" t="s">
        <v>1426</v>
      </c>
      <c r="I65" s="158" t="s">
        <v>1427</v>
      </c>
      <c r="J65" s="63" t="s">
        <v>1428</v>
      </c>
      <c r="K65" s="62" t="s">
        <v>163</v>
      </c>
      <c r="L65" s="130"/>
      <c r="M65" s="62" t="s">
        <v>118</v>
      </c>
      <c r="N65" s="62" t="s">
        <v>1429</v>
      </c>
      <c r="O65" s="65" t="s">
        <v>119</v>
      </c>
      <c r="P65" s="65" t="s">
        <v>119</v>
      </c>
      <c r="Q65" s="65"/>
      <c r="R65" s="66"/>
      <c r="AMD65" s="153"/>
      <c r="AME65" s="153"/>
      <c r="AMF65" s="153"/>
      <c r="AMG65" s="153"/>
      <c r="AMH65" s="153"/>
      <c r="AMI65" s="153"/>
      <c r="AMJ65" s="153"/>
    </row>
    <row r="66" s="135" customFormat="true" ht="13.5" hidden="false" customHeight="true" outlineLevel="0" collapsed="false">
      <c r="A66" s="126" t="n">
        <f aca="false">ROW()-8</f>
        <v>58</v>
      </c>
      <c r="B66" s="127"/>
      <c r="C66" s="127" t="s">
        <v>1430</v>
      </c>
      <c r="D66" s="139"/>
      <c r="E66" s="139"/>
      <c r="F66" s="139"/>
      <c r="G66" s="139"/>
      <c r="H66" s="62" t="s">
        <v>1431</v>
      </c>
      <c r="I66" s="63"/>
      <c r="J66" s="63" t="s">
        <v>1432</v>
      </c>
      <c r="K66" s="62" t="s">
        <v>163</v>
      </c>
      <c r="L66" s="130" t="s">
        <v>119</v>
      </c>
      <c r="M66" s="140" t="s">
        <v>1432</v>
      </c>
      <c r="N66" s="62"/>
      <c r="O66" s="65" t="s">
        <v>119</v>
      </c>
      <c r="P66" s="65" t="s">
        <v>119</v>
      </c>
      <c r="Q66" s="65"/>
      <c r="R66" s="66"/>
      <c r="AMD66" s="67"/>
      <c r="AME66" s="67"/>
      <c r="AMF66" s="67"/>
      <c r="AMG66" s="67"/>
      <c r="AMH66" s="67"/>
      <c r="AMI66" s="67"/>
      <c r="AMJ66" s="67"/>
    </row>
    <row r="67" s="135" customFormat="true" ht="13.5" hidden="false" customHeight="true" outlineLevel="0" collapsed="false">
      <c r="A67" s="126" t="n">
        <f aca="false">ROW()-8</f>
        <v>59</v>
      </c>
      <c r="B67" s="127"/>
      <c r="C67" s="127"/>
      <c r="D67" s="129" t="s">
        <v>1433</v>
      </c>
      <c r="E67" s="129"/>
      <c r="F67" s="129"/>
      <c r="G67" s="129"/>
      <c r="H67" s="62" t="s">
        <v>1434</v>
      </c>
      <c r="I67" s="63" t="s">
        <v>1214</v>
      </c>
      <c r="J67" s="63" t="s">
        <v>134</v>
      </c>
      <c r="K67" s="62" t="s">
        <v>117</v>
      </c>
      <c r="L67" s="130"/>
      <c r="M67" s="62" t="s">
        <v>134</v>
      </c>
      <c r="N67" s="62" t="s">
        <v>1216</v>
      </c>
      <c r="O67" s="65" t="s">
        <v>119</v>
      </c>
      <c r="P67" s="65" t="s">
        <v>119</v>
      </c>
      <c r="Q67" s="65"/>
      <c r="R67" s="66"/>
      <c r="AMD67" s="67"/>
      <c r="AME67" s="67"/>
      <c r="AMF67" s="67"/>
      <c r="AMG67" s="67"/>
      <c r="AMH67" s="67"/>
      <c r="AMI67" s="67"/>
      <c r="AMJ67" s="67"/>
    </row>
    <row r="68" s="135" customFormat="true" ht="13.5" hidden="false" customHeight="true" outlineLevel="0" collapsed="false">
      <c r="A68" s="126" t="n">
        <f aca="false">ROW()-8</f>
        <v>60</v>
      </c>
      <c r="B68" s="127"/>
      <c r="C68" s="127"/>
      <c r="D68" s="127" t="s">
        <v>1435</v>
      </c>
      <c r="E68" s="139"/>
      <c r="F68" s="139"/>
      <c r="G68" s="139"/>
      <c r="H68" s="62" t="s">
        <v>1436</v>
      </c>
      <c r="I68" s="63"/>
      <c r="J68" s="63" t="s">
        <v>1437</v>
      </c>
      <c r="K68" s="62" t="s">
        <v>163</v>
      </c>
      <c r="L68" s="130" t="s">
        <v>119</v>
      </c>
      <c r="M68" s="140" t="s">
        <v>1437</v>
      </c>
      <c r="N68" s="62"/>
      <c r="O68" s="65" t="s">
        <v>119</v>
      </c>
      <c r="P68" s="65" t="s">
        <v>119</v>
      </c>
      <c r="Q68" s="65"/>
      <c r="R68" s="66"/>
      <c r="AMD68" s="67"/>
      <c r="AME68" s="67"/>
      <c r="AMF68" s="67"/>
      <c r="AMG68" s="67"/>
      <c r="AMH68" s="67"/>
      <c r="AMI68" s="67"/>
      <c r="AMJ68" s="67"/>
    </row>
    <row r="69" s="135" customFormat="true" ht="13.5" hidden="false" customHeight="true" outlineLevel="0" collapsed="false">
      <c r="A69" s="126" t="n">
        <f aca="false">ROW()-8</f>
        <v>61</v>
      </c>
      <c r="B69" s="127"/>
      <c r="C69" s="127"/>
      <c r="D69" s="127"/>
      <c r="E69" s="127" t="s">
        <v>1438</v>
      </c>
      <c r="F69" s="139"/>
      <c r="G69" s="139"/>
      <c r="H69" s="62" t="s">
        <v>1439</v>
      </c>
      <c r="I69" s="63"/>
      <c r="J69" s="63" t="s">
        <v>1440</v>
      </c>
      <c r="K69" s="62" t="s">
        <v>117</v>
      </c>
      <c r="L69" s="130" t="s">
        <v>119</v>
      </c>
      <c r="M69" s="140" t="s">
        <v>1440</v>
      </c>
      <c r="N69" s="62"/>
      <c r="O69" s="65" t="s">
        <v>119</v>
      </c>
      <c r="P69" s="65" t="s">
        <v>119</v>
      </c>
      <c r="Q69" s="65"/>
      <c r="R69" s="66"/>
      <c r="AMD69" s="67"/>
      <c r="AME69" s="67"/>
      <c r="AMF69" s="67"/>
      <c r="AMG69" s="67"/>
      <c r="AMH69" s="67"/>
      <c r="AMI69" s="67"/>
      <c r="AMJ69" s="67"/>
    </row>
    <row r="70" s="135" customFormat="true" ht="13.5" hidden="false" customHeight="true" outlineLevel="0" collapsed="false">
      <c r="A70" s="126" t="n">
        <f aca="false">ROW()-8</f>
        <v>62</v>
      </c>
      <c r="B70" s="127"/>
      <c r="C70" s="127"/>
      <c r="D70" s="127"/>
      <c r="E70" s="127"/>
      <c r="F70" s="127" t="s">
        <v>1441</v>
      </c>
      <c r="G70" s="127"/>
      <c r="H70" s="62" t="s">
        <v>1442</v>
      </c>
      <c r="I70" s="63" t="s">
        <v>1443</v>
      </c>
      <c r="J70" s="63" t="s">
        <v>1444</v>
      </c>
      <c r="K70" s="62" t="s">
        <v>117</v>
      </c>
      <c r="L70" s="130"/>
      <c r="M70" s="62" t="s">
        <v>1364</v>
      </c>
      <c r="N70" s="62"/>
      <c r="O70" s="65" t="s">
        <v>119</v>
      </c>
      <c r="P70" s="65" t="s">
        <v>119</v>
      </c>
      <c r="Q70" s="65"/>
      <c r="R70" s="66"/>
      <c r="AMD70" s="67"/>
      <c r="AME70" s="67"/>
      <c r="AMF70" s="67"/>
      <c r="AMG70" s="67"/>
      <c r="AMH70" s="67"/>
      <c r="AMI70" s="67"/>
      <c r="AMJ70" s="67"/>
    </row>
    <row r="71" s="135" customFormat="true" ht="13.5" hidden="false" customHeight="true" outlineLevel="0" collapsed="false">
      <c r="A71" s="126" t="n">
        <f aca="false">ROW()-8</f>
        <v>63</v>
      </c>
      <c r="B71" s="127"/>
      <c r="C71" s="127"/>
      <c r="D71" s="127"/>
      <c r="E71" s="127"/>
      <c r="F71" s="127" t="s">
        <v>1445</v>
      </c>
      <c r="G71" s="127"/>
      <c r="H71" s="62" t="s">
        <v>1446</v>
      </c>
      <c r="I71" s="63" t="s">
        <v>1447</v>
      </c>
      <c r="J71" s="63" t="s">
        <v>1448</v>
      </c>
      <c r="K71" s="62" t="s">
        <v>117</v>
      </c>
      <c r="L71" s="130"/>
      <c r="M71" s="62" t="s">
        <v>1364</v>
      </c>
      <c r="N71" s="62"/>
      <c r="O71" s="65" t="s">
        <v>119</v>
      </c>
      <c r="P71" s="65" t="s">
        <v>119</v>
      </c>
      <c r="Q71" s="65"/>
      <c r="R71" s="66"/>
      <c r="AMD71" s="153"/>
      <c r="AME71" s="153"/>
      <c r="AMF71" s="153"/>
      <c r="AMG71" s="153"/>
      <c r="AMH71" s="153"/>
      <c r="AMI71" s="153"/>
      <c r="AMJ71" s="153"/>
    </row>
    <row r="72" s="135" customFormat="true" ht="13.5" hidden="false" customHeight="true" outlineLevel="0" collapsed="false">
      <c r="A72" s="126" t="n">
        <f aca="false">ROW()-8</f>
        <v>64</v>
      </c>
      <c r="B72" s="127"/>
      <c r="C72" s="150"/>
      <c r="D72" s="150"/>
      <c r="E72" s="150"/>
      <c r="F72" s="150" t="s">
        <v>1449</v>
      </c>
      <c r="G72" s="133"/>
      <c r="H72" s="62" t="s">
        <v>1450</v>
      </c>
      <c r="I72" s="63" t="n">
        <v>120</v>
      </c>
      <c r="J72" s="62" t="s">
        <v>1451</v>
      </c>
      <c r="K72" s="62" t="s">
        <v>163</v>
      </c>
      <c r="L72" s="130"/>
      <c r="M72" s="62" t="s">
        <v>1364</v>
      </c>
      <c r="N72" s="62"/>
      <c r="O72" s="65" t="s">
        <v>119</v>
      </c>
      <c r="P72" s="65" t="s">
        <v>119</v>
      </c>
      <c r="Q72" s="65"/>
      <c r="R72" s="66"/>
      <c r="AMD72" s="154"/>
      <c r="AME72" s="154"/>
      <c r="AMF72" s="154"/>
      <c r="AMG72" s="154"/>
      <c r="AMH72" s="154"/>
      <c r="AMI72" s="154"/>
      <c r="AMJ72" s="154"/>
    </row>
    <row r="73" s="135" customFormat="true" ht="13.5" hidden="false" customHeight="true" outlineLevel="0" collapsed="false">
      <c r="A73" s="126" t="n">
        <f aca="false">ROW()-8</f>
        <v>65</v>
      </c>
      <c r="B73" s="127"/>
      <c r="C73" s="127"/>
      <c r="D73" s="129"/>
      <c r="E73" s="129"/>
      <c r="F73" s="129" t="s">
        <v>1452</v>
      </c>
      <c r="G73" s="133"/>
      <c r="H73" s="62" t="s">
        <v>1453</v>
      </c>
      <c r="I73" s="63" t="n">
        <v>96</v>
      </c>
      <c r="J73" s="62" t="s">
        <v>1454</v>
      </c>
      <c r="K73" s="62" t="s">
        <v>163</v>
      </c>
      <c r="L73" s="130"/>
      <c r="M73" s="62" t="s">
        <v>1364</v>
      </c>
      <c r="N73" s="62"/>
      <c r="O73" s="159" t="s">
        <v>119</v>
      </c>
      <c r="P73" s="65"/>
      <c r="Q73" s="65"/>
      <c r="R73" s="66"/>
      <c r="AMD73" s="153"/>
      <c r="AME73" s="153"/>
      <c r="AMF73" s="153"/>
      <c r="AMG73" s="153"/>
      <c r="AMH73" s="153"/>
      <c r="AMI73" s="153"/>
      <c r="AMJ73" s="153"/>
    </row>
    <row r="74" s="135" customFormat="true" ht="13.5" hidden="false" customHeight="true" outlineLevel="0" collapsed="false">
      <c r="A74" s="126" t="n">
        <f aca="false">ROW()-8</f>
        <v>66</v>
      </c>
      <c r="B74" s="127"/>
      <c r="C74" s="127"/>
      <c r="D74" s="129"/>
      <c r="E74" s="129"/>
      <c r="F74" s="129" t="s">
        <v>1455</v>
      </c>
      <c r="G74" s="133"/>
      <c r="H74" s="62" t="s">
        <v>1456</v>
      </c>
      <c r="I74" s="63" t="n">
        <v>34</v>
      </c>
      <c r="J74" s="62" t="s">
        <v>1457</v>
      </c>
      <c r="K74" s="62" t="s">
        <v>163</v>
      </c>
      <c r="L74" s="130"/>
      <c r="M74" s="62" t="s">
        <v>1364</v>
      </c>
      <c r="N74" s="136"/>
      <c r="O74" s="159" t="s">
        <v>119</v>
      </c>
      <c r="P74" s="65"/>
      <c r="Q74" s="65"/>
      <c r="R74" s="66"/>
      <c r="AMD74" s="153"/>
      <c r="AME74" s="153"/>
      <c r="AMF74" s="153"/>
      <c r="AMG74" s="153"/>
      <c r="AMH74" s="153"/>
      <c r="AMI74" s="153"/>
      <c r="AMJ74" s="153"/>
    </row>
    <row r="75" s="135" customFormat="true" ht="13.5" hidden="false" customHeight="true" outlineLevel="0" collapsed="false">
      <c r="A75" s="126" t="n">
        <f aca="false">ROW()-8</f>
        <v>67</v>
      </c>
      <c r="B75" s="127"/>
      <c r="C75" s="150"/>
      <c r="D75" s="129"/>
      <c r="E75" s="129"/>
      <c r="F75" s="129" t="s">
        <v>1458</v>
      </c>
      <c r="G75" s="129"/>
      <c r="H75" s="62" t="s">
        <v>1459</v>
      </c>
      <c r="I75" s="63" t="s">
        <v>1460</v>
      </c>
      <c r="J75" s="63" t="s">
        <v>1461</v>
      </c>
      <c r="K75" s="62" t="s">
        <v>117</v>
      </c>
      <c r="L75" s="130"/>
      <c r="M75" s="62" t="s">
        <v>118</v>
      </c>
      <c r="N75" s="136" t="s">
        <v>1462</v>
      </c>
      <c r="O75" s="65" t="s">
        <v>119</v>
      </c>
      <c r="P75" s="65" t="s">
        <v>119</v>
      </c>
      <c r="Q75" s="65"/>
      <c r="R75" s="66"/>
      <c r="AMD75" s="154"/>
      <c r="AME75" s="154"/>
      <c r="AMF75" s="154"/>
      <c r="AMG75" s="154"/>
      <c r="AMH75" s="154"/>
      <c r="AMI75" s="154"/>
      <c r="AMJ75" s="154"/>
    </row>
    <row r="76" s="135" customFormat="true" ht="13.5" hidden="false" customHeight="true" outlineLevel="0" collapsed="false">
      <c r="A76" s="126" t="n">
        <f aca="false">ROW()-8</f>
        <v>68</v>
      </c>
      <c r="B76" s="127"/>
      <c r="C76" s="150"/>
      <c r="D76" s="129"/>
      <c r="E76" s="129" t="s">
        <v>1463</v>
      </c>
      <c r="F76" s="129"/>
      <c r="G76" s="129"/>
      <c r="H76" s="62" t="s">
        <v>1464</v>
      </c>
      <c r="I76" s="63" t="s">
        <v>1465</v>
      </c>
      <c r="J76" s="63" t="s">
        <v>1466</v>
      </c>
      <c r="K76" s="62" t="s">
        <v>163</v>
      </c>
      <c r="L76" s="130"/>
      <c r="M76" s="62" t="s">
        <v>184</v>
      </c>
      <c r="N76" s="136"/>
      <c r="O76" s="65"/>
      <c r="P76" s="65" t="s">
        <v>119</v>
      </c>
      <c r="Q76" s="65"/>
      <c r="R76" s="66"/>
      <c r="AMD76" s="154"/>
      <c r="AME76" s="154"/>
      <c r="AMF76" s="154"/>
      <c r="AMG76" s="154"/>
      <c r="AMH76" s="154"/>
      <c r="AMI76" s="154"/>
      <c r="AMJ76" s="154"/>
    </row>
    <row r="77" s="135" customFormat="true" ht="13.5" hidden="false" customHeight="true" outlineLevel="0" collapsed="false">
      <c r="A77" s="126" t="n">
        <f aca="false">ROW()-8</f>
        <v>69</v>
      </c>
      <c r="B77" s="127"/>
      <c r="C77" s="127"/>
      <c r="D77" s="127"/>
      <c r="E77" s="127" t="s">
        <v>1467</v>
      </c>
      <c r="F77" s="127"/>
      <c r="G77" s="127"/>
      <c r="H77" s="62" t="s">
        <v>1468</v>
      </c>
      <c r="I77" s="63" t="s">
        <v>1469</v>
      </c>
      <c r="J77" s="63" t="s">
        <v>1470</v>
      </c>
      <c r="K77" s="62" t="s">
        <v>163</v>
      </c>
      <c r="L77" s="130"/>
      <c r="M77" s="62" t="s">
        <v>118</v>
      </c>
      <c r="N77" s="136"/>
      <c r="O77" s="65"/>
      <c r="P77" s="65"/>
      <c r="Q77" s="65"/>
      <c r="R77" s="66"/>
      <c r="AMD77" s="153"/>
      <c r="AME77" s="153"/>
      <c r="AMF77" s="153"/>
      <c r="AMG77" s="153"/>
      <c r="AMH77" s="153"/>
      <c r="AMI77" s="153"/>
      <c r="AMJ77" s="153"/>
    </row>
    <row r="78" s="135" customFormat="true" ht="12.75" hidden="false" customHeight="true" outlineLevel="0" collapsed="false">
      <c r="A78" s="126" t="n">
        <f aca="false">ROW()-8</f>
        <v>70</v>
      </c>
      <c r="B78" s="127"/>
      <c r="C78" s="127"/>
      <c r="D78" s="127" t="s">
        <v>1471</v>
      </c>
      <c r="E78" s="127"/>
      <c r="F78" s="127"/>
      <c r="G78" s="127"/>
      <c r="H78" s="62" t="s">
        <v>1472</v>
      </c>
      <c r="I78" s="63"/>
      <c r="J78" s="63" t="s">
        <v>1473</v>
      </c>
      <c r="K78" s="62" t="s">
        <v>163</v>
      </c>
      <c r="L78" s="130"/>
      <c r="M78" s="62" t="s">
        <v>118</v>
      </c>
      <c r="N78" s="136"/>
      <c r="O78" s="65" t="s">
        <v>119</v>
      </c>
      <c r="P78" s="65"/>
      <c r="Q78" s="65"/>
      <c r="R78" s="66"/>
      <c r="AMD78" s="153"/>
      <c r="AME78" s="153"/>
      <c r="AMF78" s="153"/>
      <c r="AMG78" s="153"/>
      <c r="AMH78" s="153"/>
      <c r="AMI78" s="153"/>
      <c r="AMJ78" s="153"/>
    </row>
    <row r="79" s="135" customFormat="true" ht="13.5" hidden="false" customHeight="true" outlineLevel="0" collapsed="false">
      <c r="A79" s="126" t="n">
        <f aca="false">ROW()-8</f>
        <v>71</v>
      </c>
      <c r="B79" s="127"/>
      <c r="C79" s="127" t="s">
        <v>1474</v>
      </c>
      <c r="D79" s="127"/>
      <c r="E79" s="139"/>
      <c r="F79" s="139"/>
      <c r="G79" s="139"/>
      <c r="H79" s="62" t="s">
        <v>1475</v>
      </c>
      <c r="I79" s="63"/>
      <c r="J79" s="63" t="s">
        <v>1476</v>
      </c>
      <c r="K79" s="62" t="s">
        <v>1247</v>
      </c>
      <c r="L79" s="130" t="s">
        <v>119</v>
      </c>
      <c r="M79" s="140" t="s">
        <v>1476</v>
      </c>
      <c r="N79" s="136"/>
      <c r="O79" s="65" t="s">
        <v>119</v>
      </c>
      <c r="P79" s="143" t="s">
        <v>119</v>
      </c>
      <c r="Q79" s="65" t="s">
        <v>119</v>
      </c>
      <c r="R79" s="66"/>
      <c r="AMD79" s="67"/>
      <c r="AME79" s="67"/>
      <c r="AMF79" s="67"/>
      <c r="AMG79" s="67"/>
      <c r="AMH79" s="67"/>
      <c r="AMI79" s="67"/>
      <c r="AMJ79" s="67"/>
    </row>
    <row r="80" s="135" customFormat="true" ht="13.5" hidden="false" customHeight="true" outlineLevel="0" collapsed="false">
      <c r="A80" s="126" t="n">
        <f aca="false">ROW()-8</f>
        <v>72</v>
      </c>
      <c r="B80" s="127"/>
      <c r="C80" s="127"/>
      <c r="D80" s="127" t="s">
        <v>1477</v>
      </c>
      <c r="E80" s="127"/>
      <c r="F80" s="127"/>
      <c r="G80" s="127"/>
      <c r="H80" s="62" t="s">
        <v>1478</v>
      </c>
      <c r="I80" s="63" t="s">
        <v>1479</v>
      </c>
      <c r="J80" s="63" t="s">
        <v>1313</v>
      </c>
      <c r="K80" s="62" t="s">
        <v>117</v>
      </c>
      <c r="L80" s="130"/>
      <c r="M80" s="62" t="s">
        <v>118</v>
      </c>
      <c r="N80" s="136" t="s">
        <v>1480</v>
      </c>
      <c r="O80" s="65" t="s">
        <v>119</v>
      </c>
      <c r="P80" s="143" t="s">
        <v>119</v>
      </c>
      <c r="Q80" s="65" t="s">
        <v>119</v>
      </c>
      <c r="R80" s="66"/>
      <c r="AMD80" s="67"/>
      <c r="AME80" s="67"/>
      <c r="AMF80" s="67"/>
      <c r="AMG80" s="67"/>
      <c r="AMH80" s="67"/>
      <c r="AMI80" s="67"/>
      <c r="AMJ80" s="67"/>
    </row>
    <row r="81" s="135" customFormat="true" ht="13.5" hidden="false" customHeight="true" outlineLevel="0" collapsed="false">
      <c r="A81" s="126" t="n">
        <f aca="false">ROW()-8</f>
        <v>73</v>
      </c>
      <c r="B81" s="127"/>
      <c r="C81" s="127"/>
      <c r="D81" s="127" t="s">
        <v>1481</v>
      </c>
      <c r="E81" s="127"/>
      <c r="F81" s="127"/>
      <c r="G81" s="127"/>
      <c r="H81" s="62" t="s">
        <v>1482</v>
      </c>
      <c r="I81" s="63" t="s">
        <v>1483</v>
      </c>
      <c r="J81" s="63" t="s">
        <v>1281</v>
      </c>
      <c r="K81" s="62" t="s">
        <v>163</v>
      </c>
      <c r="L81" s="130"/>
      <c r="M81" s="62" t="s">
        <v>118</v>
      </c>
      <c r="N81" s="136" t="s">
        <v>1484</v>
      </c>
      <c r="O81" s="64" t="s">
        <v>117</v>
      </c>
      <c r="P81" s="143" t="s">
        <v>119</v>
      </c>
      <c r="Q81" s="65" t="s">
        <v>119</v>
      </c>
      <c r="R81" s="66"/>
      <c r="AMD81" s="67"/>
      <c r="AME81" s="67"/>
      <c r="AMF81" s="67"/>
      <c r="AMG81" s="67"/>
      <c r="AMH81" s="67"/>
      <c r="AMI81" s="67"/>
      <c r="AMJ81" s="67"/>
    </row>
    <row r="82" s="135" customFormat="true" ht="12.75" hidden="false" customHeight="true" outlineLevel="0" collapsed="false">
      <c r="A82" s="126" t="n">
        <f aca="false">ROW()-8</f>
        <v>74</v>
      </c>
      <c r="B82" s="127"/>
      <c r="C82" s="127"/>
      <c r="D82" s="127" t="s">
        <v>1335</v>
      </c>
      <c r="E82" s="127"/>
      <c r="F82" s="127"/>
      <c r="G82" s="127"/>
      <c r="H82" s="62" t="s">
        <v>1485</v>
      </c>
      <c r="I82" s="63" t="s">
        <v>1486</v>
      </c>
      <c r="J82" s="63" t="s">
        <v>1487</v>
      </c>
      <c r="K82" s="62" t="s">
        <v>117</v>
      </c>
      <c r="L82" s="130"/>
      <c r="M82" s="152" t="s">
        <v>118</v>
      </c>
      <c r="N82" s="136"/>
      <c r="O82" s="65" t="s">
        <v>119</v>
      </c>
      <c r="P82" s="143" t="s">
        <v>119</v>
      </c>
      <c r="Q82" s="65" t="s">
        <v>119</v>
      </c>
      <c r="R82" s="66"/>
      <c r="AMD82" s="61"/>
      <c r="AME82" s="61"/>
      <c r="AMF82" s="61"/>
      <c r="AMG82" s="61"/>
      <c r="AMH82" s="61"/>
      <c r="AMI82" s="61"/>
      <c r="AMJ82" s="61"/>
    </row>
    <row r="83" s="135" customFormat="true" ht="13.5" hidden="false" customHeight="true" outlineLevel="0" collapsed="false">
      <c r="A83" s="126" t="n">
        <f aca="false">ROW()-8</f>
        <v>75</v>
      </c>
      <c r="B83" s="127"/>
      <c r="C83" s="127" t="s">
        <v>1488</v>
      </c>
      <c r="D83" s="127"/>
      <c r="E83" s="127"/>
      <c r="F83" s="127"/>
      <c r="G83" s="127"/>
      <c r="H83" s="62"/>
      <c r="I83" s="63" t="s">
        <v>1489</v>
      </c>
      <c r="J83" s="62" t="s">
        <v>1490</v>
      </c>
      <c r="K83" s="62" t="s">
        <v>117</v>
      </c>
      <c r="L83" s="130"/>
      <c r="M83" s="152" t="s">
        <v>118</v>
      </c>
      <c r="N83" s="136" t="s">
        <v>1491</v>
      </c>
      <c r="O83" s="65" t="s">
        <v>119</v>
      </c>
      <c r="P83" s="65"/>
      <c r="Q83" s="65"/>
      <c r="R83" s="66"/>
      <c r="AMD83" s="67"/>
      <c r="AME83" s="67"/>
      <c r="AMF83" s="67"/>
      <c r="AMG83" s="67"/>
      <c r="AMH83" s="67"/>
      <c r="AMI83" s="67"/>
      <c r="AMJ83" s="67"/>
    </row>
    <row r="84" s="135" customFormat="true" ht="15" hidden="false" customHeight="true" outlineLevel="0" collapsed="false">
      <c r="A84" s="126" t="n">
        <f aca="false">ROW()-8</f>
        <v>76</v>
      </c>
      <c r="B84" s="127"/>
      <c r="C84" s="127" t="s">
        <v>1492</v>
      </c>
      <c r="D84" s="127"/>
      <c r="E84" s="127"/>
      <c r="F84" s="127"/>
      <c r="G84" s="127"/>
      <c r="H84" s="62" t="s">
        <v>1493</v>
      </c>
      <c r="I84" s="63" t="s">
        <v>1494</v>
      </c>
      <c r="J84" s="63" t="s">
        <v>1313</v>
      </c>
      <c r="K84" s="62" t="s">
        <v>163</v>
      </c>
      <c r="L84" s="130"/>
      <c r="M84" s="62" t="s">
        <v>118</v>
      </c>
      <c r="N84" s="136"/>
      <c r="O84" s="65" t="s">
        <v>119</v>
      </c>
      <c r="P84" s="65" t="s">
        <v>119</v>
      </c>
      <c r="Q84" s="65"/>
      <c r="R84" s="66"/>
      <c r="AMD84" s="67"/>
      <c r="AME84" s="67"/>
      <c r="AMF84" s="67"/>
      <c r="AMG84" s="67"/>
      <c r="AMH84" s="67"/>
      <c r="AMI84" s="67"/>
      <c r="AMJ84" s="67"/>
    </row>
    <row r="85" s="135" customFormat="true" ht="13.5" hidden="false" customHeight="true" outlineLevel="0" collapsed="false">
      <c r="A85" s="126" t="n">
        <f aca="false">ROW()-8</f>
        <v>77</v>
      </c>
      <c r="B85" s="127" t="s">
        <v>1495</v>
      </c>
      <c r="C85" s="139"/>
      <c r="D85" s="139"/>
      <c r="E85" s="139"/>
      <c r="F85" s="139"/>
      <c r="G85" s="139"/>
      <c r="H85" s="62" t="s">
        <v>1496</v>
      </c>
      <c r="I85" s="63"/>
      <c r="J85" s="63" t="s">
        <v>1497</v>
      </c>
      <c r="K85" s="62" t="s">
        <v>163</v>
      </c>
      <c r="L85" s="130" t="s">
        <v>119</v>
      </c>
      <c r="M85" s="140" t="s">
        <v>1498</v>
      </c>
      <c r="N85" s="136"/>
      <c r="O85" s="65" t="s">
        <v>119</v>
      </c>
      <c r="P85" s="65" t="s">
        <v>119</v>
      </c>
      <c r="Q85" s="65" t="s">
        <v>119</v>
      </c>
      <c r="R85" s="66"/>
      <c r="AMD85" s="67"/>
      <c r="AME85" s="67"/>
      <c r="AMF85" s="67"/>
      <c r="AMG85" s="67"/>
      <c r="AMH85" s="67"/>
      <c r="AMI85" s="67"/>
      <c r="AMJ85" s="67"/>
    </row>
    <row r="86" s="135" customFormat="true" ht="13.5" hidden="false" customHeight="true" outlineLevel="0" collapsed="false">
      <c r="A86" s="126" t="n">
        <f aca="false">ROW()-8</f>
        <v>78</v>
      </c>
      <c r="B86" s="127"/>
      <c r="C86" s="129" t="s">
        <v>1499</v>
      </c>
      <c r="D86" s="129"/>
      <c r="E86" s="129"/>
      <c r="F86" s="129"/>
      <c r="G86" s="129"/>
      <c r="H86" s="62" t="s">
        <v>1500</v>
      </c>
      <c r="I86" s="63" t="s">
        <v>1501</v>
      </c>
      <c r="J86" s="63" t="s">
        <v>1502</v>
      </c>
      <c r="K86" s="62" t="s">
        <v>117</v>
      </c>
      <c r="L86" s="130"/>
      <c r="M86" s="62" t="s">
        <v>118</v>
      </c>
      <c r="N86" s="136"/>
      <c r="O86" s="65" t="s">
        <v>119</v>
      </c>
      <c r="P86" s="65"/>
      <c r="Q86" s="65"/>
      <c r="R86" s="66"/>
      <c r="AMD86" s="61"/>
      <c r="AME86" s="61"/>
      <c r="AMF86" s="61"/>
      <c r="AMG86" s="61"/>
      <c r="AMH86" s="61"/>
      <c r="AMI86" s="61"/>
      <c r="AMJ86" s="61"/>
    </row>
    <row r="87" s="135" customFormat="true" ht="13.5" hidden="false" customHeight="true" outlineLevel="0" collapsed="false">
      <c r="A87" s="126" t="n">
        <f aca="false">ROW()-8</f>
        <v>79</v>
      </c>
      <c r="B87" s="127"/>
      <c r="C87" s="129" t="s">
        <v>1503</v>
      </c>
      <c r="D87" s="127"/>
      <c r="E87" s="127"/>
      <c r="F87" s="127"/>
      <c r="G87" s="127"/>
      <c r="H87" s="62" t="s">
        <v>1504</v>
      </c>
      <c r="I87" s="63" t="s">
        <v>1505</v>
      </c>
      <c r="J87" s="63" t="s">
        <v>1506</v>
      </c>
      <c r="K87" s="62" t="s">
        <v>117</v>
      </c>
      <c r="L87" s="130"/>
      <c r="M87" s="62" t="s">
        <v>134</v>
      </c>
      <c r="N87" s="136" t="s">
        <v>1216</v>
      </c>
      <c r="O87" s="65" t="s">
        <v>119</v>
      </c>
      <c r="P87" s="65" t="s">
        <v>119</v>
      </c>
      <c r="Q87" s="134"/>
      <c r="R87" s="66"/>
      <c r="AMD87" s="67"/>
      <c r="AME87" s="67"/>
      <c r="AMF87" s="67"/>
      <c r="AMG87" s="67"/>
      <c r="AMH87" s="67"/>
      <c r="AMI87" s="67"/>
      <c r="AMJ87" s="67"/>
    </row>
    <row r="88" s="135" customFormat="true" ht="13.5" hidden="false" customHeight="true" outlineLevel="0" collapsed="false">
      <c r="A88" s="126" t="n">
        <f aca="false">ROW()-8</f>
        <v>80</v>
      </c>
      <c r="B88" s="127"/>
      <c r="C88" s="129" t="s">
        <v>1507</v>
      </c>
      <c r="D88" s="127"/>
      <c r="E88" s="133"/>
      <c r="F88" s="150"/>
      <c r="G88" s="150"/>
      <c r="H88" s="62" t="s">
        <v>1508</v>
      </c>
      <c r="I88" s="63" t="s">
        <v>1509</v>
      </c>
      <c r="J88" s="63" t="s">
        <v>1510</v>
      </c>
      <c r="K88" s="62" t="s">
        <v>117</v>
      </c>
      <c r="L88" s="130"/>
      <c r="M88" s="62" t="s">
        <v>118</v>
      </c>
      <c r="N88" s="136" t="s">
        <v>1511</v>
      </c>
      <c r="O88" s="65" t="s">
        <v>119</v>
      </c>
      <c r="P88" s="65"/>
      <c r="Q88" s="65"/>
      <c r="R88" s="66"/>
      <c r="AMD88" s="154"/>
      <c r="AME88" s="154"/>
      <c r="AMF88" s="154"/>
      <c r="AMG88" s="154"/>
      <c r="AMH88" s="154"/>
      <c r="AMI88" s="154"/>
      <c r="AMJ88" s="154"/>
    </row>
    <row r="89" s="135" customFormat="true" ht="13.5" hidden="false" customHeight="true" outlineLevel="0" collapsed="false">
      <c r="A89" s="126" t="n">
        <f aca="false">ROW()-8</f>
        <v>81</v>
      </c>
      <c r="B89" s="127"/>
      <c r="C89" s="127" t="s">
        <v>1512</v>
      </c>
      <c r="D89" s="127"/>
      <c r="E89" s="139"/>
      <c r="F89" s="139"/>
      <c r="G89" s="139"/>
      <c r="H89" s="62" t="s">
        <v>1513</v>
      </c>
      <c r="I89" s="63"/>
      <c r="J89" s="63" t="s">
        <v>1514</v>
      </c>
      <c r="K89" s="62" t="s">
        <v>1247</v>
      </c>
      <c r="L89" s="130" t="s">
        <v>119</v>
      </c>
      <c r="M89" s="140" t="s">
        <v>1514</v>
      </c>
      <c r="N89" s="62"/>
      <c r="O89" s="65" t="s">
        <v>119</v>
      </c>
      <c r="P89" s="65" t="s">
        <v>119</v>
      </c>
      <c r="Q89" s="65" t="s">
        <v>119</v>
      </c>
      <c r="R89" s="66"/>
      <c r="AMD89" s="67"/>
      <c r="AME89" s="67"/>
      <c r="AMF89" s="67"/>
      <c r="AMG89" s="67"/>
      <c r="AMH89" s="67"/>
      <c r="AMI89" s="67"/>
      <c r="AMJ89" s="67"/>
    </row>
    <row r="90" s="135" customFormat="true" ht="13.5" hidden="false" customHeight="true" outlineLevel="0" collapsed="false">
      <c r="A90" s="126" t="n">
        <f aca="false">ROW()-8</f>
        <v>82</v>
      </c>
      <c r="B90" s="127"/>
      <c r="C90" s="127"/>
      <c r="D90" s="129" t="s">
        <v>1515</v>
      </c>
      <c r="E90" s="129"/>
      <c r="F90" s="129"/>
      <c r="G90" s="129"/>
      <c r="H90" s="62" t="s">
        <v>1516</v>
      </c>
      <c r="I90" s="63"/>
      <c r="J90" s="63" t="s">
        <v>1215</v>
      </c>
      <c r="K90" s="62" t="s">
        <v>163</v>
      </c>
      <c r="L90" s="130"/>
      <c r="M90" s="62" t="s">
        <v>134</v>
      </c>
      <c r="N90" s="62" t="s">
        <v>1216</v>
      </c>
      <c r="O90" s="65" t="s">
        <v>119</v>
      </c>
      <c r="P90" s="65" t="s">
        <v>119</v>
      </c>
      <c r="Q90" s="65" t="s">
        <v>119</v>
      </c>
      <c r="R90" s="66"/>
      <c r="AMD90" s="67"/>
      <c r="AME90" s="67"/>
      <c r="AMF90" s="67"/>
      <c r="AMG90" s="67"/>
      <c r="AMH90" s="67"/>
      <c r="AMI90" s="67"/>
      <c r="AMJ90" s="67"/>
    </row>
    <row r="91" s="135" customFormat="true" ht="13.5" hidden="false" customHeight="true" outlineLevel="0" collapsed="false">
      <c r="A91" s="126" t="n">
        <f aca="false">ROW()-8</f>
        <v>83</v>
      </c>
      <c r="B91" s="127"/>
      <c r="C91" s="127"/>
      <c r="D91" s="129" t="s">
        <v>1517</v>
      </c>
      <c r="E91" s="129"/>
      <c r="F91" s="129"/>
      <c r="G91" s="129"/>
      <c r="H91" s="62" t="s">
        <v>1518</v>
      </c>
      <c r="I91" s="63" t="s">
        <v>1519</v>
      </c>
      <c r="J91" s="63" t="s">
        <v>1313</v>
      </c>
      <c r="K91" s="62" t="s">
        <v>163</v>
      </c>
      <c r="L91" s="130"/>
      <c r="M91" s="62" t="s">
        <v>118</v>
      </c>
      <c r="N91" s="62"/>
      <c r="O91" s="65" t="s">
        <v>119</v>
      </c>
      <c r="P91" s="65" t="s">
        <v>119</v>
      </c>
      <c r="Q91" s="65" t="s">
        <v>119</v>
      </c>
      <c r="R91" s="66"/>
      <c r="AMD91" s="67"/>
      <c r="AME91" s="67"/>
      <c r="AMF91" s="67"/>
      <c r="AMG91" s="67"/>
      <c r="AMH91" s="67"/>
      <c r="AMI91" s="67"/>
      <c r="AMJ91" s="67"/>
    </row>
    <row r="92" s="135" customFormat="true" ht="13.5" hidden="false" customHeight="true" outlineLevel="0" collapsed="false">
      <c r="A92" s="126" t="n">
        <f aca="false">ROW()-8</f>
        <v>84</v>
      </c>
      <c r="B92" s="127"/>
      <c r="C92" s="129" t="s">
        <v>1520</v>
      </c>
      <c r="D92" s="139"/>
      <c r="E92" s="139"/>
      <c r="F92" s="139"/>
      <c r="G92" s="139"/>
      <c r="H92" s="62" t="s">
        <v>1521</v>
      </c>
      <c r="I92" s="63"/>
      <c r="J92" s="62" t="s">
        <v>1522</v>
      </c>
      <c r="K92" s="62" t="s">
        <v>117</v>
      </c>
      <c r="L92" s="130" t="s">
        <v>119</v>
      </c>
      <c r="M92" s="140" t="s">
        <v>1522</v>
      </c>
      <c r="N92" s="62"/>
      <c r="O92" s="65" t="s">
        <v>119</v>
      </c>
      <c r="P92" s="65" t="s">
        <v>119</v>
      </c>
      <c r="Q92" s="65"/>
      <c r="R92" s="66"/>
      <c r="AMD92" s="67"/>
      <c r="AME92" s="67"/>
      <c r="AMF92" s="67"/>
      <c r="AMG92" s="67"/>
      <c r="AMH92" s="67"/>
      <c r="AMI92" s="67"/>
      <c r="AMJ92" s="67"/>
    </row>
    <row r="93" s="135" customFormat="true" ht="13.5" hidden="false" customHeight="true" outlineLevel="0" collapsed="false">
      <c r="A93" s="126" t="n">
        <f aca="false">ROW()-8</f>
        <v>85</v>
      </c>
      <c r="B93" s="127"/>
      <c r="C93" s="129"/>
      <c r="D93" s="129" t="s">
        <v>1523</v>
      </c>
      <c r="E93" s="139"/>
      <c r="F93" s="139"/>
      <c r="G93" s="139"/>
      <c r="H93" s="62" t="s">
        <v>1524</v>
      </c>
      <c r="I93" s="63"/>
      <c r="J93" s="63" t="s">
        <v>1525</v>
      </c>
      <c r="K93" s="62" t="s">
        <v>117</v>
      </c>
      <c r="L93" s="130" t="s">
        <v>119</v>
      </c>
      <c r="M93" s="140" t="s">
        <v>1526</v>
      </c>
      <c r="N93" s="136"/>
      <c r="O93" s="65" t="s">
        <v>119</v>
      </c>
      <c r="P93" s="65" t="s">
        <v>119</v>
      </c>
      <c r="Q93" s="65"/>
      <c r="R93" s="66"/>
      <c r="AMD93" s="67"/>
      <c r="AME93" s="67"/>
      <c r="AMF93" s="67"/>
      <c r="AMG93" s="67"/>
      <c r="AMH93" s="67"/>
      <c r="AMI93" s="67"/>
      <c r="AMJ93" s="67"/>
    </row>
    <row r="94" s="135" customFormat="true" ht="13.5" hidden="false" customHeight="true" outlineLevel="0" collapsed="false">
      <c r="A94" s="126" t="n">
        <f aca="false">ROW()-8</f>
        <v>86</v>
      </c>
      <c r="B94" s="127"/>
      <c r="C94" s="129"/>
      <c r="D94" s="129"/>
      <c r="E94" s="129" t="s">
        <v>1527</v>
      </c>
      <c r="F94" s="129"/>
      <c r="G94" s="129"/>
      <c r="H94" s="62" t="s">
        <v>1528</v>
      </c>
      <c r="I94" s="63" t="s">
        <v>1529</v>
      </c>
      <c r="J94" s="63" t="s">
        <v>1530</v>
      </c>
      <c r="K94" s="62" t="s">
        <v>117</v>
      </c>
      <c r="L94" s="130"/>
      <c r="M94" s="62" t="s">
        <v>118</v>
      </c>
      <c r="N94" s="136" t="s">
        <v>1531</v>
      </c>
      <c r="O94" s="159" t="s">
        <v>119</v>
      </c>
      <c r="P94" s="143" t="s">
        <v>119</v>
      </c>
      <c r="Q94" s="65"/>
      <c r="R94" s="66"/>
      <c r="AMD94" s="67"/>
      <c r="AME94" s="67"/>
      <c r="AMF94" s="67"/>
      <c r="AMG94" s="67"/>
      <c r="AMH94" s="67"/>
      <c r="AMI94" s="67"/>
      <c r="AMJ94" s="67"/>
    </row>
    <row r="95" s="135" customFormat="true" ht="13.5" hidden="false" customHeight="true" outlineLevel="0" collapsed="false">
      <c r="A95" s="126" t="n">
        <f aca="false">ROW()-8</f>
        <v>87</v>
      </c>
      <c r="B95" s="127"/>
      <c r="C95" s="129"/>
      <c r="D95" s="129"/>
      <c r="E95" s="129" t="s">
        <v>1532</v>
      </c>
      <c r="F95" s="129"/>
      <c r="G95" s="129"/>
      <c r="H95" s="62" t="s">
        <v>1533</v>
      </c>
      <c r="I95" s="63" t="s">
        <v>1534</v>
      </c>
      <c r="J95" s="63" t="s">
        <v>1281</v>
      </c>
      <c r="K95" s="62" t="s">
        <v>117</v>
      </c>
      <c r="L95" s="130"/>
      <c r="M95" s="62" t="s">
        <v>118</v>
      </c>
      <c r="N95" s="136" t="s">
        <v>1535</v>
      </c>
      <c r="O95" s="159" t="s">
        <v>119</v>
      </c>
      <c r="P95" s="143" t="s">
        <v>119</v>
      </c>
      <c r="Q95" s="65"/>
      <c r="R95" s="66"/>
      <c r="AMD95" s="67"/>
      <c r="AME95" s="67"/>
      <c r="AMF95" s="67"/>
      <c r="AMG95" s="67"/>
      <c r="AMH95" s="67"/>
      <c r="AMI95" s="67"/>
      <c r="AMJ95" s="67"/>
    </row>
    <row r="96" s="135" customFormat="true" ht="14.25" hidden="false" customHeight="true" outlineLevel="0" collapsed="false">
      <c r="A96" s="126" t="n">
        <f aca="false">ROW()-8</f>
        <v>88</v>
      </c>
      <c r="B96" s="30"/>
      <c r="C96" s="67"/>
      <c r="D96" s="67"/>
      <c r="E96" s="67" t="s">
        <v>1536</v>
      </c>
      <c r="F96" s="67"/>
      <c r="G96" s="60"/>
      <c r="H96" s="60" t="s">
        <v>1537</v>
      </c>
      <c r="I96" s="160" t="s">
        <v>1538</v>
      </c>
      <c r="J96" s="63" t="s">
        <v>1390</v>
      </c>
      <c r="K96" s="62" t="s">
        <v>117</v>
      </c>
      <c r="L96" s="130"/>
      <c r="M96" s="62" t="s">
        <v>118</v>
      </c>
      <c r="N96" s="136"/>
      <c r="O96" s="70" t="s">
        <v>119</v>
      </c>
      <c r="P96" s="70" t="s">
        <v>119</v>
      </c>
      <c r="Q96" s="65"/>
      <c r="R96" s="66"/>
      <c r="AMD96" s="0"/>
      <c r="AME96" s="0"/>
      <c r="AMF96" s="0"/>
      <c r="AMG96" s="0"/>
      <c r="AMH96" s="0"/>
      <c r="AMI96" s="0"/>
      <c r="AMJ96" s="0"/>
    </row>
    <row r="97" s="135" customFormat="true" ht="13.5" hidden="false" customHeight="true" outlineLevel="0" collapsed="false">
      <c r="A97" s="126" t="n">
        <f aca="false">ROW()-8</f>
        <v>89</v>
      </c>
      <c r="B97" s="127"/>
      <c r="C97" s="129"/>
      <c r="D97" s="129" t="s">
        <v>1539</v>
      </c>
      <c r="E97" s="139" t="s">
        <v>1540</v>
      </c>
      <c r="F97" s="139"/>
      <c r="G97" s="139"/>
      <c r="H97" s="62" t="s">
        <v>1541</v>
      </c>
      <c r="I97" s="63"/>
      <c r="J97" s="63" t="s">
        <v>1542</v>
      </c>
      <c r="K97" s="62" t="s">
        <v>163</v>
      </c>
      <c r="L97" s="130" t="s">
        <v>119</v>
      </c>
      <c r="M97" s="140" t="s">
        <v>1526</v>
      </c>
      <c r="N97" s="136"/>
      <c r="O97" s="65" t="s">
        <v>119</v>
      </c>
      <c r="P97" s="65" t="s">
        <v>119</v>
      </c>
      <c r="Q97" s="65"/>
      <c r="R97" s="66"/>
      <c r="AMD97" s="67"/>
      <c r="AME97" s="67"/>
      <c r="AMF97" s="67"/>
      <c r="AMG97" s="67"/>
      <c r="AMH97" s="67"/>
      <c r="AMI97" s="67"/>
      <c r="AMJ97" s="67"/>
    </row>
    <row r="98" s="135" customFormat="true" ht="13.5" hidden="false" customHeight="true" outlineLevel="0" collapsed="false">
      <c r="A98" s="126" t="n">
        <f aca="false">ROW()-8</f>
        <v>90</v>
      </c>
      <c r="B98" s="127"/>
      <c r="C98" s="129"/>
      <c r="D98" s="129" t="s">
        <v>1543</v>
      </c>
      <c r="E98" s="129"/>
      <c r="F98" s="129"/>
      <c r="G98" s="129"/>
      <c r="H98" s="62" t="s">
        <v>1544</v>
      </c>
      <c r="I98" s="63" t="s">
        <v>1545</v>
      </c>
      <c r="J98" s="63" t="s">
        <v>1546</v>
      </c>
      <c r="K98" s="62" t="s">
        <v>163</v>
      </c>
      <c r="L98" s="130"/>
      <c r="M98" s="62" t="s">
        <v>118</v>
      </c>
      <c r="N98" s="136" t="s">
        <v>1547</v>
      </c>
      <c r="O98" s="65" t="s">
        <v>119</v>
      </c>
      <c r="P98" s="65" t="s">
        <v>119</v>
      </c>
      <c r="Q98" s="65"/>
      <c r="R98" s="66"/>
      <c r="S98" s="161"/>
      <c r="AMD98" s="67"/>
      <c r="AME98" s="67"/>
      <c r="AMF98" s="67"/>
      <c r="AMG98" s="67"/>
      <c r="AMH98" s="67"/>
      <c r="AMI98" s="67"/>
      <c r="AMJ98" s="67"/>
    </row>
    <row r="99" s="135" customFormat="true" ht="13.5" hidden="false" customHeight="true" outlineLevel="0" collapsed="false">
      <c r="A99" s="126" t="n">
        <f aca="false">ROW()-8</f>
        <v>91</v>
      </c>
      <c r="B99" s="127"/>
      <c r="C99" s="129"/>
      <c r="D99" s="129" t="s">
        <v>1548</v>
      </c>
      <c r="E99" s="129"/>
      <c r="F99" s="129"/>
      <c r="G99" s="129"/>
      <c r="H99" s="62" t="s">
        <v>1549</v>
      </c>
      <c r="I99" s="63" t="s">
        <v>1550</v>
      </c>
      <c r="J99" s="63" t="s">
        <v>1281</v>
      </c>
      <c r="K99" s="62" t="s">
        <v>163</v>
      </c>
      <c r="L99" s="130"/>
      <c r="M99" s="62" t="s">
        <v>118</v>
      </c>
      <c r="N99" s="62" t="s">
        <v>1551</v>
      </c>
      <c r="O99" s="143" t="s">
        <v>119</v>
      </c>
      <c r="P99" s="65" t="s">
        <v>119</v>
      </c>
      <c r="Q99" s="65"/>
      <c r="R99" s="66"/>
      <c r="S99" s="161"/>
      <c r="AMD99" s="67"/>
      <c r="AME99" s="67"/>
      <c r="AMF99" s="67"/>
      <c r="AMG99" s="67"/>
      <c r="AMH99" s="67"/>
      <c r="AMI99" s="67"/>
      <c r="AMJ99" s="67"/>
    </row>
    <row r="100" s="135" customFormat="true" ht="13.5" hidden="false" customHeight="true" outlineLevel="0" collapsed="false">
      <c r="A100" s="126" t="n">
        <f aca="false">ROW()-8</f>
        <v>92</v>
      </c>
      <c r="B100" s="127"/>
      <c r="C100" s="129"/>
      <c r="D100" s="129" t="s">
        <v>1552</v>
      </c>
      <c r="E100" s="129"/>
      <c r="F100" s="129"/>
      <c r="G100" s="129"/>
      <c r="H100" s="62" t="s">
        <v>1553</v>
      </c>
      <c r="I100" s="63" t="s">
        <v>1554</v>
      </c>
      <c r="J100" s="63" t="s">
        <v>1555</v>
      </c>
      <c r="K100" s="62" t="s">
        <v>163</v>
      </c>
      <c r="L100" s="130"/>
      <c r="M100" s="62" t="s">
        <v>118</v>
      </c>
      <c r="N100" s="62" t="s">
        <v>1556</v>
      </c>
      <c r="O100" s="143" t="s">
        <v>119</v>
      </c>
      <c r="P100" s="65" t="s">
        <v>119</v>
      </c>
      <c r="Q100" s="65"/>
      <c r="R100" s="66"/>
      <c r="S100" s="161"/>
      <c r="AMD100" s="67"/>
      <c r="AME100" s="67"/>
      <c r="AMF100" s="67"/>
      <c r="AMG100" s="67"/>
      <c r="AMH100" s="67"/>
      <c r="AMI100" s="67"/>
      <c r="AMJ100" s="67"/>
    </row>
    <row r="101" s="135" customFormat="true" ht="13.5" hidden="false" customHeight="true" outlineLevel="0" collapsed="false">
      <c r="A101" s="126" t="n">
        <f aca="false">ROW()-8</f>
        <v>93</v>
      </c>
      <c r="B101" s="127"/>
      <c r="C101" s="129"/>
      <c r="D101" s="129" t="s">
        <v>1557</v>
      </c>
      <c r="E101" s="129"/>
      <c r="F101" s="129"/>
      <c r="G101" s="129"/>
      <c r="H101" s="62" t="s">
        <v>1558</v>
      </c>
      <c r="I101" s="63" t="s">
        <v>1559</v>
      </c>
      <c r="J101" s="63" t="s">
        <v>1313</v>
      </c>
      <c r="K101" s="62" t="s">
        <v>163</v>
      </c>
      <c r="L101" s="130"/>
      <c r="M101" s="62" t="s">
        <v>118</v>
      </c>
      <c r="N101" s="142"/>
      <c r="O101" s="65" t="s">
        <v>119</v>
      </c>
      <c r="P101" s="65" t="s">
        <v>119</v>
      </c>
      <c r="Q101" s="65"/>
      <c r="R101" s="66"/>
      <c r="AMD101" s="67"/>
      <c r="AME101" s="67"/>
      <c r="AMF101" s="67"/>
      <c r="AMG101" s="67"/>
      <c r="AMH101" s="67"/>
      <c r="AMI101" s="67"/>
      <c r="AMJ101" s="67"/>
    </row>
    <row r="102" s="135" customFormat="true" ht="13.5" hidden="false" customHeight="true" outlineLevel="0" collapsed="false">
      <c r="A102" s="126" t="n">
        <f aca="false">ROW()-8</f>
        <v>94</v>
      </c>
      <c r="B102" s="127"/>
      <c r="C102" s="129"/>
      <c r="D102" s="129" t="s">
        <v>1560</v>
      </c>
      <c r="E102" s="139"/>
      <c r="F102" s="139"/>
      <c r="G102" s="139"/>
      <c r="H102" s="62" t="s">
        <v>1561</v>
      </c>
      <c r="I102" s="63"/>
      <c r="J102" s="63" t="s">
        <v>1562</v>
      </c>
      <c r="K102" s="62" t="s">
        <v>163</v>
      </c>
      <c r="L102" s="130" t="s">
        <v>119</v>
      </c>
      <c r="M102" s="62" t="s">
        <v>1562</v>
      </c>
      <c r="N102" s="62"/>
      <c r="O102" s="65" t="s">
        <v>119</v>
      </c>
      <c r="P102" s="65" t="s">
        <v>119</v>
      </c>
      <c r="Q102" s="65"/>
      <c r="R102" s="66"/>
      <c r="AMD102" s="67"/>
      <c r="AME102" s="67"/>
      <c r="AMF102" s="67"/>
      <c r="AMG102" s="67"/>
      <c r="AMH102" s="67"/>
      <c r="AMI102" s="67"/>
      <c r="AMJ102" s="67"/>
    </row>
    <row r="103" s="135" customFormat="true" ht="13.5" hidden="false" customHeight="true" outlineLevel="0" collapsed="false">
      <c r="A103" s="126" t="n">
        <f aca="false">ROW()-8</f>
        <v>95</v>
      </c>
      <c r="B103" s="127"/>
      <c r="C103" s="129"/>
      <c r="D103" s="129"/>
      <c r="E103" s="129" t="s">
        <v>1563</v>
      </c>
      <c r="F103" s="129"/>
      <c r="G103" s="129"/>
      <c r="H103" s="62" t="s">
        <v>1564</v>
      </c>
      <c r="I103" s="63" t="s">
        <v>1565</v>
      </c>
      <c r="J103" s="63" t="s">
        <v>1359</v>
      </c>
      <c r="K103" s="62" t="s">
        <v>117</v>
      </c>
      <c r="L103" s="130"/>
      <c r="M103" s="62" t="s">
        <v>118</v>
      </c>
      <c r="N103" s="62" t="s">
        <v>1566</v>
      </c>
      <c r="O103" s="65" t="s">
        <v>119</v>
      </c>
      <c r="P103" s="65" t="s">
        <v>119</v>
      </c>
      <c r="Q103" s="65"/>
      <c r="R103" s="66"/>
      <c r="AMD103" s="67"/>
      <c r="AME103" s="67"/>
      <c r="AMF103" s="67"/>
      <c r="AMG103" s="67"/>
      <c r="AMH103" s="67"/>
      <c r="AMI103" s="67"/>
      <c r="AMJ103" s="67"/>
    </row>
    <row r="104" s="135" customFormat="true" ht="13.5" hidden="false" customHeight="true" outlineLevel="0" collapsed="false">
      <c r="A104" s="126" t="n">
        <f aca="false">ROW()-8</f>
        <v>96</v>
      </c>
      <c r="B104" s="127"/>
      <c r="C104" s="129"/>
      <c r="D104" s="129"/>
      <c r="E104" s="129" t="s">
        <v>1345</v>
      </c>
      <c r="F104" s="133"/>
      <c r="G104" s="133"/>
      <c r="H104" s="62" t="s">
        <v>1567</v>
      </c>
      <c r="I104" s="62" t="s">
        <v>1404</v>
      </c>
      <c r="J104" s="63" t="s">
        <v>1568</v>
      </c>
      <c r="K104" s="62" t="s">
        <v>163</v>
      </c>
      <c r="L104" s="130"/>
      <c r="M104" s="62" t="s">
        <v>118</v>
      </c>
      <c r="N104" s="62"/>
      <c r="O104" s="65" t="s">
        <v>119</v>
      </c>
      <c r="P104" s="65" t="s">
        <v>119</v>
      </c>
      <c r="Q104" s="65"/>
      <c r="R104" s="66"/>
      <c r="AMD104" s="67"/>
      <c r="AME104" s="67"/>
      <c r="AMF104" s="67"/>
      <c r="AMG104" s="67"/>
      <c r="AMH104" s="67"/>
      <c r="AMI104" s="67"/>
      <c r="AMJ104" s="67"/>
    </row>
    <row r="105" s="135" customFormat="true" ht="14.25" hidden="false" customHeight="true" outlineLevel="0" collapsed="false">
      <c r="A105" s="126" t="n">
        <f aca="false">ROW()-8</f>
        <v>97</v>
      </c>
      <c r="B105" s="127"/>
      <c r="C105" s="133"/>
      <c r="D105" s="133"/>
      <c r="E105" s="129" t="s">
        <v>1569</v>
      </c>
      <c r="F105" s="133"/>
      <c r="G105" s="133"/>
      <c r="H105" s="62" t="s">
        <v>1570</v>
      </c>
      <c r="I105" s="63" t="s">
        <v>1571</v>
      </c>
      <c r="J105" s="63" t="s">
        <v>1572</v>
      </c>
      <c r="K105" s="62" t="s">
        <v>163</v>
      </c>
      <c r="L105" s="130"/>
      <c r="M105" s="62" t="s">
        <v>118</v>
      </c>
      <c r="N105" s="62"/>
      <c r="O105" s="65" t="s">
        <v>119</v>
      </c>
      <c r="P105" s="65" t="s">
        <v>119</v>
      </c>
      <c r="Q105" s="65"/>
      <c r="R105" s="66"/>
      <c r="AMD105" s="154"/>
      <c r="AME105" s="154"/>
      <c r="AMF105" s="154"/>
      <c r="AMG105" s="154"/>
      <c r="AMH105" s="154"/>
      <c r="AMI105" s="154"/>
      <c r="AMJ105" s="154"/>
    </row>
    <row r="106" s="135" customFormat="true" ht="13.5" hidden="false" customHeight="true" outlineLevel="0" collapsed="false">
      <c r="A106" s="126" t="n">
        <f aca="false">ROW()-8</f>
        <v>98</v>
      </c>
      <c r="B106" s="127"/>
      <c r="C106" s="129" t="s">
        <v>1573</v>
      </c>
      <c r="D106" s="139" t="s">
        <v>1574</v>
      </c>
      <c r="E106" s="139"/>
      <c r="F106" s="139"/>
      <c r="G106" s="139"/>
      <c r="H106" s="62" t="s">
        <v>1575</v>
      </c>
      <c r="I106" s="63"/>
      <c r="J106" s="63" t="s">
        <v>1316</v>
      </c>
      <c r="K106" s="62" t="s">
        <v>117</v>
      </c>
      <c r="L106" s="130" t="s">
        <v>119</v>
      </c>
      <c r="M106" s="140" t="s">
        <v>1316</v>
      </c>
      <c r="N106" s="62"/>
      <c r="O106" s="65" t="s">
        <v>119</v>
      </c>
      <c r="P106" s="65"/>
      <c r="Q106" s="65"/>
      <c r="R106" s="66"/>
      <c r="AMD106" s="67"/>
      <c r="AME106" s="67"/>
      <c r="AMF106" s="67"/>
      <c r="AMG106" s="67"/>
      <c r="AMH106" s="67"/>
      <c r="AMI106" s="67"/>
      <c r="AMJ106" s="67"/>
    </row>
    <row r="107" s="135" customFormat="true" ht="13.5" hidden="false" customHeight="true" outlineLevel="0" collapsed="false">
      <c r="A107" s="126" t="n">
        <f aca="false">ROW()-8</f>
        <v>99</v>
      </c>
      <c r="B107" s="127"/>
      <c r="C107" s="129" t="s">
        <v>1235</v>
      </c>
      <c r="D107" s="139" t="s">
        <v>1576</v>
      </c>
      <c r="E107" s="139"/>
      <c r="F107" s="139"/>
      <c r="G107" s="139"/>
      <c r="H107" s="62" t="s">
        <v>1577</v>
      </c>
      <c r="I107" s="63"/>
      <c r="J107" s="63" t="s">
        <v>1237</v>
      </c>
      <c r="K107" s="62" t="s">
        <v>117</v>
      </c>
      <c r="L107" s="130" t="s">
        <v>119</v>
      </c>
      <c r="M107" s="140" t="s">
        <v>1237</v>
      </c>
      <c r="N107" s="62"/>
      <c r="O107" s="65" t="s">
        <v>119</v>
      </c>
      <c r="P107" s="65"/>
      <c r="Q107" s="65"/>
      <c r="R107" s="66"/>
      <c r="AMD107" s="67"/>
      <c r="AME107" s="67"/>
      <c r="AMF107" s="67"/>
      <c r="AMG107" s="67"/>
      <c r="AMH107" s="67"/>
      <c r="AMI107" s="67"/>
      <c r="AMJ107" s="67"/>
    </row>
    <row r="108" s="135" customFormat="true" ht="13.5" hidden="false" customHeight="true" outlineLevel="0" collapsed="false">
      <c r="A108" s="126" t="n">
        <f aca="false">ROW()-8</f>
        <v>100</v>
      </c>
      <c r="B108" s="127"/>
      <c r="C108" s="129" t="s">
        <v>1578</v>
      </c>
      <c r="D108" s="139"/>
      <c r="E108" s="139"/>
      <c r="F108" s="139"/>
      <c r="G108" s="139"/>
      <c r="H108" s="62" t="s">
        <v>1579</v>
      </c>
      <c r="I108" s="63"/>
      <c r="J108" s="63" t="s">
        <v>1580</v>
      </c>
      <c r="K108" s="62" t="s">
        <v>117</v>
      </c>
      <c r="L108" s="130" t="s">
        <v>119</v>
      </c>
      <c r="M108" s="140" t="s">
        <v>1580</v>
      </c>
      <c r="N108" s="62"/>
      <c r="O108" s="159" t="s">
        <v>119</v>
      </c>
      <c r="P108" s="65"/>
      <c r="Q108" s="65"/>
      <c r="R108" s="66"/>
      <c r="AMD108" s="67"/>
      <c r="AME108" s="67"/>
      <c r="AMF108" s="67"/>
      <c r="AMG108" s="67"/>
      <c r="AMH108" s="67"/>
      <c r="AMI108" s="67"/>
      <c r="AMJ108" s="67"/>
    </row>
    <row r="109" s="135" customFormat="true" ht="13.5" hidden="false" customHeight="true" outlineLevel="0" collapsed="false">
      <c r="A109" s="126" t="n">
        <f aca="false">ROW()-8</f>
        <v>101</v>
      </c>
      <c r="B109" s="127"/>
      <c r="C109" s="129"/>
      <c r="D109" s="127" t="s">
        <v>1581</v>
      </c>
      <c r="E109" s="127"/>
      <c r="F109" s="129"/>
      <c r="G109" s="129"/>
      <c r="H109" s="62" t="s">
        <v>1582</v>
      </c>
      <c r="I109" s="63" t="s">
        <v>1583</v>
      </c>
      <c r="J109" s="62" t="s">
        <v>1584</v>
      </c>
      <c r="K109" s="62" t="s">
        <v>117</v>
      </c>
      <c r="L109" s="130"/>
      <c r="M109" s="62" t="s">
        <v>118</v>
      </c>
      <c r="N109" s="62"/>
      <c r="O109" s="159" t="s">
        <v>119</v>
      </c>
      <c r="P109" s="65"/>
      <c r="Q109" s="65"/>
      <c r="R109" s="66"/>
      <c r="AMD109" s="67"/>
      <c r="AME109" s="67"/>
      <c r="AMF109" s="67"/>
      <c r="AMG109" s="67"/>
      <c r="AMH109" s="67"/>
      <c r="AMI109" s="67"/>
      <c r="AMJ109" s="67"/>
    </row>
    <row r="110" s="135" customFormat="true" ht="13.5" hidden="false" customHeight="true" outlineLevel="0" collapsed="false">
      <c r="A110" s="126" t="n">
        <f aca="false">ROW()-8</f>
        <v>102</v>
      </c>
      <c r="B110" s="127"/>
      <c r="C110" s="129"/>
      <c r="D110" s="127" t="s">
        <v>1585</v>
      </c>
      <c r="E110" s="127"/>
      <c r="F110" s="129"/>
      <c r="G110" s="129"/>
      <c r="H110" s="62" t="s">
        <v>1586</v>
      </c>
      <c r="I110" s="63" t="s">
        <v>1587</v>
      </c>
      <c r="J110" s="62" t="s">
        <v>1588</v>
      </c>
      <c r="K110" s="62" t="s">
        <v>117</v>
      </c>
      <c r="L110" s="130"/>
      <c r="M110" s="62" t="s">
        <v>118</v>
      </c>
      <c r="N110" s="62"/>
      <c r="O110" s="159" t="s">
        <v>119</v>
      </c>
      <c r="P110" s="65"/>
      <c r="Q110" s="65"/>
      <c r="R110" s="66"/>
      <c r="AMD110" s="67"/>
      <c r="AME110" s="67"/>
      <c r="AMF110" s="67"/>
      <c r="AMG110" s="67"/>
      <c r="AMH110" s="67"/>
      <c r="AMI110" s="67"/>
      <c r="AMJ110" s="67"/>
    </row>
    <row r="111" s="135" customFormat="true" ht="13.5" hidden="false" customHeight="true" outlineLevel="0" collapsed="false">
      <c r="A111" s="126" t="n">
        <f aca="false">ROW()-8</f>
        <v>103</v>
      </c>
      <c r="B111" s="127"/>
      <c r="C111" s="129"/>
      <c r="D111" s="129" t="s">
        <v>1589</v>
      </c>
      <c r="E111" s="129"/>
      <c r="F111" s="129"/>
      <c r="G111" s="129"/>
      <c r="H111" s="62" t="s">
        <v>1590</v>
      </c>
      <c r="I111" s="63" t="s">
        <v>1591</v>
      </c>
      <c r="J111" s="63" t="s">
        <v>1592</v>
      </c>
      <c r="K111" s="62" t="s">
        <v>163</v>
      </c>
      <c r="L111" s="130"/>
      <c r="M111" s="62" t="s">
        <v>118</v>
      </c>
      <c r="N111" s="62"/>
      <c r="O111" s="65" t="s">
        <v>119</v>
      </c>
      <c r="P111" s="65"/>
      <c r="Q111" s="65"/>
      <c r="R111" s="66"/>
      <c r="AMD111" s="67"/>
      <c r="AME111" s="67"/>
      <c r="AMF111" s="67"/>
      <c r="AMG111" s="67"/>
      <c r="AMH111" s="67"/>
      <c r="AMI111" s="67"/>
      <c r="AMJ111" s="67"/>
    </row>
    <row r="112" s="135" customFormat="true" ht="13.5" hidden="false" customHeight="true" outlineLevel="0" collapsed="false">
      <c r="A112" s="126" t="n">
        <f aca="false">ROW()-8</f>
        <v>104</v>
      </c>
      <c r="B112" s="127"/>
      <c r="C112" s="129"/>
      <c r="D112" s="127" t="s">
        <v>1593</v>
      </c>
      <c r="E112" s="139" t="s">
        <v>1540</v>
      </c>
      <c r="F112" s="139"/>
      <c r="G112" s="139"/>
      <c r="H112" s="62" t="s">
        <v>1594</v>
      </c>
      <c r="I112" s="63"/>
      <c r="J112" s="63" t="s">
        <v>1595</v>
      </c>
      <c r="K112" s="62" t="s">
        <v>163</v>
      </c>
      <c r="L112" s="130" t="s">
        <v>119</v>
      </c>
      <c r="M112" s="140" t="s">
        <v>1526</v>
      </c>
      <c r="N112" s="62"/>
      <c r="O112" s="65" t="s">
        <v>119</v>
      </c>
      <c r="P112" s="65"/>
      <c r="Q112" s="65"/>
      <c r="R112" s="66"/>
      <c r="AMD112" s="67"/>
      <c r="AME112" s="67"/>
      <c r="AMF112" s="67"/>
      <c r="AMG112" s="67"/>
      <c r="AMH112" s="67"/>
      <c r="AMI112" s="67"/>
      <c r="AMJ112" s="67"/>
    </row>
    <row r="113" s="135" customFormat="true" ht="13.5" hidden="false" customHeight="true" outlineLevel="0" collapsed="false">
      <c r="A113" s="126" t="n">
        <f aca="false">ROW()-8</f>
        <v>105</v>
      </c>
      <c r="B113" s="127"/>
      <c r="C113" s="129"/>
      <c r="D113" s="127" t="s">
        <v>1596</v>
      </c>
      <c r="E113" s="129"/>
      <c r="F113" s="129"/>
      <c r="G113" s="129"/>
      <c r="H113" s="62" t="s">
        <v>1597</v>
      </c>
      <c r="I113" s="63" t="s">
        <v>1598</v>
      </c>
      <c r="J113" s="62" t="s">
        <v>1599</v>
      </c>
      <c r="K113" s="62" t="s">
        <v>163</v>
      </c>
      <c r="L113" s="130"/>
      <c r="M113" s="62" t="s">
        <v>118</v>
      </c>
      <c r="N113" s="62"/>
      <c r="O113" s="65" t="s">
        <v>119</v>
      </c>
      <c r="P113" s="65"/>
      <c r="Q113" s="65"/>
      <c r="R113" s="66"/>
      <c r="AMD113" s="67"/>
      <c r="AME113" s="67"/>
      <c r="AMF113" s="67"/>
      <c r="AMG113" s="67"/>
      <c r="AMH113" s="67"/>
      <c r="AMI113" s="67"/>
      <c r="AMJ113" s="67"/>
    </row>
    <row r="114" s="135" customFormat="true" ht="13.5" hidden="false" customHeight="true" outlineLevel="0" collapsed="false">
      <c r="A114" s="126" t="n">
        <f aca="false">ROW()-8</f>
        <v>106</v>
      </c>
      <c r="B114" s="127"/>
      <c r="C114" s="129" t="s">
        <v>1600</v>
      </c>
      <c r="D114" s="139"/>
      <c r="E114" s="139"/>
      <c r="F114" s="139"/>
      <c r="G114" s="139"/>
      <c r="H114" s="62" t="s">
        <v>1601</v>
      </c>
      <c r="I114" s="63"/>
      <c r="J114" s="63" t="s">
        <v>1602</v>
      </c>
      <c r="K114" s="62" t="s">
        <v>1247</v>
      </c>
      <c r="L114" s="130" t="s">
        <v>119</v>
      </c>
      <c r="M114" s="140" t="s">
        <v>1602</v>
      </c>
      <c r="N114" s="62"/>
      <c r="O114" s="65" t="s">
        <v>119</v>
      </c>
      <c r="P114" s="65"/>
      <c r="Q114" s="65"/>
      <c r="R114" s="66"/>
      <c r="AMD114" s="162"/>
      <c r="AME114" s="162"/>
      <c r="AMF114" s="162"/>
      <c r="AMG114" s="162"/>
      <c r="AMH114" s="162"/>
      <c r="AMI114" s="162"/>
      <c r="AMJ114" s="162"/>
    </row>
    <row r="115" s="135" customFormat="true" ht="13.5" hidden="false" customHeight="true" outlineLevel="0" collapsed="false">
      <c r="A115" s="126" t="n">
        <f aca="false">ROW()-8</f>
        <v>107</v>
      </c>
      <c r="B115" s="127"/>
      <c r="C115" s="129"/>
      <c r="D115" s="129" t="s">
        <v>1603</v>
      </c>
      <c r="E115" s="129"/>
      <c r="F115" s="129"/>
      <c r="G115" s="129"/>
      <c r="H115" s="62" t="s">
        <v>1604</v>
      </c>
      <c r="I115" s="63" t="s">
        <v>1605</v>
      </c>
      <c r="J115" s="63" t="s">
        <v>1606</v>
      </c>
      <c r="K115" s="62" t="s">
        <v>163</v>
      </c>
      <c r="L115" s="130"/>
      <c r="M115" s="62" t="s">
        <v>118</v>
      </c>
      <c r="N115" s="62"/>
      <c r="O115" s="65" t="s">
        <v>119</v>
      </c>
      <c r="P115" s="65"/>
      <c r="Q115" s="65"/>
      <c r="R115" s="66"/>
      <c r="AMD115" s="162"/>
      <c r="AME115" s="162"/>
      <c r="AMF115" s="162"/>
      <c r="AMG115" s="162"/>
      <c r="AMH115" s="162"/>
      <c r="AMI115" s="162"/>
      <c r="AMJ115" s="162"/>
    </row>
    <row r="116" s="135" customFormat="true" ht="13.5" hidden="false" customHeight="true" outlineLevel="0" collapsed="false">
      <c r="A116" s="126" t="n">
        <f aca="false">ROW()-8</f>
        <v>108</v>
      </c>
      <c r="B116" s="127"/>
      <c r="C116" s="129"/>
      <c r="D116" s="129" t="s">
        <v>1607</v>
      </c>
      <c r="E116" s="129"/>
      <c r="F116" s="129"/>
      <c r="G116" s="129"/>
      <c r="H116" s="62" t="s">
        <v>1608</v>
      </c>
      <c r="I116" s="63" t="s">
        <v>1609</v>
      </c>
      <c r="J116" s="62" t="s">
        <v>1610</v>
      </c>
      <c r="K116" s="62" t="s">
        <v>163</v>
      </c>
      <c r="L116" s="130"/>
      <c r="M116" s="62" t="s">
        <v>118</v>
      </c>
      <c r="N116" s="62"/>
      <c r="O116" s="65" t="s">
        <v>119</v>
      </c>
      <c r="P116" s="65"/>
      <c r="Q116" s="65"/>
      <c r="R116" s="66"/>
      <c r="AMD116" s="162"/>
      <c r="AME116" s="162"/>
      <c r="AMF116" s="162"/>
      <c r="AMG116" s="162"/>
      <c r="AMH116" s="162"/>
      <c r="AMI116" s="162"/>
      <c r="AMJ116" s="162"/>
    </row>
    <row r="117" s="135" customFormat="true" ht="13.5" hidden="false" customHeight="true" outlineLevel="0" collapsed="false">
      <c r="A117" s="126" t="n">
        <f aca="false">ROW()-8</f>
        <v>109</v>
      </c>
      <c r="B117" s="127"/>
      <c r="C117" s="129"/>
      <c r="D117" s="129" t="s">
        <v>1611</v>
      </c>
      <c r="E117" s="129"/>
      <c r="F117" s="129"/>
      <c r="G117" s="129"/>
      <c r="H117" s="62" t="s">
        <v>1612</v>
      </c>
      <c r="I117" s="63" t="s">
        <v>1613</v>
      </c>
      <c r="J117" s="62" t="s">
        <v>1614</v>
      </c>
      <c r="K117" s="62" t="s">
        <v>163</v>
      </c>
      <c r="L117" s="130"/>
      <c r="M117" s="62" t="s">
        <v>1615</v>
      </c>
      <c r="N117" s="62"/>
      <c r="O117" s="65" t="s">
        <v>119</v>
      </c>
      <c r="P117" s="65"/>
      <c r="Q117" s="65"/>
      <c r="R117" s="66"/>
      <c r="AMD117" s="162"/>
      <c r="AME117" s="162"/>
      <c r="AMF117" s="162"/>
      <c r="AMG117" s="162"/>
      <c r="AMH117" s="162"/>
      <c r="AMI117" s="162"/>
      <c r="AMJ117" s="162"/>
    </row>
    <row r="118" s="135" customFormat="true" ht="13.5" hidden="false" customHeight="true" outlineLevel="0" collapsed="false">
      <c r="A118" s="126" t="n">
        <f aca="false">ROW()-8</f>
        <v>110</v>
      </c>
      <c r="B118" s="127"/>
      <c r="C118" s="129"/>
      <c r="D118" s="129" t="s">
        <v>130</v>
      </c>
      <c r="E118" s="129"/>
      <c r="F118" s="129"/>
      <c r="G118" s="129"/>
      <c r="H118" s="62" t="s">
        <v>1616</v>
      </c>
      <c r="I118" s="163" t="s">
        <v>1617</v>
      </c>
      <c r="J118" s="62" t="s">
        <v>130</v>
      </c>
      <c r="K118" s="62" t="s">
        <v>117</v>
      </c>
      <c r="L118" s="130"/>
      <c r="M118" s="62" t="s">
        <v>118</v>
      </c>
      <c r="N118" s="62"/>
      <c r="O118" s="65" t="s">
        <v>119</v>
      </c>
      <c r="P118" s="65"/>
      <c r="Q118" s="65"/>
      <c r="R118" s="66"/>
      <c r="AMD118" s="162"/>
      <c r="AME118" s="162"/>
      <c r="AMF118" s="162"/>
      <c r="AMG118" s="162"/>
      <c r="AMH118" s="162"/>
      <c r="AMI118" s="162"/>
      <c r="AMJ118" s="162"/>
    </row>
    <row r="119" s="135" customFormat="true" ht="13.5" hidden="false" customHeight="true" outlineLevel="0" collapsed="false">
      <c r="A119" s="126" t="n">
        <f aca="false">ROW()-8</f>
        <v>111</v>
      </c>
      <c r="B119" s="127"/>
      <c r="C119" s="129"/>
      <c r="D119" s="129" t="s">
        <v>1618</v>
      </c>
      <c r="E119" s="129"/>
      <c r="F119" s="129"/>
      <c r="G119" s="129"/>
      <c r="H119" s="62" t="s">
        <v>1619</v>
      </c>
      <c r="I119" s="63"/>
      <c r="J119" s="62" t="s">
        <v>1620</v>
      </c>
      <c r="K119" s="62" t="s">
        <v>163</v>
      </c>
      <c r="L119" s="130"/>
      <c r="M119" s="62" t="s">
        <v>118</v>
      </c>
      <c r="N119" s="62"/>
      <c r="O119" s="65" t="s">
        <v>119</v>
      </c>
      <c r="P119" s="65"/>
      <c r="Q119" s="65"/>
      <c r="R119" s="66"/>
      <c r="AMD119" s="162"/>
      <c r="AME119" s="162"/>
      <c r="AMF119" s="162"/>
      <c r="AMG119" s="162"/>
      <c r="AMH119" s="162"/>
      <c r="AMI119" s="162"/>
      <c r="AMJ119" s="162"/>
    </row>
    <row r="120" s="135" customFormat="true" ht="12.75" hidden="false" customHeight="true" outlineLevel="0" collapsed="false">
      <c r="A120" s="126" t="n">
        <f aca="false">ROW()-8</f>
        <v>112</v>
      </c>
      <c r="B120" s="127"/>
      <c r="C120" s="129"/>
      <c r="D120" s="129" t="s">
        <v>1621</v>
      </c>
      <c r="E120" s="129"/>
      <c r="F120" s="129"/>
      <c r="G120" s="129"/>
      <c r="H120" s="62" t="s">
        <v>1622</v>
      </c>
      <c r="I120" s="63"/>
      <c r="J120" s="62" t="s">
        <v>1623</v>
      </c>
      <c r="K120" s="62" t="s">
        <v>163</v>
      </c>
      <c r="L120" s="130"/>
      <c r="M120" s="62" t="s">
        <v>118</v>
      </c>
      <c r="N120" s="62"/>
      <c r="O120" s="65" t="s">
        <v>119</v>
      </c>
      <c r="P120" s="65"/>
      <c r="Q120" s="65"/>
      <c r="R120" s="66"/>
      <c r="AMD120" s="162"/>
      <c r="AME120" s="162"/>
      <c r="AMF120" s="162"/>
      <c r="AMG120" s="162"/>
      <c r="AMH120" s="162"/>
      <c r="AMI120" s="162"/>
      <c r="AMJ120" s="162"/>
    </row>
    <row r="121" s="135" customFormat="true" ht="13.5" hidden="false" customHeight="true" outlineLevel="0" collapsed="false">
      <c r="A121" s="126" t="n">
        <f aca="false">ROW()-8</f>
        <v>113</v>
      </c>
      <c r="B121" s="127" t="s">
        <v>1624</v>
      </c>
      <c r="C121" s="164"/>
      <c r="D121" s="129"/>
      <c r="E121" s="129"/>
      <c r="F121" s="129"/>
      <c r="G121" s="129"/>
      <c r="H121" s="62" t="s">
        <v>1625</v>
      </c>
      <c r="I121" s="63" t="s">
        <v>1583</v>
      </c>
      <c r="J121" s="63" t="s">
        <v>1626</v>
      </c>
      <c r="K121" s="62" t="s">
        <v>117</v>
      </c>
      <c r="L121" s="130"/>
      <c r="M121" s="62" t="s">
        <v>118</v>
      </c>
      <c r="N121" s="62" t="s">
        <v>1627</v>
      </c>
      <c r="O121" s="65"/>
      <c r="P121" s="65" t="s">
        <v>119</v>
      </c>
      <c r="Q121" s="64" t="s">
        <v>163</v>
      </c>
      <c r="R121" s="66"/>
      <c r="AMD121" s="67"/>
      <c r="AME121" s="67"/>
      <c r="AMF121" s="67"/>
      <c r="AMG121" s="67"/>
      <c r="AMH121" s="67"/>
      <c r="AMI121" s="67"/>
      <c r="AMJ121" s="67"/>
    </row>
    <row r="122" s="135" customFormat="true" ht="14.25" hidden="false" customHeight="true" outlineLevel="0" collapsed="false">
      <c r="A122" s="126" t="n">
        <f aca="false">ROW()-8</f>
        <v>114</v>
      </c>
      <c r="B122" s="127" t="s">
        <v>1628</v>
      </c>
      <c r="C122" s="139"/>
      <c r="D122" s="139"/>
      <c r="E122" s="139"/>
      <c r="F122" s="139"/>
      <c r="G122" s="139"/>
      <c r="H122" s="62" t="s">
        <v>1629</v>
      </c>
      <c r="I122" s="63"/>
      <c r="J122" s="63" t="s">
        <v>1630</v>
      </c>
      <c r="K122" s="62" t="s">
        <v>1247</v>
      </c>
      <c r="L122" s="130" t="s">
        <v>119</v>
      </c>
      <c r="M122" s="149" t="s">
        <v>1630</v>
      </c>
      <c r="N122" s="98"/>
      <c r="O122" s="143"/>
      <c r="P122" s="143" t="s">
        <v>119</v>
      </c>
      <c r="Q122" s="143" t="s">
        <v>119</v>
      </c>
      <c r="R122" s="66"/>
      <c r="AMD122" s="67"/>
      <c r="AME122" s="67"/>
      <c r="AMF122" s="67"/>
      <c r="AMG122" s="67"/>
      <c r="AMH122" s="67"/>
      <c r="AMI122" s="67"/>
      <c r="AMJ122" s="67"/>
    </row>
    <row r="123" s="135" customFormat="true" ht="13.5" hidden="false" customHeight="true" outlineLevel="0" collapsed="false">
      <c r="A123" s="126" t="n">
        <f aca="false">ROW()-8</f>
        <v>115</v>
      </c>
      <c r="B123" s="127"/>
      <c r="C123" s="127" t="s">
        <v>1631</v>
      </c>
      <c r="D123" s="129"/>
      <c r="E123" s="141"/>
      <c r="F123" s="129"/>
      <c r="G123" s="129"/>
      <c r="H123" s="62" t="s">
        <v>1632</v>
      </c>
      <c r="I123" s="63" t="s">
        <v>1633</v>
      </c>
      <c r="J123" s="63" t="s">
        <v>1634</v>
      </c>
      <c r="K123" s="62" t="s">
        <v>117</v>
      </c>
      <c r="L123" s="130"/>
      <c r="M123" s="63" t="s">
        <v>118</v>
      </c>
      <c r="N123" s="63" t="s">
        <v>1635</v>
      </c>
      <c r="O123" s="65"/>
      <c r="P123" s="143" t="s">
        <v>119</v>
      </c>
      <c r="Q123" s="143" t="s">
        <v>119</v>
      </c>
      <c r="R123" s="66"/>
      <c r="AMD123" s="67"/>
      <c r="AME123" s="67"/>
      <c r="AMF123" s="67"/>
      <c r="AMG123" s="67"/>
      <c r="AMH123" s="67"/>
      <c r="AMI123" s="67"/>
      <c r="AMJ123" s="67"/>
    </row>
    <row r="124" s="135" customFormat="true" ht="13.5" hidden="false" customHeight="true" outlineLevel="0" collapsed="false">
      <c r="A124" s="126" t="n">
        <f aca="false">ROW()-8</f>
        <v>116</v>
      </c>
      <c r="B124" s="127"/>
      <c r="C124" s="127" t="s">
        <v>1636</v>
      </c>
      <c r="D124" s="139"/>
      <c r="E124" s="139"/>
      <c r="F124" s="139"/>
      <c r="G124" s="139"/>
      <c r="H124" s="62" t="s">
        <v>1637</v>
      </c>
      <c r="I124" s="63"/>
      <c r="J124" s="63" t="s">
        <v>1638</v>
      </c>
      <c r="K124" s="62" t="s">
        <v>163</v>
      </c>
      <c r="L124" s="130" t="s">
        <v>119</v>
      </c>
      <c r="M124" s="140" t="s">
        <v>1638</v>
      </c>
      <c r="N124" s="64"/>
      <c r="O124" s="143"/>
      <c r="P124" s="143" t="s">
        <v>119</v>
      </c>
      <c r="Q124" s="143" t="s">
        <v>119</v>
      </c>
      <c r="R124" s="66"/>
      <c r="AMD124" s="67"/>
      <c r="AME124" s="67"/>
      <c r="AMF124" s="67"/>
      <c r="AMG124" s="67"/>
      <c r="AMH124" s="67"/>
      <c r="AMI124" s="67"/>
      <c r="AMJ124" s="67"/>
    </row>
    <row r="125" s="135" customFormat="true" ht="13.5" hidden="false" customHeight="true" outlineLevel="0" collapsed="false">
      <c r="A125" s="126" t="n">
        <f aca="false">ROW()-8</f>
        <v>117</v>
      </c>
      <c r="B125" s="127"/>
      <c r="C125" s="127"/>
      <c r="D125" s="129" t="s">
        <v>1639</v>
      </c>
      <c r="E125" s="139"/>
      <c r="F125" s="139"/>
      <c r="G125" s="139"/>
      <c r="H125" s="62" t="s">
        <v>1640</v>
      </c>
      <c r="I125" s="63"/>
      <c r="J125" s="63" t="s">
        <v>1641</v>
      </c>
      <c r="K125" s="62" t="s">
        <v>1247</v>
      </c>
      <c r="L125" s="130" t="s">
        <v>119</v>
      </c>
      <c r="M125" s="149" t="s">
        <v>1641</v>
      </c>
      <c r="N125" s="64"/>
      <c r="O125" s="65"/>
      <c r="P125" s="143" t="s">
        <v>119</v>
      </c>
      <c r="Q125" s="143" t="s">
        <v>119</v>
      </c>
      <c r="R125" s="66"/>
      <c r="AMD125" s="67"/>
      <c r="AME125" s="67"/>
      <c r="AMF125" s="67"/>
      <c r="AMG125" s="67"/>
      <c r="AMH125" s="67"/>
      <c r="AMI125" s="67"/>
      <c r="AMJ125" s="67"/>
    </row>
    <row r="126" s="135" customFormat="true" ht="13.5" hidden="false" customHeight="true" outlineLevel="0" collapsed="false">
      <c r="A126" s="126" t="n">
        <f aca="false">ROW()-8</f>
        <v>118</v>
      </c>
      <c r="B126" s="127"/>
      <c r="C126" s="127"/>
      <c r="D126" s="129"/>
      <c r="E126" s="129" t="s">
        <v>1331</v>
      </c>
      <c r="F126" s="129"/>
      <c r="G126" s="129"/>
      <c r="H126" s="62" t="s">
        <v>1642</v>
      </c>
      <c r="I126" s="63" t="s">
        <v>1643</v>
      </c>
      <c r="J126" s="63" t="s">
        <v>162</v>
      </c>
      <c r="K126" s="62" t="s">
        <v>117</v>
      </c>
      <c r="L126" s="130"/>
      <c r="M126" s="62" t="s">
        <v>118</v>
      </c>
      <c r="N126" s="137" t="s">
        <v>1644</v>
      </c>
      <c r="O126" s="143"/>
      <c r="P126" s="143" t="s">
        <v>119</v>
      </c>
      <c r="Q126" s="143" t="s">
        <v>119</v>
      </c>
      <c r="R126" s="66"/>
      <c r="AMD126" s="67"/>
      <c r="AME126" s="67"/>
      <c r="AMF126" s="67"/>
      <c r="AMG126" s="67"/>
      <c r="AMH126" s="67"/>
      <c r="AMI126" s="67"/>
      <c r="AMJ126" s="67"/>
    </row>
    <row r="127" s="135" customFormat="true" ht="13.5" hidden="false" customHeight="true" outlineLevel="0" collapsed="false">
      <c r="A127" s="126" t="n">
        <f aca="false">ROW()-8</f>
        <v>119</v>
      </c>
      <c r="B127" s="127"/>
      <c r="C127" s="127"/>
      <c r="D127" s="129"/>
      <c r="E127" s="129" t="s">
        <v>1335</v>
      </c>
      <c r="F127" s="129"/>
      <c r="G127" s="129"/>
      <c r="H127" s="62" t="s">
        <v>1645</v>
      </c>
      <c r="I127" s="63" t="s">
        <v>1598</v>
      </c>
      <c r="J127" s="63" t="s">
        <v>1338</v>
      </c>
      <c r="K127" s="62" t="s">
        <v>117</v>
      </c>
      <c r="L127" s="130"/>
      <c r="M127" s="62" t="s">
        <v>118</v>
      </c>
      <c r="N127" s="64"/>
      <c r="O127" s="143"/>
      <c r="P127" s="143" t="s">
        <v>119</v>
      </c>
      <c r="Q127" s="143" t="s">
        <v>119</v>
      </c>
      <c r="R127" s="66"/>
      <c r="AMD127" s="67"/>
      <c r="AME127" s="67"/>
      <c r="AMF127" s="67"/>
      <c r="AMG127" s="67"/>
      <c r="AMH127" s="67"/>
      <c r="AMI127" s="67"/>
      <c r="AMJ127" s="67"/>
    </row>
    <row r="128" s="135" customFormat="true" ht="13.5" hidden="false" customHeight="true" outlineLevel="0" collapsed="false">
      <c r="A128" s="126" t="n">
        <f aca="false">ROW()-8</f>
        <v>120</v>
      </c>
      <c r="B128" s="127"/>
      <c r="C128" s="127"/>
      <c r="D128" s="127" t="s">
        <v>1646</v>
      </c>
      <c r="E128" s="139"/>
      <c r="F128" s="139"/>
      <c r="G128" s="139"/>
      <c r="H128" s="62"/>
      <c r="I128" s="63"/>
      <c r="J128" s="63" t="s">
        <v>1647</v>
      </c>
      <c r="K128" s="62" t="s">
        <v>163</v>
      </c>
      <c r="L128" s="130" t="s">
        <v>119</v>
      </c>
      <c r="M128" s="149" t="s">
        <v>1647</v>
      </c>
      <c r="N128" s="64"/>
      <c r="O128" s="143"/>
      <c r="P128" s="143" t="s">
        <v>119</v>
      </c>
      <c r="Q128" s="143" t="s">
        <v>119</v>
      </c>
      <c r="R128" s="66"/>
      <c r="AMD128" s="67"/>
      <c r="AME128" s="67"/>
      <c r="AMF128" s="67"/>
      <c r="AMG128" s="67"/>
      <c r="AMH128" s="67"/>
      <c r="AMI128" s="67"/>
      <c r="AMJ128" s="67"/>
    </row>
    <row r="129" s="135" customFormat="true" ht="13.5" hidden="false" customHeight="true" outlineLevel="0" collapsed="false">
      <c r="A129" s="126" t="n">
        <f aca="false">ROW()-8</f>
        <v>121</v>
      </c>
      <c r="B129" s="127"/>
      <c r="C129" s="127"/>
      <c r="D129" s="127"/>
      <c r="E129" s="129" t="s">
        <v>1560</v>
      </c>
      <c r="F129" s="139"/>
      <c r="G129" s="139"/>
      <c r="H129" s="62" t="s">
        <v>1648</v>
      </c>
      <c r="I129" s="63"/>
      <c r="J129" s="63" t="s">
        <v>1562</v>
      </c>
      <c r="K129" s="62" t="s">
        <v>117</v>
      </c>
      <c r="L129" s="130" t="s">
        <v>119</v>
      </c>
      <c r="M129" s="140" t="s">
        <v>1562</v>
      </c>
      <c r="N129" s="64"/>
      <c r="O129" s="143"/>
      <c r="P129" s="143" t="s">
        <v>119</v>
      </c>
      <c r="Q129" s="143" t="s">
        <v>119</v>
      </c>
      <c r="R129" s="66"/>
      <c r="AMD129" s="67"/>
      <c r="AME129" s="67"/>
      <c r="AMF129" s="67"/>
      <c r="AMG129" s="67"/>
      <c r="AMH129" s="67"/>
      <c r="AMI129" s="67"/>
      <c r="AMJ129" s="67"/>
    </row>
    <row r="130" s="135" customFormat="true" ht="13.5" hidden="false" customHeight="true" outlineLevel="0" collapsed="false">
      <c r="A130" s="126" t="n">
        <f aca="false">ROW()-8</f>
        <v>122</v>
      </c>
      <c r="B130" s="127"/>
      <c r="C130" s="129"/>
      <c r="D130" s="129"/>
      <c r="E130" s="129"/>
      <c r="F130" s="129" t="s">
        <v>1563</v>
      </c>
      <c r="G130" s="129"/>
      <c r="H130" s="62" t="s">
        <v>1564</v>
      </c>
      <c r="I130" s="63" t="s">
        <v>1565</v>
      </c>
      <c r="J130" s="63" t="s">
        <v>1359</v>
      </c>
      <c r="K130" s="62" t="s">
        <v>117</v>
      </c>
      <c r="L130" s="130"/>
      <c r="M130" s="62" t="s">
        <v>118</v>
      </c>
      <c r="N130" s="62" t="s">
        <v>1566</v>
      </c>
      <c r="O130" s="65"/>
      <c r="P130" s="65"/>
      <c r="Q130" s="143" t="s">
        <v>119</v>
      </c>
      <c r="R130" s="66"/>
      <c r="AMD130" s="67"/>
      <c r="AME130" s="67"/>
      <c r="AMF130" s="67"/>
      <c r="AMG130" s="67"/>
      <c r="AMH130" s="67"/>
      <c r="AMI130" s="67"/>
      <c r="AMJ130" s="67"/>
    </row>
    <row r="131" s="135" customFormat="true" ht="13.5" hidden="false" customHeight="true" outlineLevel="0" collapsed="false">
      <c r="A131" s="126" t="n">
        <f aca="false">ROW()-8</f>
        <v>123</v>
      </c>
      <c r="B131" s="127"/>
      <c r="C131" s="129"/>
      <c r="D131" s="129"/>
      <c r="E131" s="129"/>
      <c r="F131" s="129" t="s">
        <v>1345</v>
      </c>
      <c r="G131" s="133"/>
      <c r="H131" s="62" t="s">
        <v>1567</v>
      </c>
      <c r="I131" s="62" t="s">
        <v>1404</v>
      </c>
      <c r="J131" s="63" t="s">
        <v>1568</v>
      </c>
      <c r="K131" s="62" t="s">
        <v>163</v>
      </c>
      <c r="L131" s="130"/>
      <c r="M131" s="62" t="s">
        <v>118</v>
      </c>
      <c r="N131" s="62"/>
      <c r="O131" s="65"/>
      <c r="P131" s="65"/>
      <c r="Q131" s="143" t="s">
        <v>119</v>
      </c>
      <c r="R131" s="66"/>
      <c r="AMD131" s="67"/>
      <c r="AME131" s="67"/>
      <c r="AMF131" s="67"/>
      <c r="AMG131" s="67"/>
      <c r="AMH131" s="67"/>
      <c r="AMI131" s="67"/>
      <c r="AMJ131" s="67"/>
    </row>
    <row r="132" s="135" customFormat="true" ht="13.5" hidden="false" customHeight="true" outlineLevel="0" collapsed="false">
      <c r="A132" s="126" t="n">
        <f aca="false">ROW()-8</f>
        <v>124</v>
      </c>
      <c r="B132" s="127"/>
      <c r="C132" s="133"/>
      <c r="D132" s="133"/>
      <c r="E132" s="129"/>
      <c r="F132" s="129" t="s">
        <v>1569</v>
      </c>
      <c r="G132" s="133"/>
      <c r="H132" s="62" t="s">
        <v>1570</v>
      </c>
      <c r="I132" s="63" t="s">
        <v>1571</v>
      </c>
      <c r="J132" s="63" t="s">
        <v>1572</v>
      </c>
      <c r="K132" s="62" t="s">
        <v>163</v>
      </c>
      <c r="L132" s="130"/>
      <c r="M132" s="62" t="s">
        <v>118</v>
      </c>
      <c r="N132" s="62"/>
      <c r="O132" s="65"/>
      <c r="P132" s="65"/>
      <c r="Q132" s="143" t="s">
        <v>119</v>
      </c>
      <c r="R132" s="66"/>
      <c r="AMD132" s="154"/>
      <c r="AME132" s="154"/>
      <c r="AMF132" s="154"/>
      <c r="AMG132" s="154"/>
      <c r="AMH132" s="154"/>
      <c r="AMI132" s="154"/>
      <c r="AMJ132" s="154"/>
    </row>
    <row r="133" s="135" customFormat="true" ht="13.5" hidden="false" customHeight="true" outlineLevel="0" collapsed="false">
      <c r="A133" s="126" t="n">
        <f aca="false">ROW()-8</f>
        <v>125</v>
      </c>
      <c r="B133" s="127"/>
      <c r="C133" s="127"/>
      <c r="D133" s="127"/>
      <c r="E133" s="129" t="s">
        <v>1649</v>
      </c>
      <c r="F133" s="129"/>
      <c r="G133" s="129"/>
      <c r="H133" s="62" t="s">
        <v>1650</v>
      </c>
      <c r="I133" s="63" t="n">
        <v>10000668540</v>
      </c>
      <c r="J133" s="63" t="s">
        <v>1651</v>
      </c>
      <c r="K133" s="62" t="s">
        <v>163</v>
      </c>
      <c r="L133" s="130"/>
      <c r="M133" s="62" t="s">
        <v>118</v>
      </c>
      <c r="N133" s="165"/>
      <c r="O133" s="143"/>
      <c r="P133" s="143" t="s">
        <v>119</v>
      </c>
      <c r="Q133" s="143" t="s">
        <v>119</v>
      </c>
      <c r="R133" s="66"/>
      <c r="AMD133" s="67"/>
      <c r="AME133" s="67"/>
      <c r="AMF133" s="67"/>
      <c r="AMG133" s="67"/>
      <c r="AMH133" s="67"/>
      <c r="AMI133" s="67"/>
      <c r="AMJ133" s="67"/>
    </row>
    <row r="134" s="135" customFormat="true" ht="13.5" hidden="false" customHeight="true" outlineLevel="0" collapsed="false">
      <c r="A134" s="126" t="n">
        <f aca="false">ROW()-8</f>
        <v>126</v>
      </c>
      <c r="B134" s="127"/>
      <c r="C134" s="127"/>
      <c r="D134" s="127"/>
      <c r="E134" s="127" t="s">
        <v>1652</v>
      </c>
      <c r="F134" s="139"/>
      <c r="G134" s="139"/>
      <c r="H134" s="62" t="s">
        <v>1653</v>
      </c>
      <c r="I134" s="63"/>
      <c r="J134" s="63" t="s">
        <v>1526</v>
      </c>
      <c r="K134" s="62" t="s">
        <v>1247</v>
      </c>
      <c r="L134" s="130" t="s">
        <v>119</v>
      </c>
      <c r="M134" s="140" t="s">
        <v>1654</v>
      </c>
      <c r="N134" s="143"/>
      <c r="O134" s="143"/>
      <c r="P134" s="143" t="s">
        <v>119</v>
      </c>
      <c r="Q134" s="143" t="s">
        <v>119</v>
      </c>
      <c r="R134" s="66"/>
      <c r="AMD134" s="67"/>
      <c r="AME134" s="67"/>
      <c r="AMF134" s="67"/>
      <c r="AMG134" s="67"/>
      <c r="AMH134" s="67"/>
      <c r="AMI134" s="67"/>
      <c r="AMJ134" s="67"/>
    </row>
    <row r="135" s="135" customFormat="true" ht="13.5" hidden="false" customHeight="true" outlineLevel="0" collapsed="false">
      <c r="A135" s="126" t="n">
        <f aca="false">ROW()-8</f>
        <v>127</v>
      </c>
      <c r="B135" s="127"/>
      <c r="C135" s="129"/>
      <c r="D135" s="129"/>
      <c r="E135" s="129"/>
      <c r="F135" s="129" t="s">
        <v>1532</v>
      </c>
      <c r="G135" s="129"/>
      <c r="H135" s="62" t="s">
        <v>1533</v>
      </c>
      <c r="I135" s="63" t="s">
        <v>1534</v>
      </c>
      <c r="J135" s="63" t="s">
        <v>1281</v>
      </c>
      <c r="K135" s="62" t="s">
        <v>117</v>
      </c>
      <c r="L135" s="130"/>
      <c r="M135" s="62" t="s">
        <v>118</v>
      </c>
      <c r="N135" s="136" t="s">
        <v>1535</v>
      </c>
      <c r="O135" s="143"/>
      <c r="P135" s="143" t="s">
        <v>119</v>
      </c>
      <c r="Q135" s="143" t="s">
        <v>119</v>
      </c>
      <c r="R135" s="66"/>
      <c r="AMD135" s="67"/>
      <c r="AME135" s="67"/>
      <c r="AMF135" s="67"/>
      <c r="AMG135" s="67"/>
      <c r="AMH135" s="67"/>
      <c r="AMI135" s="67"/>
      <c r="AMJ135" s="67"/>
    </row>
    <row r="136" s="135" customFormat="true" ht="14.25" hidden="false" customHeight="true" outlineLevel="0" collapsed="false">
      <c r="A136" s="126" t="n">
        <f aca="false">ROW()-8</f>
        <v>128</v>
      </c>
      <c r="B136" s="30"/>
      <c r="C136" s="67"/>
      <c r="D136" s="67"/>
      <c r="E136" s="129"/>
      <c r="F136" s="67" t="s">
        <v>1536</v>
      </c>
      <c r="G136" s="60"/>
      <c r="H136" s="60" t="s">
        <v>1655</v>
      </c>
      <c r="I136" s="160" t="s">
        <v>1538</v>
      </c>
      <c r="J136" s="63" t="s">
        <v>1390</v>
      </c>
      <c r="K136" s="62" t="s">
        <v>117</v>
      </c>
      <c r="L136" s="130"/>
      <c r="M136" s="62" t="s">
        <v>118</v>
      </c>
      <c r="N136" s="136"/>
      <c r="O136" s="70"/>
      <c r="P136" s="147" t="s">
        <v>119</v>
      </c>
      <c r="Q136" s="143" t="s">
        <v>119</v>
      </c>
      <c r="R136" s="66"/>
      <c r="AMD136" s="0"/>
      <c r="AME136" s="0"/>
      <c r="AMF136" s="0"/>
      <c r="AMG136" s="0"/>
      <c r="AMH136" s="0"/>
      <c r="AMI136" s="0"/>
      <c r="AMJ136" s="0"/>
    </row>
    <row r="137" s="135" customFormat="true" ht="13.5" hidden="false" customHeight="true" outlineLevel="0" collapsed="false">
      <c r="A137" s="126" t="n">
        <f aca="false">ROW()-8</f>
        <v>129</v>
      </c>
      <c r="B137" s="127"/>
      <c r="C137" s="127"/>
      <c r="D137" s="129"/>
      <c r="E137" s="129" t="s">
        <v>1656</v>
      </c>
      <c r="F137" s="139"/>
      <c r="G137" s="139"/>
      <c r="H137" s="62" t="s">
        <v>1657</v>
      </c>
      <c r="I137" s="63"/>
      <c r="J137" s="63" t="s">
        <v>1658</v>
      </c>
      <c r="K137" s="62" t="s">
        <v>163</v>
      </c>
      <c r="L137" s="130" t="s">
        <v>119</v>
      </c>
      <c r="M137" s="149" t="s">
        <v>1658</v>
      </c>
      <c r="N137" s="65"/>
      <c r="O137" s="65"/>
      <c r="P137" s="143"/>
      <c r="Q137" s="143"/>
      <c r="R137" s="66"/>
      <c r="AMD137" s="67"/>
      <c r="AME137" s="67"/>
      <c r="AMF137" s="67"/>
      <c r="AMG137" s="67"/>
      <c r="AMH137" s="67"/>
      <c r="AMI137" s="67"/>
      <c r="AMJ137" s="67"/>
    </row>
    <row r="138" s="135" customFormat="true" ht="13.5" hidden="false" customHeight="true" outlineLevel="0" collapsed="false">
      <c r="A138" s="126" t="n">
        <f aca="false">ROW()-8</f>
        <v>130</v>
      </c>
      <c r="B138" s="127"/>
      <c r="C138" s="127"/>
      <c r="D138" s="127"/>
      <c r="E138" s="129"/>
      <c r="F138" s="129" t="s">
        <v>1340</v>
      </c>
      <c r="G138" s="139" t="s">
        <v>1659</v>
      </c>
      <c r="H138" s="62" t="s">
        <v>1660</v>
      </c>
      <c r="I138" s="63"/>
      <c r="J138" s="63" t="s">
        <v>1341</v>
      </c>
      <c r="K138" s="62" t="s">
        <v>163</v>
      </c>
      <c r="L138" s="130" t="s">
        <v>119</v>
      </c>
      <c r="M138" s="140" t="s">
        <v>1341</v>
      </c>
      <c r="N138" s="64"/>
      <c r="O138" s="143"/>
      <c r="P138" s="143"/>
      <c r="Q138" s="143"/>
      <c r="R138" s="66"/>
      <c r="AMD138" s="67"/>
      <c r="AME138" s="67"/>
      <c r="AMF138" s="67"/>
      <c r="AMG138" s="67"/>
      <c r="AMH138" s="67"/>
      <c r="AMI138" s="67"/>
      <c r="AMJ138" s="67"/>
    </row>
    <row r="139" s="135" customFormat="true" ht="13.5" hidden="false" customHeight="true" outlineLevel="0" collapsed="false">
      <c r="A139" s="126" t="n">
        <f aca="false">ROW()-8</f>
        <v>131</v>
      </c>
      <c r="B139" s="127"/>
      <c r="C139" s="127"/>
      <c r="D139" s="127"/>
      <c r="E139" s="129"/>
      <c r="F139" s="129" t="s">
        <v>1377</v>
      </c>
      <c r="G139" s="139" t="s">
        <v>1661</v>
      </c>
      <c r="H139" s="62" t="s">
        <v>1662</v>
      </c>
      <c r="I139" s="63"/>
      <c r="J139" s="63" t="s">
        <v>1379</v>
      </c>
      <c r="K139" s="62" t="s">
        <v>163</v>
      </c>
      <c r="L139" s="130" t="s">
        <v>119</v>
      </c>
      <c r="M139" s="140" t="s">
        <v>1379</v>
      </c>
      <c r="N139" s="64"/>
      <c r="O139" s="143"/>
      <c r="P139" s="143"/>
      <c r="Q139" s="143"/>
      <c r="R139" s="66"/>
      <c r="AMD139" s="67"/>
      <c r="AME139" s="67"/>
      <c r="AMF139" s="67"/>
      <c r="AMG139" s="67"/>
      <c r="AMH139" s="67"/>
      <c r="AMI139" s="67"/>
      <c r="AMJ139" s="67"/>
    </row>
    <row r="140" s="135" customFormat="true" ht="13.5" hidden="false" customHeight="true" outlineLevel="0" collapsed="false">
      <c r="A140" s="126" t="n">
        <f aca="false">ROW()-8</f>
        <v>132</v>
      </c>
      <c r="B140" s="127"/>
      <c r="C140" s="127"/>
      <c r="D140" s="127" t="s">
        <v>1663</v>
      </c>
      <c r="E140" s="139" t="s">
        <v>1664</v>
      </c>
      <c r="F140" s="139"/>
      <c r="G140" s="139"/>
      <c r="H140" s="62" t="s">
        <v>1665</v>
      </c>
      <c r="I140" s="63"/>
      <c r="J140" s="63" t="s">
        <v>1658</v>
      </c>
      <c r="K140" s="62" t="s">
        <v>163</v>
      </c>
      <c r="L140" s="130" t="s">
        <v>119</v>
      </c>
      <c r="M140" s="149" t="s">
        <v>1658</v>
      </c>
      <c r="N140" s="64"/>
      <c r="O140" s="143"/>
      <c r="P140" s="166"/>
      <c r="Q140" s="143"/>
      <c r="R140" s="66"/>
      <c r="AMD140" s="67"/>
      <c r="AME140" s="67"/>
      <c r="AMF140" s="67"/>
      <c r="AMG140" s="67"/>
      <c r="AMH140" s="67"/>
      <c r="AMI140" s="67"/>
      <c r="AMJ140" s="67"/>
    </row>
    <row r="141" s="135" customFormat="true" ht="13.5" hidden="false" customHeight="true" outlineLevel="0" collapsed="false">
      <c r="A141" s="126" t="n">
        <f aca="false">ROW()-8</f>
        <v>133</v>
      </c>
      <c r="B141" s="127"/>
      <c r="C141" s="127"/>
      <c r="D141" s="127" t="s">
        <v>1523</v>
      </c>
      <c r="E141" s="139" t="s">
        <v>1540</v>
      </c>
      <c r="F141" s="139"/>
      <c r="G141" s="139"/>
      <c r="H141" s="62" t="s">
        <v>1666</v>
      </c>
      <c r="I141" s="63"/>
      <c r="J141" s="63" t="s">
        <v>1526</v>
      </c>
      <c r="K141" s="62" t="s">
        <v>1247</v>
      </c>
      <c r="L141" s="130" t="s">
        <v>119</v>
      </c>
      <c r="M141" s="140" t="s">
        <v>1526</v>
      </c>
      <c r="N141" s="64"/>
      <c r="O141" s="143"/>
      <c r="P141" s="166"/>
      <c r="Q141" s="143"/>
      <c r="R141" s="66"/>
      <c r="AMD141" s="67"/>
      <c r="AME141" s="67"/>
      <c r="AMF141" s="67"/>
      <c r="AMG141" s="67"/>
      <c r="AMH141" s="67"/>
      <c r="AMI141" s="67"/>
      <c r="AMJ141" s="67"/>
    </row>
    <row r="142" s="135" customFormat="true" ht="13.5" hidden="false" customHeight="true" outlineLevel="0" collapsed="false">
      <c r="A142" s="126" t="n">
        <f aca="false">ROW()-8</f>
        <v>134</v>
      </c>
      <c r="B142" s="127"/>
      <c r="C142" s="127" t="s">
        <v>1667</v>
      </c>
      <c r="D142" s="139"/>
      <c r="E142" s="139"/>
      <c r="F142" s="139"/>
      <c r="G142" s="139"/>
      <c r="H142" s="62" t="s">
        <v>1668</v>
      </c>
      <c r="I142" s="63"/>
      <c r="J142" s="63" t="s">
        <v>1669</v>
      </c>
      <c r="K142" s="62" t="s">
        <v>163</v>
      </c>
      <c r="L142" s="130" t="s">
        <v>119</v>
      </c>
      <c r="M142" s="140" t="s">
        <v>1670</v>
      </c>
      <c r="N142" s="65"/>
      <c r="O142" s="143"/>
      <c r="P142" s="143" t="s">
        <v>119</v>
      </c>
      <c r="Q142" s="143" t="s">
        <v>119</v>
      </c>
      <c r="R142" s="66"/>
      <c r="AMD142" s="67"/>
      <c r="AME142" s="67"/>
      <c r="AMF142" s="67"/>
      <c r="AMG142" s="67"/>
      <c r="AMH142" s="67"/>
      <c r="AMI142" s="67"/>
      <c r="AMJ142" s="67"/>
    </row>
    <row r="143" s="135" customFormat="true" ht="13.5" hidden="false" customHeight="true" outlineLevel="0" collapsed="false">
      <c r="A143" s="126" t="n">
        <f aca="false">ROW()-8</f>
        <v>135</v>
      </c>
      <c r="B143" s="127"/>
      <c r="C143" s="127"/>
      <c r="D143" s="127" t="s">
        <v>1671</v>
      </c>
      <c r="E143" s="139"/>
      <c r="F143" s="139"/>
      <c r="G143" s="139"/>
      <c r="H143" s="62" t="s">
        <v>1672</v>
      </c>
      <c r="I143" s="63"/>
      <c r="J143" s="63" t="s">
        <v>1673</v>
      </c>
      <c r="K143" s="62" t="s">
        <v>163</v>
      </c>
      <c r="L143" s="130" t="s">
        <v>119</v>
      </c>
      <c r="M143" s="140" t="s">
        <v>1674</v>
      </c>
      <c r="N143" s="143"/>
      <c r="O143" s="143"/>
      <c r="P143" s="143"/>
      <c r="Q143" s="143"/>
      <c r="R143" s="66"/>
      <c r="AMD143" s="67"/>
      <c r="AME143" s="67"/>
      <c r="AMF143" s="67"/>
      <c r="AMG143" s="67"/>
      <c r="AMH143" s="67"/>
      <c r="AMI143" s="67"/>
      <c r="AMJ143" s="67"/>
    </row>
    <row r="144" s="135" customFormat="true" ht="13.5" hidden="false" customHeight="true" outlineLevel="0" collapsed="false">
      <c r="A144" s="126" t="n">
        <f aca="false">ROW()-8</f>
        <v>136</v>
      </c>
      <c r="B144" s="127"/>
      <c r="C144" s="127"/>
      <c r="D144" s="127"/>
      <c r="E144" s="129" t="s">
        <v>1675</v>
      </c>
      <c r="F144" s="129"/>
      <c r="G144" s="129"/>
      <c r="H144" s="62" t="s">
        <v>1672</v>
      </c>
      <c r="I144" s="63"/>
      <c r="J144" s="63" t="s">
        <v>143</v>
      </c>
      <c r="K144" s="62" t="s">
        <v>163</v>
      </c>
      <c r="L144" s="130"/>
      <c r="M144" s="62" t="s">
        <v>118</v>
      </c>
      <c r="N144" s="167" t="s">
        <v>1676</v>
      </c>
      <c r="O144" s="65"/>
      <c r="P144" s="143"/>
      <c r="Q144" s="143"/>
      <c r="R144" s="66"/>
      <c r="AMD144" s="67"/>
      <c r="AME144" s="67"/>
      <c r="AMF144" s="67"/>
      <c r="AMG144" s="67"/>
      <c r="AMH144" s="67"/>
      <c r="AMI144" s="67"/>
      <c r="AMJ144" s="67"/>
    </row>
    <row r="145" s="135" customFormat="true" ht="13.5" hidden="false" customHeight="true" outlineLevel="0" collapsed="false">
      <c r="A145" s="126" t="n">
        <f aca="false">ROW()-8</f>
        <v>137</v>
      </c>
      <c r="B145" s="127"/>
      <c r="C145" s="127"/>
      <c r="D145" s="127"/>
      <c r="E145" s="129" t="s">
        <v>1677</v>
      </c>
      <c r="F145" s="129"/>
      <c r="G145" s="129"/>
      <c r="H145" s="62" t="s">
        <v>1678</v>
      </c>
      <c r="I145" s="63"/>
      <c r="J145" s="63" t="s">
        <v>1679</v>
      </c>
      <c r="K145" s="62" t="s">
        <v>163</v>
      </c>
      <c r="L145" s="130"/>
      <c r="M145" s="62" t="s">
        <v>118</v>
      </c>
      <c r="N145" s="167" t="s">
        <v>1680</v>
      </c>
      <c r="O145" s="65"/>
      <c r="P145" s="143"/>
      <c r="Q145" s="143"/>
      <c r="R145" s="66"/>
      <c r="AMD145" s="67"/>
      <c r="AME145" s="67"/>
      <c r="AMF145" s="67"/>
      <c r="AMG145" s="67"/>
      <c r="AMH145" s="67"/>
      <c r="AMI145" s="67"/>
      <c r="AMJ145" s="67"/>
    </row>
    <row r="146" s="135" customFormat="true" ht="13.5" hidden="false" customHeight="true" outlineLevel="0" collapsed="false">
      <c r="A146" s="126" t="n">
        <f aca="false">ROW()-8</f>
        <v>138</v>
      </c>
      <c r="B146" s="127"/>
      <c r="C146" s="127"/>
      <c r="D146" s="127" t="s">
        <v>1681</v>
      </c>
      <c r="E146" s="139"/>
      <c r="F146" s="139"/>
      <c r="G146" s="139"/>
      <c r="H146" s="62" t="s">
        <v>1682</v>
      </c>
      <c r="I146" s="63"/>
      <c r="J146" s="63" t="s">
        <v>1364</v>
      </c>
      <c r="K146" s="62" t="s">
        <v>163</v>
      </c>
      <c r="L146" s="130" t="s">
        <v>119</v>
      </c>
      <c r="M146" s="149" t="s">
        <v>1683</v>
      </c>
      <c r="N146" s="64"/>
      <c r="O146" s="143"/>
      <c r="P146" s="143"/>
      <c r="Q146" s="143"/>
      <c r="R146" s="66"/>
      <c r="AMD146" s="67"/>
      <c r="AME146" s="67"/>
      <c r="AMF146" s="67"/>
      <c r="AMG146" s="67"/>
      <c r="AMH146" s="67"/>
      <c r="AMI146" s="67"/>
      <c r="AMJ146" s="67"/>
    </row>
    <row r="147" s="135" customFormat="true" ht="13.5" hidden="false" customHeight="true" outlineLevel="0" collapsed="false">
      <c r="A147" s="126" t="n">
        <f aca="false">ROW()-8</f>
        <v>139</v>
      </c>
      <c r="B147" s="127"/>
      <c r="C147" s="127"/>
      <c r="D147" s="127"/>
      <c r="E147" s="129" t="s">
        <v>1684</v>
      </c>
      <c r="F147" s="129"/>
      <c r="G147" s="129"/>
      <c r="H147" s="62" t="s">
        <v>1682</v>
      </c>
      <c r="I147" s="63" t="s">
        <v>1685</v>
      </c>
      <c r="J147" s="63" t="s">
        <v>1338</v>
      </c>
      <c r="K147" s="62" t="s">
        <v>163</v>
      </c>
      <c r="L147" s="130"/>
      <c r="M147" s="62" t="s">
        <v>118</v>
      </c>
      <c r="N147" s="64"/>
      <c r="O147" s="143"/>
      <c r="P147" s="143"/>
      <c r="Q147" s="143"/>
      <c r="R147" s="66"/>
      <c r="AMD147" s="67"/>
      <c r="AME147" s="67"/>
      <c r="AMF147" s="67"/>
      <c r="AMG147" s="67"/>
      <c r="AMH147" s="67"/>
      <c r="AMI147" s="67"/>
      <c r="AMJ147" s="67"/>
    </row>
    <row r="148" s="135" customFormat="true" ht="13.5" hidden="false" customHeight="true" outlineLevel="0" collapsed="false">
      <c r="A148" s="126" t="n">
        <f aca="false">ROW()-8</f>
        <v>140</v>
      </c>
      <c r="B148" s="127"/>
      <c r="C148" s="127"/>
      <c r="D148" s="127"/>
      <c r="E148" s="129" t="s">
        <v>1686</v>
      </c>
      <c r="F148" s="129"/>
      <c r="G148" s="129"/>
      <c r="H148" s="62" t="s">
        <v>1687</v>
      </c>
      <c r="I148" s="63" t="s">
        <v>1688</v>
      </c>
      <c r="J148" s="63" t="s">
        <v>1689</v>
      </c>
      <c r="K148" s="62" t="s">
        <v>163</v>
      </c>
      <c r="L148" s="130"/>
      <c r="M148" s="62" t="s">
        <v>118</v>
      </c>
      <c r="N148" s="64"/>
      <c r="O148" s="143"/>
      <c r="P148" s="143"/>
      <c r="Q148" s="143"/>
      <c r="R148" s="66"/>
      <c r="AMD148" s="67"/>
      <c r="AME148" s="67"/>
      <c r="AMF148" s="67"/>
      <c r="AMG148" s="67"/>
      <c r="AMH148" s="67"/>
      <c r="AMI148" s="67"/>
      <c r="AMJ148" s="67"/>
    </row>
    <row r="149" s="135" customFormat="true" ht="13.5" hidden="false" customHeight="true" outlineLevel="0" collapsed="false">
      <c r="A149" s="126" t="n">
        <f aca="false">ROW()-8</f>
        <v>141</v>
      </c>
      <c r="B149" s="127"/>
      <c r="C149" s="127"/>
      <c r="D149" s="127" t="s">
        <v>1690</v>
      </c>
      <c r="E149" s="139"/>
      <c r="F149" s="139"/>
      <c r="G149" s="139"/>
      <c r="H149" s="62" t="s">
        <v>1691</v>
      </c>
      <c r="I149" s="63"/>
      <c r="J149" s="63" t="s">
        <v>1692</v>
      </c>
      <c r="K149" s="62" t="s">
        <v>163</v>
      </c>
      <c r="L149" s="130" t="s">
        <v>119</v>
      </c>
      <c r="M149" s="140" t="s">
        <v>1693</v>
      </c>
      <c r="N149" s="136"/>
      <c r="O149" s="143"/>
      <c r="P149" s="143" t="s">
        <v>119</v>
      </c>
      <c r="Q149" s="143" t="s">
        <v>119</v>
      </c>
      <c r="R149" s="66"/>
      <c r="AMD149" s="67"/>
      <c r="AME149" s="67"/>
      <c r="AMF149" s="67"/>
      <c r="AMG149" s="67"/>
      <c r="AMH149" s="67"/>
      <c r="AMI149" s="67"/>
      <c r="AMJ149" s="67"/>
    </row>
    <row r="150" s="135" customFormat="true" ht="13.5" hidden="false" customHeight="true" outlineLevel="0" collapsed="false">
      <c r="A150" s="126" t="n">
        <f aca="false">ROW()-8</f>
        <v>142</v>
      </c>
      <c r="B150" s="127"/>
      <c r="C150" s="127"/>
      <c r="D150" s="127"/>
      <c r="E150" s="129" t="s">
        <v>1694</v>
      </c>
      <c r="F150" s="129"/>
      <c r="G150" s="129"/>
      <c r="H150" s="62" t="s">
        <v>1695</v>
      </c>
      <c r="I150" s="63" t="s">
        <v>1404</v>
      </c>
      <c r="J150" s="63" t="s">
        <v>1696</v>
      </c>
      <c r="K150" s="62" t="s">
        <v>163</v>
      </c>
      <c r="L150" s="130"/>
      <c r="M150" s="62" t="s">
        <v>118</v>
      </c>
      <c r="N150" s="64"/>
      <c r="O150" s="143"/>
      <c r="P150" s="143" t="s">
        <v>119</v>
      </c>
      <c r="Q150" s="143" t="s">
        <v>119</v>
      </c>
      <c r="R150" s="66"/>
      <c r="AMD150" s="67"/>
      <c r="AME150" s="67"/>
      <c r="AMF150" s="67"/>
      <c r="AMG150" s="67"/>
      <c r="AMH150" s="67"/>
      <c r="AMI150" s="67"/>
      <c r="AMJ150" s="67"/>
    </row>
    <row r="151" s="135" customFormat="true" ht="13.5" hidden="false" customHeight="true" outlineLevel="0" collapsed="false">
      <c r="A151" s="126" t="n">
        <f aca="false">ROW()-8</f>
        <v>143</v>
      </c>
      <c r="B151" s="127"/>
      <c r="C151" s="127"/>
      <c r="D151" s="127"/>
      <c r="E151" s="129" t="s">
        <v>1697</v>
      </c>
      <c r="F151" s="129"/>
      <c r="G151" s="129"/>
      <c r="H151" s="62" t="s">
        <v>1698</v>
      </c>
      <c r="I151" s="63"/>
      <c r="J151" s="63" t="s">
        <v>1699</v>
      </c>
      <c r="K151" s="62" t="s">
        <v>163</v>
      </c>
      <c r="L151" s="130"/>
      <c r="M151" s="62" t="s">
        <v>118</v>
      </c>
      <c r="N151" s="64"/>
      <c r="O151" s="143"/>
      <c r="P151" s="143"/>
      <c r="Q151" s="143"/>
      <c r="R151" s="66"/>
      <c r="AMD151" s="67"/>
      <c r="AME151" s="67"/>
      <c r="AMF151" s="67"/>
      <c r="AMG151" s="67"/>
      <c r="AMH151" s="67"/>
      <c r="AMI151" s="67"/>
      <c r="AMJ151" s="67"/>
    </row>
    <row r="152" s="135" customFormat="true" ht="13.5" hidden="false" customHeight="true" outlineLevel="0" collapsed="false">
      <c r="A152" s="126" t="n">
        <f aca="false">ROW()-8</f>
        <v>144</v>
      </c>
      <c r="B152" s="127"/>
      <c r="C152" s="127"/>
      <c r="D152" s="127"/>
      <c r="E152" s="129" t="s">
        <v>1700</v>
      </c>
      <c r="F152" s="129"/>
      <c r="G152" s="129"/>
      <c r="H152" s="62" t="s">
        <v>1701</v>
      </c>
      <c r="I152" s="63"/>
      <c r="J152" s="63" t="s">
        <v>1702</v>
      </c>
      <c r="K152" s="62" t="s">
        <v>163</v>
      </c>
      <c r="L152" s="130"/>
      <c r="M152" s="62" t="s">
        <v>118</v>
      </c>
      <c r="N152" s="64"/>
      <c r="O152" s="143"/>
      <c r="P152" s="143"/>
      <c r="Q152" s="143"/>
      <c r="R152" s="66"/>
      <c r="AMD152" s="67"/>
      <c r="AME152" s="67"/>
      <c r="AMF152" s="67"/>
      <c r="AMG152" s="67"/>
      <c r="AMH152" s="67"/>
      <c r="AMI152" s="67"/>
      <c r="AMJ152" s="67"/>
    </row>
    <row r="153" s="135" customFormat="true" ht="13.5" hidden="false" customHeight="true" outlineLevel="0" collapsed="false">
      <c r="A153" s="126" t="n">
        <f aca="false">ROW()-8</f>
        <v>145</v>
      </c>
      <c r="B153" s="127"/>
      <c r="C153" s="127"/>
      <c r="D153" s="127"/>
      <c r="E153" s="129" t="s">
        <v>1703</v>
      </c>
      <c r="F153" s="129"/>
      <c r="G153" s="129"/>
      <c r="H153" s="62" t="s">
        <v>1704</v>
      </c>
      <c r="I153" s="63"/>
      <c r="J153" s="63" t="s">
        <v>1705</v>
      </c>
      <c r="K153" s="62" t="s">
        <v>163</v>
      </c>
      <c r="L153" s="130"/>
      <c r="M153" s="62" t="s">
        <v>1706</v>
      </c>
      <c r="N153" s="136"/>
      <c r="O153" s="143"/>
      <c r="P153" s="143" t="s">
        <v>119</v>
      </c>
      <c r="Q153" s="143" t="s">
        <v>119</v>
      </c>
      <c r="R153" s="66"/>
      <c r="AMD153" s="67"/>
      <c r="AME153" s="67"/>
      <c r="AMF153" s="67"/>
      <c r="AMG153" s="67"/>
      <c r="AMH153" s="67"/>
      <c r="AMI153" s="67"/>
      <c r="AMJ153" s="67"/>
    </row>
    <row r="154" s="135" customFormat="true" ht="13.5" hidden="false" customHeight="true" outlineLevel="0" collapsed="false">
      <c r="A154" s="126" t="n">
        <f aca="false">ROW()-8</f>
        <v>146</v>
      </c>
      <c r="B154" s="127"/>
      <c r="C154" s="127"/>
      <c r="D154" s="127"/>
      <c r="E154" s="129" t="s">
        <v>1707</v>
      </c>
      <c r="F154" s="129"/>
      <c r="G154" s="129"/>
      <c r="H154" s="62" t="s">
        <v>1708</v>
      </c>
      <c r="I154" s="63" t="s">
        <v>1709</v>
      </c>
      <c r="J154" s="63" t="s">
        <v>1710</v>
      </c>
      <c r="K154" s="62" t="s">
        <v>163</v>
      </c>
      <c r="L154" s="130"/>
      <c r="M154" s="62" t="s">
        <v>118</v>
      </c>
      <c r="N154" s="63" t="s">
        <v>1711</v>
      </c>
      <c r="O154" s="143"/>
      <c r="P154" s="143" t="s">
        <v>119</v>
      </c>
      <c r="Q154" s="143" t="s">
        <v>119</v>
      </c>
      <c r="R154" s="66"/>
      <c r="AMD154" s="67"/>
      <c r="AME154" s="67"/>
      <c r="AMF154" s="67"/>
      <c r="AMG154" s="67"/>
      <c r="AMH154" s="67"/>
      <c r="AMI154" s="67"/>
      <c r="AMJ154" s="67"/>
    </row>
    <row r="155" s="135" customFormat="true" ht="13.5" hidden="false" customHeight="true" outlineLevel="0" collapsed="false">
      <c r="A155" s="126" t="n">
        <f aca="false">ROW()-8</f>
        <v>147</v>
      </c>
      <c r="B155" s="127"/>
      <c r="C155" s="127"/>
      <c r="D155" s="127"/>
      <c r="E155" s="129" t="s">
        <v>1712</v>
      </c>
      <c r="F155" s="129"/>
      <c r="G155" s="129"/>
      <c r="H155" s="62" t="s">
        <v>1713</v>
      </c>
      <c r="I155" s="63"/>
      <c r="J155" s="63" t="s">
        <v>1714</v>
      </c>
      <c r="K155" s="62" t="s">
        <v>163</v>
      </c>
      <c r="L155" s="130"/>
      <c r="M155" s="62" t="s">
        <v>1615</v>
      </c>
      <c r="N155" s="168"/>
      <c r="O155" s="143"/>
      <c r="P155" s="143"/>
      <c r="Q155" s="143"/>
      <c r="R155" s="66"/>
      <c r="AMD155" s="67"/>
      <c r="AME155" s="67"/>
      <c r="AMF155" s="67"/>
      <c r="AMG155" s="67"/>
      <c r="AMH155" s="67"/>
      <c r="AMI155" s="67"/>
      <c r="AMJ155" s="67"/>
    </row>
    <row r="156" s="135" customFormat="true" ht="13.5" hidden="false" customHeight="true" outlineLevel="0" collapsed="false">
      <c r="A156" s="126" t="n">
        <f aca="false">ROW()-8</f>
        <v>148</v>
      </c>
      <c r="B156" s="127"/>
      <c r="C156" s="127"/>
      <c r="D156" s="127" t="s">
        <v>1715</v>
      </c>
      <c r="E156" s="139" t="s">
        <v>1716</v>
      </c>
      <c r="F156" s="139"/>
      <c r="G156" s="139"/>
      <c r="H156" s="62" t="s">
        <v>1717</v>
      </c>
      <c r="I156" s="63"/>
      <c r="J156" s="63" t="s">
        <v>1718</v>
      </c>
      <c r="K156" s="62" t="s">
        <v>163</v>
      </c>
      <c r="L156" s="130" t="s">
        <v>119</v>
      </c>
      <c r="M156" s="140" t="s">
        <v>1562</v>
      </c>
      <c r="N156" s="64"/>
      <c r="O156" s="143"/>
      <c r="P156" s="143" t="s">
        <v>119</v>
      </c>
      <c r="Q156" s="143" t="s">
        <v>119</v>
      </c>
      <c r="R156" s="66"/>
      <c r="AMD156" s="67"/>
      <c r="AME156" s="67"/>
      <c r="AMF156" s="67"/>
      <c r="AMG156" s="67"/>
      <c r="AMH156" s="67"/>
      <c r="AMI156" s="67"/>
      <c r="AMJ156" s="67"/>
    </row>
    <row r="157" s="135" customFormat="true" ht="13.5" hidden="false" customHeight="true" outlineLevel="0" collapsed="false">
      <c r="A157" s="126" t="n">
        <f aca="false">ROW()-8</f>
        <v>149</v>
      </c>
      <c r="B157" s="127"/>
      <c r="C157" s="141" t="s">
        <v>1266</v>
      </c>
      <c r="D157" s="139" t="s">
        <v>1244</v>
      </c>
      <c r="E157" s="139"/>
      <c r="F157" s="139"/>
      <c r="G157" s="139"/>
      <c r="H157" s="62" t="s">
        <v>1719</v>
      </c>
      <c r="I157" s="63"/>
      <c r="J157" s="62" t="s">
        <v>1268</v>
      </c>
      <c r="K157" s="62" t="s">
        <v>163</v>
      </c>
      <c r="L157" s="130" t="s">
        <v>119</v>
      </c>
      <c r="M157" s="140" t="s">
        <v>1248</v>
      </c>
      <c r="N157" s="62" t="s">
        <v>1720</v>
      </c>
      <c r="O157" s="65"/>
      <c r="P157" s="143"/>
      <c r="Q157" s="143"/>
      <c r="R157" s="66"/>
      <c r="AMD157" s="67"/>
      <c r="AME157" s="67"/>
      <c r="AMF157" s="67"/>
      <c r="AMG157" s="67"/>
      <c r="AMH157" s="67"/>
      <c r="AMI157" s="67"/>
      <c r="AMJ157" s="67"/>
    </row>
    <row r="158" s="135" customFormat="true" ht="12.75" hidden="false" customHeight="true" outlineLevel="0" collapsed="false">
      <c r="A158" s="126" t="n">
        <f aca="false">ROW()-8</f>
        <v>150</v>
      </c>
      <c r="B158" s="127"/>
      <c r="C158" s="141" t="s">
        <v>1721</v>
      </c>
      <c r="D158" s="139"/>
      <c r="E158" s="139"/>
      <c r="F158" s="139"/>
      <c r="G158" s="139"/>
      <c r="H158" s="62" t="s">
        <v>1722</v>
      </c>
      <c r="I158" s="137"/>
      <c r="J158" s="63" t="s">
        <v>1390</v>
      </c>
      <c r="K158" s="62" t="s">
        <v>163</v>
      </c>
      <c r="L158" s="130" t="s">
        <v>119</v>
      </c>
      <c r="M158" s="149" t="s">
        <v>1723</v>
      </c>
      <c r="N158" s="136"/>
      <c r="O158" s="138"/>
      <c r="P158" s="143" t="s">
        <v>119</v>
      </c>
      <c r="Q158" s="143" t="s">
        <v>119</v>
      </c>
      <c r="R158" s="66"/>
      <c r="AMD158" s="169"/>
      <c r="AME158" s="169"/>
      <c r="AMF158" s="169"/>
      <c r="AMG158" s="169"/>
      <c r="AMH158" s="169"/>
      <c r="AMI158" s="169"/>
      <c r="AMJ158" s="169"/>
    </row>
    <row r="159" s="135" customFormat="true" ht="13.5" hidden="false" customHeight="true" outlineLevel="0" collapsed="false">
      <c r="A159" s="126" t="n">
        <f aca="false">ROW()-8</f>
        <v>151</v>
      </c>
      <c r="B159" s="127"/>
      <c r="C159" s="141"/>
      <c r="D159" s="129" t="s">
        <v>1724</v>
      </c>
      <c r="E159" s="129"/>
      <c r="F159" s="129"/>
      <c r="G159" s="129"/>
      <c r="H159" s="62" t="s">
        <v>1725</v>
      </c>
      <c r="I159" s="63" t="n">
        <v>31</v>
      </c>
      <c r="J159" s="63" t="s">
        <v>1726</v>
      </c>
      <c r="K159" s="62" t="s">
        <v>163</v>
      </c>
      <c r="L159" s="130"/>
      <c r="M159" s="62" t="s">
        <v>1364</v>
      </c>
      <c r="N159" s="62"/>
      <c r="O159" s="65"/>
      <c r="P159" s="143" t="s">
        <v>119</v>
      </c>
      <c r="Q159" s="143" t="s">
        <v>119</v>
      </c>
      <c r="R159" s="66"/>
      <c r="AMD159" s="67"/>
      <c r="AME159" s="67"/>
      <c r="AMF159" s="67"/>
      <c r="AMG159" s="67"/>
      <c r="AMH159" s="67"/>
      <c r="AMI159" s="67"/>
      <c r="AMJ159" s="67"/>
    </row>
    <row r="160" s="135" customFormat="true" ht="13.5" hidden="false" customHeight="true" outlineLevel="0" collapsed="false">
      <c r="A160" s="126" t="n">
        <f aca="false">ROW()-8</f>
        <v>152</v>
      </c>
      <c r="B160" s="127"/>
      <c r="C160" s="141"/>
      <c r="D160" s="129" t="s">
        <v>1727</v>
      </c>
      <c r="E160" s="129"/>
      <c r="F160" s="129"/>
      <c r="G160" s="129"/>
      <c r="H160" s="62" t="s">
        <v>1728</v>
      </c>
      <c r="I160" s="63" t="n">
        <v>109</v>
      </c>
      <c r="J160" s="63" t="s">
        <v>1451</v>
      </c>
      <c r="K160" s="62" t="s">
        <v>163</v>
      </c>
      <c r="L160" s="130"/>
      <c r="M160" s="62" t="s">
        <v>1364</v>
      </c>
      <c r="N160" s="62"/>
      <c r="O160" s="65"/>
      <c r="P160" s="143" t="s">
        <v>119</v>
      </c>
      <c r="Q160" s="143" t="s">
        <v>119</v>
      </c>
      <c r="R160" s="66"/>
      <c r="AMD160" s="67"/>
      <c r="AME160" s="67"/>
      <c r="AMF160" s="67"/>
      <c r="AMG160" s="67"/>
      <c r="AMH160" s="67"/>
      <c r="AMI160" s="67"/>
      <c r="AMJ160" s="67"/>
    </row>
    <row r="161" s="135" customFormat="true" ht="12.75" hidden="false" customHeight="true" outlineLevel="0" collapsed="false">
      <c r="A161" s="126" t="n">
        <f aca="false">ROW()-8</f>
        <v>153</v>
      </c>
      <c r="B161" s="127"/>
      <c r="C161" s="141"/>
      <c r="D161" s="129" t="s">
        <v>1729</v>
      </c>
      <c r="E161" s="129"/>
      <c r="F161" s="129"/>
      <c r="G161" s="129"/>
      <c r="H161" s="62" t="s">
        <v>1730</v>
      </c>
      <c r="I161" s="63" t="s">
        <v>1731</v>
      </c>
      <c r="J161" s="63" t="s">
        <v>1732</v>
      </c>
      <c r="K161" s="62" t="s">
        <v>163</v>
      </c>
      <c r="L161" s="130"/>
      <c r="M161" s="152" t="s">
        <v>118</v>
      </c>
      <c r="N161" s="62" t="s">
        <v>1733</v>
      </c>
      <c r="O161" s="65"/>
      <c r="P161" s="143" t="s">
        <v>119</v>
      </c>
      <c r="Q161" s="143" t="s">
        <v>119</v>
      </c>
      <c r="R161" s="66"/>
      <c r="AMD161" s="67"/>
      <c r="AME161" s="67"/>
      <c r="AMF161" s="67"/>
      <c r="AMG161" s="67"/>
      <c r="AMH161" s="67"/>
      <c r="AMI161" s="67"/>
      <c r="AMJ161" s="67"/>
    </row>
    <row r="162" s="135" customFormat="true" ht="13.5" hidden="false" customHeight="true" outlineLevel="0" collapsed="false">
      <c r="A162" s="126" t="n">
        <f aca="false">ROW()-8</f>
        <v>154</v>
      </c>
      <c r="B162" s="127"/>
      <c r="C162" s="69"/>
      <c r="D162" s="129" t="s">
        <v>1734</v>
      </c>
      <c r="E162" s="129"/>
      <c r="F162" s="129"/>
      <c r="G162" s="129"/>
      <c r="H162" s="62" t="s">
        <v>1735</v>
      </c>
      <c r="I162" s="63" t="s">
        <v>1295</v>
      </c>
      <c r="J162" s="63" t="s">
        <v>1296</v>
      </c>
      <c r="K162" s="62" t="s">
        <v>163</v>
      </c>
      <c r="L162" s="130"/>
      <c r="M162" s="62" t="s">
        <v>118</v>
      </c>
      <c r="N162" s="62" t="s">
        <v>1297</v>
      </c>
      <c r="O162" s="65"/>
      <c r="P162" s="143" t="s">
        <v>119</v>
      </c>
      <c r="Q162" s="143" t="s">
        <v>119</v>
      </c>
      <c r="R162" s="66"/>
      <c r="AMD162" s="67"/>
      <c r="AME162" s="67"/>
      <c r="AMF162" s="67"/>
      <c r="AMG162" s="67"/>
      <c r="AMH162" s="67"/>
      <c r="AMI162" s="67"/>
      <c r="AMJ162" s="67"/>
    </row>
    <row r="163" s="135" customFormat="true" ht="13.5" hidden="false" customHeight="true" outlineLevel="0" collapsed="false">
      <c r="A163" s="126" t="n">
        <f aca="false">ROW()-8</f>
        <v>155</v>
      </c>
      <c r="B163" s="141"/>
      <c r="C163" s="127"/>
      <c r="D163" s="129" t="s">
        <v>1736</v>
      </c>
      <c r="E163" s="129"/>
      <c r="F163" s="129"/>
      <c r="G163" s="129"/>
      <c r="H163" s="62" t="s">
        <v>1737</v>
      </c>
      <c r="I163" s="63" t="s">
        <v>1738</v>
      </c>
      <c r="J163" s="63" t="s">
        <v>1739</v>
      </c>
      <c r="K163" s="62" t="s">
        <v>163</v>
      </c>
      <c r="L163" s="130"/>
      <c r="M163" s="62" t="s">
        <v>118</v>
      </c>
      <c r="N163" s="62"/>
      <c r="O163" s="65"/>
      <c r="P163" s="143" t="s">
        <v>119</v>
      </c>
      <c r="Q163" s="143" t="s">
        <v>119</v>
      </c>
      <c r="R163" s="66"/>
      <c r="AMD163" s="67"/>
      <c r="AME163" s="67"/>
      <c r="AMF163" s="67"/>
      <c r="AMG163" s="67"/>
      <c r="AMH163" s="67"/>
      <c r="AMI163" s="67"/>
      <c r="AMJ163" s="67"/>
    </row>
    <row r="164" s="135" customFormat="true" ht="13.5" hidden="false" customHeight="true" outlineLevel="0" collapsed="false">
      <c r="A164" s="126" t="n">
        <f aca="false">ROW()-8</f>
        <v>156</v>
      </c>
      <c r="B164" s="141"/>
      <c r="C164" s="127"/>
      <c r="D164" s="129" t="s">
        <v>1740</v>
      </c>
      <c r="E164" s="129"/>
      <c r="F164" s="129"/>
      <c r="G164" s="129"/>
      <c r="H164" s="62" t="s">
        <v>1741</v>
      </c>
      <c r="I164" s="63" t="s">
        <v>1742</v>
      </c>
      <c r="J164" s="63" t="s">
        <v>1743</v>
      </c>
      <c r="K164" s="62" t="s">
        <v>163</v>
      </c>
      <c r="L164" s="130"/>
      <c r="M164" s="62" t="s">
        <v>118</v>
      </c>
      <c r="N164" s="62"/>
      <c r="O164" s="65"/>
      <c r="P164" s="143" t="s">
        <v>119</v>
      </c>
      <c r="Q164" s="143" t="s">
        <v>119</v>
      </c>
      <c r="R164" s="66"/>
      <c r="AMD164" s="67"/>
      <c r="AME164" s="67"/>
      <c r="AMF164" s="67"/>
      <c r="AMG164" s="67"/>
      <c r="AMH164" s="67"/>
      <c r="AMI164" s="67"/>
      <c r="AMJ164" s="67"/>
    </row>
    <row r="165" s="135" customFormat="true" ht="13.5" hidden="false" customHeight="true" outlineLevel="0" collapsed="false">
      <c r="A165" s="126" t="n">
        <f aca="false">ROW()-8</f>
        <v>157</v>
      </c>
      <c r="B165" s="141"/>
      <c r="C165" s="127"/>
      <c r="D165" s="129" t="s">
        <v>1744</v>
      </c>
      <c r="E165" s="129"/>
      <c r="F165" s="129"/>
      <c r="G165" s="129"/>
      <c r="H165" s="62" t="s">
        <v>1745</v>
      </c>
      <c r="I165" s="63"/>
      <c r="J165" s="63" t="s">
        <v>1746</v>
      </c>
      <c r="K165" s="62" t="s">
        <v>1247</v>
      </c>
      <c r="L165" s="130"/>
      <c r="M165" s="62" t="s">
        <v>118</v>
      </c>
      <c r="N165" s="62"/>
      <c r="O165" s="65"/>
      <c r="P165" s="143"/>
      <c r="Q165" s="143"/>
      <c r="R165" s="66"/>
      <c r="AMD165" s="67"/>
      <c r="AME165" s="67"/>
      <c r="AMF165" s="67"/>
      <c r="AMG165" s="67"/>
      <c r="AMH165" s="67"/>
      <c r="AMI165" s="67"/>
      <c r="AMJ165" s="67"/>
    </row>
    <row r="166" s="135" customFormat="true" ht="13.5" hidden="false" customHeight="true" outlineLevel="0" collapsed="false">
      <c r="A166" s="126" t="n">
        <f aca="false">ROW()-8</f>
        <v>158</v>
      </c>
      <c r="B166" s="127"/>
      <c r="C166" s="141" t="s">
        <v>1747</v>
      </c>
      <c r="D166" s="129"/>
      <c r="E166" s="129"/>
      <c r="F166" s="129"/>
      <c r="G166" s="129"/>
      <c r="H166" s="62" t="s">
        <v>1748</v>
      </c>
      <c r="I166" s="63"/>
      <c r="J166" s="63" t="s">
        <v>1749</v>
      </c>
      <c r="K166" s="62" t="s">
        <v>163</v>
      </c>
      <c r="L166" s="130" t="s">
        <v>119</v>
      </c>
      <c r="M166" s="149" t="s">
        <v>1749</v>
      </c>
      <c r="N166" s="62"/>
      <c r="O166" s="65"/>
      <c r="P166" s="143" t="s">
        <v>119</v>
      </c>
      <c r="Q166" s="143" t="s">
        <v>119</v>
      </c>
      <c r="R166" s="66"/>
      <c r="AMD166" s="67"/>
      <c r="AME166" s="67"/>
      <c r="AMF166" s="67"/>
      <c r="AMG166" s="67"/>
      <c r="AMH166" s="67"/>
      <c r="AMI166" s="67"/>
      <c r="AMJ166" s="67"/>
    </row>
    <row r="167" s="135" customFormat="true" ht="13.5" hidden="false" customHeight="true" outlineLevel="0" collapsed="false">
      <c r="A167" s="126" t="n">
        <f aca="false">ROW()-8</f>
        <v>159</v>
      </c>
      <c r="B167" s="127"/>
      <c r="C167" s="141"/>
      <c r="D167" s="129" t="s">
        <v>1750</v>
      </c>
      <c r="E167" s="139" t="s">
        <v>1244</v>
      </c>
      <c r="F167" s="139"/>
      <c r="G167" s="139"/>
      <c r="H167" s="62" t="s">
        <v>1751</v>
      </c>
      <c r="I167" s="63"/>
      <c r="J167" s="63" t="s">
        <v>1752</v>
      </c>
      <c r="K167" s="62" t="s">
        <v>163</v>
      </c>
      <c r="L167" s="130" t="s">
        <v>119</v>
      </c>
      <c r="M167" s="149" t="s">
        <v>1248</v>
      </c>
      <c r="N167" s="170" t="s">
        <v>1753</v>
      </c>
      <c r="O167" s="65"/>
      <c r="P167" s="143" t="s">
        <v>119</v>
      </c>
      <c r="Q167" s="143" t="s">
        <v>119</v>
      </c>
      <c r="R167" s="66"/>
      <c r="AMD167" s="67"/>
      <c r="AME167" s="67"/>
      <c r="AMF167" s="67"/>
      <c r="AMG167" s="67"/>
      <c r="AMH167" s="67"/>
      <c r="AMI167" s="67"/>
      <c r="AMJ167" s="67"/>
    </row>
    <row r="168" s="135" customFormat="true" ht="14.25" hidden="false" customHeight="true" outlineLevel="0" collapsed="false">
      <c r="A168" s="126" t="n">
        <f aca="false">ROW()-8</f>
        <v>160</v>
      </c>
      <c r="B168" s="127"/>
      <c r="C168" s="141"/>
      <c r="D168" s="129" t="s">
        <v>1754</v>
      </c>
      <c r="E168" s="139" t="s">
        <v>1244</v>
      </c>
      <c r="F168" s="139"/>
      <c r="G168" s="139"/>
      <c r="H168" s="62" t="s">
        <v>1755</v>
      </c>
      <c r="I168" s="63"/>
      <c r="J168" s="63" t="s">
        <v>1756</v>
      </c>
      <c r="K168" s="62" t="s">
        <v>1247</v>
      </c>
      <c r="L168" s="130" t="s">
        <v>119</v>
      </c>
      <c r="M168" s="149" t="s">
        <v>1248</v>
      </c>
      <c r="N168" s="170" t="s">
        <v>1753</v>
      </c>
      <c r="O168" s="65"/>
      <c r="P168" s="143" t="s">
        <v>119</v>
      </c>
      <c r="Q168" s="143" t="s">
        <v>119</v>
      </c>
      <c r="R168" s="66"/>
      <c r="AMD168" s="67"/>
      <c r="AME168" s="67"/>
      <c r="AMF168" s="67"/>
      <c r="AMG168" s="67"/>
      <c r="AMH168" s="67"/>
      <c r="AMI168" s="67"/>
      <c r="AMJ168" s="67"/>
    </row>
    <row r="169" s="135" customFormat="true" ht="13.5" hidden="false" customHeight="true" outlineLevel="0" collapsed="false">
      <c r="A169" s="126" t="n">
        <f aca="false">ROW()-8</f>
        <v>161</v>
      </c>
      <c r="B169" s="127"/>
      <c r="C169" s="141" t="s">
        <v>1757</v>
      </c>
      <c r="D169" s="139" t="s">
        <v>1244</v>
      </c>
      <c r="E169" s="139"/>
      <c r="F169" s="139"/>
      <c r="G169" s="139"/>
      <c r="H169" s="62" t="s">
        <v>1758</v>
      </c>
      <c r="I169" s="63"/>
      <c r="J169" s="63" t="s">
        <v>1759</v>
      </c>
      <c r="K169" s="62" t="s">
        <v>163</v>
      </c>
      <c r="L169" s="130" t="s">
        <v>119</v>
      </c>
      <c r="M169" s="149" t="s">
        <v>1248</v>
      </c>
      <c r="N169" s="62"/>
      <c r="O169" s="65"/>
      <c r="P169" s="65"/>
      <c r="Q169" s="65"/>
      <c r="R169" s="66"/>
      <c r="AMD169" s="67"/>
      <c r="AME169" s="67"/>
      <c r="AMF169" s="67"/>
      <c r="AMG169" s="67"/>
      <c r="AMH169" s="67"/>
      <c r="AMI169" s="67"/>
      <c r="AMJ169" s="67"/>
    </row>
    <row r="170" s="135" customFormat="true" ht="13.5" hidden="false" customHeight="true" outlineLevel="0" collapsed="false">
      <c r="A170" s="126" t="n">
        <f aca="false">ROW()-8</f>
        <v>162</v>
      </c>
      <c r="B170" s="127"/>
      <c r="C170" s="141" t="s">
        <v>1760</v>
      </c>
      <c r="D170" s="129"/>
      <c r="E170" s="129"/>
      <c r="F170" s="129"/>
      <c r="G170" s="129"/>
      <c r="H170" s="62" t="s">
        <v>1761</v>
      </c>
      <c r="I170" s="63"/>
      <c r="J170" s="63" t="s">
        <v>1313</v>
      </c>
      <c r="K170" s="171" t="s">
        <v>1247</v>
      </c>
      <c r="L170" s="130"/>
      <c r="M170" s="62" t="s">
        <v>118</v>
      </c>
      <c r="N170" s="62"/>
      <c r="O170" s="65"/>
      <c r="P170" s="65"/>
      <c r="Q170" s="65"/>
      <c r="R170" s="66"/>
      <c r="AMD170" s="67"/>
      <c r="AME170" s="67"/>
      <c r="AMF170" s="67"/>
      <c r="AMG170" s="67"/>
      <c r="AMH170" s="67"/>
      <c r="AMI170" s="67"/>
      <c r="AMJ170" s="67"/>
    </row>
    <row r="171" s="135" customFormat="true" ht="13.5" hidden="false" customHeight="true" outlineLevel="0" collapsed="false">
      <c r="A171" s="126" t="n">
        <f aca="false">ROW()-8</f>
        <v>163</v>
      </c>
      <c r="B171" s="141" t="s">
        <v>1762</v>
      </c>
      <c r="C171" s="139"/>
      <c r="D171" s="139"/>
      <c r="E171" s="139"/>
      <c r="F171" s="139"/>
      <c r="G171" s="139"/>
      <c r="H171" s="62" t="s">
        <v>1763</v>
      </c>
      <c r="I171" s="63"/>
      <c r="J171" s="63" t="s">
        <v>1764</v>
      </c>
      <c r="K171" s="171" t="s">
        <v>1247</v>
      </c>
      <c r="L171" s="130" t="s">
        <v>119</v>
      </c>
      <c r="M171" s="149" t="s">
        <v>1764</v>
      </c>
      <c r="N171" s="62"/>
      <c r="O171" s="65"/>
      <c r="P171" s="143" t="s">
        <v>119</v>
      </c>
      <c r="Q171" s="143" t="s">
        <v>119</v>
      </c>
      <c r="R171" s="66"/>
      <c r="AMD171" s="67"/>
      <c r="AME171" s="67"/>
      <c r="AMF171" s="67"/>
      <c r="AMG171" s="67"/>
      <c r="AMH171" s="67"/>
      <c r="AMI171" s="67"/>
      <c r="AMJ171" s="67"/>
    </row>
    <row r="172" s="135" customFormat="true" ht="13.5" hidden="false" customHeight="true" outlineLevel="0" collapsed="false">
      <c r="A172" s="126" t="n">
        <f aca="false">ROW()-8</f>
        <v>164</v>
      </c>
      <c r="B172" s="127"/>
      <c r="C172" s="127" t="s">
        <v>1631</v>
      </c>
      <c r="D172" s="129"/>
      <c r="E172" s="129"/>
      <c r="F172" s="129"/>
      <c r="G172" s="129"/>
      <c r="H172" s="62" t="s">
        <v>1765</v>
      </c>
      <c r="I172" s="63" t="s">
        <v>1633</v>
      </c>
      <c r="J172" s="63" t="s">
        <v>1634</v>
      </c>
      <c r="K172" s="62" t="s">
        <v>163</v>
      </c>
      <c r="L172" s="130"/>
      <c r="M172" s="62" t="s">
        <v>118</v>
      </c>
      <c r="N172" s="62" t="s">
        <v>1635</v>
      </c>
      <c r="O172" s="65"/>
      <c r="P172" s="143" t="s">
        <v>119</v>
      </c>
      <c r="Q172" s="143" t="s">
        <v>119</v>
      </c>
      <c r="R172" s="66"/>
      <c r="AMD172" s="67"/>
      <c r="AME172" s="67"/>
      <c r="AMF172" s="67"/>
      <c r="AMG172" s="67"/>
      <c r="AMH172" s="67"/>
      <c r="AMI172" s="67"/>
      <c r="AMJ172" s="67"/>
    </row>
    <row r="173" s="135" customFormat="true" ht="13.5" hidden="false" customHeight="true" outlineLevel="0" collapsed="false">
      <c r="A173" s="126" t="n">
        <f aca="false">ROW()-8</f>
        <v>165</v>
      </c>
      <c r="B173" s="141"/>
      <c r="C173" s="129" t="s">
        <v>1766</v>
      </c>
      <c r="D173" s="129"/>
      <c r="E173" s="139"/>
      <c r="F173" s="139"/>
      <c r="G173" s="139"/>
      <c r="H173" s="62" t="s">
        <v>1767</v>
      </c>
      <c r="I173" s="63"/>
      <c r="J173" s="63" t="s">
        <v>1768</v>
      </c>
      <c r="K173" s="62" t="s">
        <v>117</v>
      </c>
      <c r="L173" s="130" t="s">
        <v>119</v>
      </c>
      <c r="M173" s="149" t="s">
        <v>1768</v>
      </c>
      <c r="N173" s="62"/>
      <c r="O173" s="65"/>
      <c r="P173" s="143" t="s">
        <v>119</v>
      </c>
      <c r="Q173" s="143" t="s">
        <v>119</v>
      </c>
      <c r="R173" s="66"/>
      <c r="AMD173" s="67"/>
      <c r="AME173" s="67"/>
      <c r="AMF173" s="67"/>
      <c r="AMG173" s="67"/>
      <c r="AMH173" s="67"/>
      <c r="AMI173" s="67"/>
      <c r="AMJ173" s="67"/>
    </row>
    <row r="174" s="135" customFormat="true" ht="13.5" hidden="false" customHeight="true" outlineLevel="0" collapsed="false">
      <c r="A174" s="126" t="n">
        <f aca="false">ROW()-8</f>
        <v>166</v>
      </c>
      <c r="B174" s="164"/>
      <c r="C174" s="164"/>
      <c r="D174" s="129" t="s">
        <v>1769</v>
      </c>
      <c r="E174" s="129"/>
      <c r="F174" s="129"/>
      <c r="G174" s="129"/>
      <c r="H174" s="62" t="s">
        <v>1770</v>
      </c>
      <c r="I174" s="63"/>
      <c r="J174" s="63" t="s">
        <v>1257</v>
      </c>
      <c r="K174" s="62" t="s">
        <v>163</v>
      </c>
      <c r="L174" s="130"/>
      <c r="M174" s="62" t="s">
        <v>118</v>
      </c>
      <c r="N174" s="64"/>
      <c r="O174" s="65"/>
      <c r="P174" s="143" t="s">
        <v>119</v>
      </c>
      <c r="Q174" s="143" t="s">
        <v>119</v>
      </c>
      <c r="R174" s="66"/>
      <c r="AMD174" s="67"/>
      <c r="AME174" s="67"/>
      <c r="AMF174" s="67"/>
      <c r="AMG174" s="67"/>
      <c r="AMH174" s="67"/>
      <c r="AMI174" s="67"/>
      <c r="AMJ174" s="67"/>
    </row>
    <row r="175" s="135" customFormat="true" ht="13.5" hidden="false" customHeight="true" outlineLevel="0" collapsed="false">
      <c r="A175" s="126" t="n">
        <f aca="false">ROW()-8</f>
        <v>167</v>
      </c>
      <c r="B175" s="127"/>
      <c r="C175" s="127"/>
      <c r="D175" s="129" t="s">
        <v>1771</v>
      </c>
      <c r="E175" s="129"/>
      <c r="F175" s="129"/>
      <c r="G175" s="129"/>
      <c r="H175" s="62" t="s">
        <v>1772</v>
      </c>
      <c r="I175" s="63" t="s">
        <v>1591</v>
      </c>
      <c r="J175" s="63" t="s">
        <v>1592</v>
      </c>
      <c r="K175" s="62" t="s">
        <v>117</v>
      </c>
      <c r="L175" s="130"/>
      <c r="M175" s="62" t="s">
        <v>118</v>
      </c>
      <c r="N175" s="137" t="s">
        <v>1773</v>
      </c>
      <c r="O175" s="65"/>
      <c r="P175" s="143" t="s">
        <v>119</v>
      </c>
      <c r="Q175" s="143" t="s">
        <v>119</v>
      </c>
      <c r="R175" s="66"/>
      <c r="AMD175" s="67"/>
      <c r="AME175" s="67"/>
      <c r="AMF175" s="67"/>
      <c r="AMG175" s="67"/>
      <c r="AMH175" s="67"/>
      <c r="AMI175" s="67"/>
      <c r="AMJ175" s="67"/>
    </row>
    <row r="176" s="135" customFormat="true" ht="13.5" hidden="false" customHeight="true" outlineLevel="0" collapsed="false">
      <c r="A176" s="126" t="n">
        <f aca="false">ROW()-8</f>
        <v>168</v>
      </c>
      <c r="B176" s="127"/>
      <c r="C176" s="127" t="s">
        <v>1774</v>
      </c>
      <c r="D176" s="129"/>
      <c r="E176" s="129"/>
      <c r="F176" s="129"/>
      <c r="G176" s="129"/>
      <c r="H176" s="62" t="s">
        <v>1775</v>
      </c>
      <c r="I176" s="63" t="s">
        <v>1776</v>
      </c>
      <c r="J176" s="63" t="s">
        <v>1777</v>
      </c>
      <c r="K176" s="62" t="s">
        <v>117</v>
      </c>
      <c r="L176" s="130"/>
      <c r="M176" s="62" t="s">
        <v>118</v>
      </c>
      <c r="N176" s="62" t="s">
        <v>1778</v>
      </c>
      <c r="O176" s="65"/>
      <c r="P176" s="65" t="s">
        <v>119</v>
      </c>
      <c r="Q176" s="65" t="s">
        <v>119</v>
      </c>
      <c r="R176" s="66"/>
      <c r="AMD176" s="67"/>
      <c r="AME176" s="67"/>
      <c r="AMF176" s="67"/>
      <c r="AMG176" s="67"/>
      <c r="AMH176" s="67"/>
      <c r="AMI176" s="67"/>
      <c r="AMJ176" s="67"/>
    </row>
    <row r="177" s="135" customFormat="true" ht="13.5" hidden="false" customHeight="true" outlineLevel="0" collapsed="false">
      <c r="A177" s="126" t="n">
        <f aca="false">ROW()-8</f>
        <v>169</v>
      </c>
      <c r="B177" s="141"/>
      <c r="C177" s="127" t="s">
        <v>1779</v>
      </c>
      <c r="D177" s="129"/>
      <c r="E177" s="129"/>
      <c r="F177" s="129"/>
      <c r="G177" s="129"/>
      <c r="H177" s="62" t="s">
        <v>1780</v>
      </c>
      <c r="I177" s="63" t="s">
        <v>1214</v>
      </c>
      <c r="J177" s="63" t="s">
        <v>1215</v>
      </c>
      <c r="K177" s="62" t="s">
        <v>163</v>
      </c>
      <c r="L177" s="130"/>
      <c r="M177" s="62" t="s">
        <v>134</v>
      </c>
      <c r="N177" s="62" t="s">
        <v>1216</v>
      </c>
      <c r="O177" s="65"/>
      <c r="P177" s="65" t="s">
        <v>119</v>
      </c>
      <c r="Q177" s="65" t="s">
        <v>119</v>
      </c>
      <c r="R177" s="66"/>
      <c r="AMD177" s="67"/>
      <c r="AME177" s="67"/>
      <c r="AMF177" s="67"/>
      <c r="AMG177" s="67"/>
      <c r="AMH177" s="67"/>
      <c r="AMI177" s="67"/>
      <c r="AMJ177" s="67"/>
    </row>
    <row r="178" s="135" customFormat="true" ht="13.5" hidden="false" customHeight="true" outlineLevel="0" collapsed="false">
      <c r="A178" s="126" t="n">
        <f aca="false">ROW()-8</f>
        <v>170</v>
      </c>
      <c r="B178" s="141"/>
      <c r="C178" s="129" t="s">
        <v>1781</v>
      </c>
      <c r="D178" s="129"/>
      <c r="E178" s="129"/>
      <c r="F178" s="129"/>
      <c r="G178" s="129"/>
      <c r="H178" s="62" t="s">
        <v>1782</v>
      </c>
      <c r="I178" s="63"/>
      <c r="J178" s="63" t="s">
        <v>1313</v>
      </c>
      <c r="K178" s="62" t="s">
        <v>117</v>
      </c>
      <c r="L178" s="130"/>
      <c r="M178" s="62" t="s">
        <v>118</v>
      </c>
      <c r="N178" s="62"/>
      <c r="O178" s="65"/>
      <c r="P178" s="143" t="s">
        <v>119</v>
      </c>
      <c r="Q178" s="143" t="s">
        <v>119</v>
      </c>
      <c r="R178" s="66"/>
      <c r="AMD178" s="67"/>
      <c r="AME178" s="67"/>
      <c r="AMF178" s="67"/>
      <c r="AMG178" s="67"/>
      <c r="AMH178" s="67"/>
      <c r="AMI178" s="67"/>
      <c r="AMJ178" s="67"/>
    </row>
    <row r="179" s="135" customFormat="true" ht="13.5" hidden="false" customHeight="true" outlineLevel="0" collapsed="false">
      <c r="A179" s="126" t="n">
        <f aca="false">ROW()-8</f>
        <v>171</v>
      </c>
      <c r="B179" s="127" t="s">
        <v>1783</v>
      </c>
      <c r="C179" s="139"/>
      <c r="D179" s="139"/>
      <c r="E179" s="139"/>
      <c r="F179" s="139"/>
      <c r="G179" s="139"/>
      <c r="H179" s="172" t="s">
        <v>1784</v>
      </c>
      <c r="I179" s="63"/>
      <c r="J179" s="63" t="s">
        <v>1785</v>
      </c>
      <c r="K179" s="62" t="s">
        <v>1247</v>
      </c>
      <c r="L179" s="130" t="s">
        <v>119</v>
      </c>
      <c r="M179" s="140" t="s">
        <v>1785</v>
      </c>
      <c r="O179" s="65"/>
      <c r="P179" s="65" t="s">
        <v>119</v>
      </c>
      <c r="Q179" s="65" t="s">
        <v>119</v>
      </c>
      <c r="R179" s="173"/>
      <c r="S179" s="135" t="s">
        <v>1786</v>
      </c>
      <c r="T179" s="135" t="s">
        <v>1787</v>
      </c>
      <c r="X179" s="135" t="n">
        <v>1</v>
      </c>
      <c r="AMD179" s="67"/>
      <c r="AME179" s="67"/>
      <c r="AMF179" s="67"/>
      <c r="AMG179" s="67"/>
      <c r="AMH179" s="67"/>
      <c r="AMI179" s="67"/>
      <c r="AMJ179" s="67"/>
    </row>
    <row r="180" s="135" customFormat="true" ht="13.5" hidden="false" customHeight="true" outlineLevel="0" collapsed="false">
      <c r="A180" s="126" t="n">
        <f aca="false">ROW()-8</f>
        <v>172</v>
      </c>
      <c r="B180" s="127"/>
      <c r="C180" s="141" t="s">
        <v>1631</v>
      </c>
      <c r="D180" s="129"/>
      <c r="E180" s="129"/>
      <c r="F180" s="129"/>
      <c r="G180" s="129"/>
      <c r="H180" s="62" t="s">
        <v>1788</v>
      </c>
      <c r="I180" s="63" t="s">
        <v>1633</v>
      </c>
      <c r="J180" s="63" t="s">
        <v>1634</v>
      </c>
      <c r="K180" s="62" t="s">
        <v>163</v>
      </c>
      <c r="L180" s="130"/>
      <c r="M180" s="62" t="s">
        <v>118</v>
      </c>
      <c r="O180" s="65"/>
      <c r="P180" s="65" t="s">
        <v>119</v>
      </c>
      <c r="Q180" s="65" t="s">
        <v>119</v>
      </c>
      <c r="R180" s="173"/>
      <c r="X180" s="135" t="n">
        <v>1</v>
      </c>
      <c r="AMD180" s="67"/>
      <c r="AME180" s="67"/>
      <c r="AMF180" s="67"/>
      <c r="AMG180" s="67"/>
      <c r="AMH180" s="67"/>
      <c r="AMI180" s="67"/>
      <c r="AMJ180" s="67"/>
    </row>
    <row r="181" s="135" customFormat="true" ht="13.5" hidden="false" customHeight="true" outlineLevel="0" collapsed="false">
      <c r="A181" s="126" t="n">
        <f aca="false">ROW()-8</f>
        <v>173</v>
      </c>
      <c r="B181" s="127"/>
      <c r="C181" s="129" t="s">
        <v>1789</v>
      </c>
      <c r="D181" s="129"/>
      <c r="E181" s="129"/>
      <c r="F181" s="129"/>
      <c r="G181" s="129"/>
      <c r="H181" s="62" t="s">
        <v>1790</v>
      </c>
      <c r="I181" s="63" t="s">
        <v>1214</v>
      </c>
      <c r="J181" s="63" t="s">
        <v>1215</v>
      </c>
      <c r="K181" s="136" t="s">
        <v>117</v>
      </c>
      <c r="L181" s="130"/>
      <c r="M181" s="62" t="s">
        <v>134</v>
      </c>
      <c r="N181" s="135" t="s">
        <v>1216</v>
      </c>
      <c r="O181" s="65"/>
      <c r="P181" s="65" t="s">
        <v>119</v>
      </c>
      <c r="Q181" s="65" t="s">
        <v>119</v>
      </c>
      <c r="R181" s="173"/>
      <c r="X181" s="135" t="n">
        <v>1</v>
      </c>
      <c r="AMD181" s="67"/>
      <c r="AME181" s="67"/>
      <c r="AMF181" s="67"/>
      <c r="AMG181" s="67"/>
      <c r="AMH181" s="67"/>
      <c r="AMI181" s="67"/>
      <c r="AMJ181" s="67"/>
    </row>
    <row r="182" s="135" customFormat="true" ht="12.75" hidden="false" customHeight="true" outlineLevel="0" collapsed="false">
      <c r="A182" s="126" t="n">
        <f aca="false">ROW()-8</f>
        <v>174</v>
      </c>
      <c r="B182" s="127"/>
      <c r="C182" s="129" t="s">
        <v>1791</v>
      </c>
      <c r="D182" s="139" t="s">
        <v>1792</v>
      </c>
      <c r="E182" s="139"/>
      <c r="F182" s="139"/>
      <c r="G182" s="139"/>
      <c r="H182" s="62" t="s">
        <v>1793</v>
      </c>
      <c r="I182" s="63"/>
      <c r="J182" s="63" t="s">
        <v>1768</v>
      </c>
      <c r="K182" s="136" t="s">
        <v>117</v>
      </c>
      <c r="L182" s="130" t="s">
        <v>119</v>
      </c>
      <c r="M182" s="149" t="s">
        <v>1768</v>
      </c>
      <c r="N182" s="62"/>
      <c r="O182" s="65"/>
      <c r="P182" s="65" t="s">
        <v>119</v>
      </c>
      <c r="Q182" s="65" t="s">
        <v>119</v>
      </c>
      <c r="R182" s="66"/>
      <c r="AMD182" s="169"/>
      <c r="AME182" s="169"/>
      <c r="AMF182" s="169"/>
      <c r="AMG182" s="169"/>
      <c r="AMH182" s="169"/>
      <c r="AMI182" s="169"/>
      <c r="AMJ182" s="169"/>
    </row>
    <row r="183" s="135" customFormat="true" ht="12.75" hidden="false" customHeight="true" outlineLevel="0" collapsed="false">
      <c r="A183" s="126" t="n">
        <f aca="false">ROW()-8</f>
        <v>175</v>
      </c>
      <c r="B183" s="127"/>
      <c r="C183" s="129" t="s">
        <v>1794</v>
      </c>
      <c r="D183" s="129"/>
      <c r="E183" s="129"/>
      <c r="F183" s="129"/>
      <c r="G183" s="129"/>
      <c r="H183" s="114" t="s">
        <v>1795</v>
      </c>
      <c r="I183" s="63" t="s">
        <v>1796</v>
      </c>
      <c r="J183" s="63" t="s">
        <v>1797</v>
      </c>
      <c r="K183" s="136" t="s">
        <v>117</v>
      </c>
      <c r="L183" s="130"/>
      <c r="M183" s="62" t="s">
        <v>118</v>
      </c>
      <c r="N183" s="63" t="s">
        <v>1798</v>
      </c>
      <c r="O183" s="65"/>
      <c r="P183" s="143" t="s">
        <v>119</v>
      </c>
      <c r="Q183" s="143" t="s">
        <v>119</v>
      </c>
      <c r="R183" s="66"/>
      <c r="AMD183" s="169"/>
      <c r="AME183" s="169"/>
      <c r="AMF183" s="169"/>
      <c r="AMG183" s="169"/>
      <c r="AMH183" s="169"/>
      <c r="AMI183" s="169"/>
      <c r="AMJ183" s="169"/>
    </row>
    <row r="184" s="135" customFormat="true" ht="12.75" hidden="false" customHeight="true" outlineLevel="0" collapsed="false">
      <c r="A184" s="126" t="n">
        <f aca="false">ROW()-8</f>
        <v>176</v>
      </c>
      <c r="B184" s="127"/>
      <c r="C184" s="141" t="s">
        <v>1799</v>
      </c>
      <c r="D184" s="141"/>
      <c r="E184" s="141"/>
      <c r="F184" s="141"/>
      <c r="G184" s="141"/>
      <c r="H184" s="114" t="s">
        <v>1800</v>
      </c>
      <c r="I184" s="63" t="s">
        <v>1801</v>
      </c>
      <c r="J184" s="63" t="s">
        <v>1802</v>
      </c>
      <c r="K184" s="136" t="s">
        <v>163</v>
      </c>
      <c r="L184" s="130"/>
      <c r="M184" s="62" t="s">
        <v>118</v>
      </c>
      <c r="N184" s="62" t="s">
        <v>1803</v>
      </c>
      <c r="O184" s="65"/>
      <c r="P184" s="65" t="s">
        <v>119</v>
      </c>
      <c r="Q184" s="65" t="s">
        <v>119</v>
      </c>
      <c r="R184" s="66"/>
      <c r="AMD184" s="169"/>
      <c r="AME184" s="169"/>
      <c r="AMF184" s="169"/>
      <c r="AMG184" s="169"/>
      <c r="AMH184" s="169"/>
      <c r="AMI184" s="169"/>
      <c r="AMJ184" s="169"/>
    </row>
    <row r="185" s="135" customFormat="true" ht="12.75" hidden="false" customHeight="true" outlineLevel="0" collapsed="false">
      <c r="A185" s="126" t="n">
        <f aca="false">ROW()-8</f>
        <v>177</v>
      </c>
      <c r="B185" s="127"/>
      <c r="C185" s="141" t="s">
        <v>1804</v>
      </c>
      <c r="D185" s="141"/>
      <c r="E185" s="141"/>
      <c r="F185" s="141"/>
      <c r="G185" s="141"/>
      <c r="H185" s="114" t="s">
        <v>1805</v>
      </c>
      <c r="I185" s="63" t="s">
        <v>1806</v>
      </c>
      <c r="J185" s="63" t="s">
        <v>1807</v>
      </c>
      <c r="K185" s="136" t="s">
        <v>163</v>
      </c>
      <c r="L185" s="130"/>
      <c r="M185" s="62" t="s">
        <v>118</v>
      </c>
      <c r="N185" s="62" t="s">
        <v>1808</v>
      </c>
      <c r="O185" s="65"/>
      <c r="P185" s="65"/>
      <c r="Q185" s="65"/>
      <c r="R185" s="66"/>
      <c r="AMD185" s="169"/>
      <c r="AME185" s="169"/>
      <c r="AMF185" s="169"/>
      <c r="AMG185" s="169"/>
      <c r="AMH185" s="169"/>
      <c r="AMI185" s="169"/>
      <c r="AMJ185" s="169"/>
    </row>
    <row r="186" s="135" customFormat="true" ht="12.75" hidden="false" customHeight="true" outlineLevel="0" collapsed="false">
      <c r="A186" s="126" t="n">
        <f aca="false">ROW()-8</f>
        <v>178</v>
      </c>
      <c r="B186" s="127"/>
      <c r="C186" s="127" t="s">
        <v>1809</v>
      </c>
      <c r="D186" s="141"/>
      <c r="E186" s="141"/>
      <c r="F186" s="141"/>
      <c r="G186" s="141"/>
      <c r="H186" s="172" t="s">
        <v>1810</v>
      </c>
      <c r="I186" s="137" t="s">
        <v>1811</v>
      </c>
      <c r="J186" s="63" t="s">
        <v>1812</v>
      </c>
      <c r="K186" s="136" t="s">
        <v>163</v>
      </c>
      <c r="L186" s="130"/>
      <c r="M186" s="62" t="s">
        <v>184</v>
      </c>
      <c r="N186" s="136"/>
      <c r="O186" s="143"/>
      <c r="P186" s="143" t="s">
        <v>119</v>
      </c>
      <c r="Q186" s="143" t="s">
        <v>119</v>
      </c>
      <c r="R186" s="66"/>
      <c r="AMD186" s="169"/>
      <c r="AME186" s="169"/>
      <c r="AMF186" s="169"/>
      <c r="AMG186" s="169"/>
      <c r="AMH186" s="169"/>
      <c r="AMI186" s="169"/>
      <c r="AMJ186" s="169"/>
    </row>
    <row r="187" s="135" customFormat="true" ht="12.75" hidden="false" customHeight="true" outlineLevel="0" collapsed="false">
      <c r="A187" s="126" t="n">
        <f aca="false">ROW()-8</f>
        <v>179</v>
      </c>
      <c r="B187" s="127"/>
      <c r="C187" s="127" t="s">
        <v>1813</v>
      </c>
      <c r="D187" s="141"/>
      <c r="E187" s="141"/>
      <c r="F187" s="141"/>
      <c r="G187" s="141"/>
      <c r="H187" s="172" t="s">
        <v>1814</v>
      </c>
      <c r="I187" s="137" t="s">
        <v>1815</v>
      </c>
      <c r="J187" s="63" t="s">
        <v>1816</v>
      </c>
      <c r="K187" s="171" t="s">
        <v>163</v>
      </c>
      <c r="L187" s="130"/>
      <c r="M187" s="62" t="s">
        <v>118</v>
      </c>
      <c r="N187" s="137" t="s">
        <v>1817</v>
      </c>
      <c r="O187" s="138"/>
      <c r="P187" s="143" t="s">
        <v>119</v>
      </c>
      <c r="Q187" s="143" t="s">
        <v>119</v>
      </c>
      <c r="R187" s="66"/>
      <c r="AMD187" s="169"/>
      <c r="AME187" s="169"/>
      <c r="AMF187" s="169"/>
      <c r="AMG187" s="169"/>
      <c r="AMH187" s="169"/>
      <c r="AMI187" s="169"/>
      <c r="AMJ187" s="169"/>
    </row>
    <row r="188" s="135" customFormat="true" ht="12.75" hidden="false" customHeight="true" outlineLevel="0" collapsed="false">
      <c r="A188" s="126" t="n">
        <f aca="false">ROW()-8</f>
        <v>180</v>
      </c>
      <c r="B188" s="127"/>
      <c r="C188" s="141" t="s">
        <v>1818</v>
      </c>
      <c r="D188" s="141"/>
      <c r="E188" s="141"/>
      <c r="F188" s="141"/>
      <c r="G188" s="141"/>
      <c r="H188" s="62" t="s">
        <v>1819</v>
      </c>
      <c r="I188" s="63"/>
      <c r="J188" s="62" t="s">
        <v>1820</v>
      </c>
      <c r="K188" s="62" t="s">
        <v>163</v>
      </c>
      <c r="L188" s="130" t="s">
        <v>119</v>
      </c>
      <c r="M188" s="140" t="s">
        <v>1820</v>
      </c>
      <c r="N188" s="136"/>
      <c r="O188" s="143"/>
      <c r="P188" s="143" t="s">
        <v>119</v>
      </c>
      <c r="Q188" s="143" t="s">
        <v>119</v>
      </c>
      <c r="R188" s="66"/>
      <c r="AMD188" s="145"/>
      <c r="AME188" s="145"/>
      <c r="AMF188" s="145"/>
      <c r="AMG188" s="145"/>
      <c r="AMH188" s="145"/>
      <c r="AMI188" s="145"/>
      <c r="AMJ188" s="145"/>
    </row>
    <row r="189" s="135" customFormat="true" ht="12.75" hidden="false" customHeight="true" outlineLevel="0" collapsed="false">
      <c r="A189" s="126" t="n">
        <f aca="false">ROW()-8</f>
        <v>181</v>
      </c>
      <c r="B189" s="129"/>
      <c r="C189" s="129"/>
      <c r="D189" s="129" t="s">
        <v>1328</v>
      </c>
      <c r="E189" s="139" t="s">
        <v>1821</v>
      </c>
      <c r="F189" s="139"/>
      <c r="G189" s="139"/>
      <c r="H189" s="174" t="s">
        <v>1329</v>
      </c>
      <c r="I189" s="137"/>
      <c r="J189" s="137" t="s">
        <v>1330</v>
      </c>
      <c r="K189" s="62" t="s">
        <v>1247</v>
      </c>
      <c r="L189" s="130" t="s">
        <v>119</v>
      </c>
      <c r="M189" s="140" t="s">
        <v>1330</v>
      </c>
      <c r="N189" s="62"/>
      <c r="O189" s="138"/>
      <c r="P189" s="143" t="s">
        <v>119</v>
      </c>
      <c r="Q189" s="143" t="s">
        <v>119</v>
      </c>
      <c r="R189" s="66"/>
      <c r="AMD189" s="169"/>
      <c r="AME189" s="169"/>
      <c r="AMF189" s="169"/>
      <c r="AMG189" s="169"/>
      <c r="AMH189" s="169"/>
      <c r="AMI189" s="169"/>
      <c r="AMJ189" s="169"/>
    </row>
    <row r="190" s="135" customFormat="true" ht="13.5" hidden="false" customHeight="true" outlineLevel="0" collapsed="false">
      <c r="A190" s="126" t="n">
        <f aca="false">ROW()-8</f>
        <v>182</v>
      </c>
      <c r="B190" s="127"/>
      <c r="C190" s="129"/>
      <c r="D190" s="129"/>
      <c r="E190" s="129" t="s">
        <v>1331</v>
      </c>
      <c r="F190" s="129"/>
      <c r="G190" s="129"/>
      <c r="H190" s="62" t="s">
        <v>1332</v>
      </c>
      <c r="I190" s="63" t="s">
        <v>1333</v>
      </c>
      <c r="J190" s="63" t="s">
        <v>162</v>
      </c>
      <c r="K190" s="62" t="s">
        <v>117</v>
      </c>
      <c r="L190" s="130"/>
      <c r="M190" s="62" t="s">
        <v>118</v>
      </c>
      <c r="N190" s="137" t="s">
        <v>1334</v>
      </c>
      <c r="O190" s="143"/>
      <c r="P190" s="143"/>
      <c r="Q190" s="65" t="s">
        <v>119</v>
      </c>
      <c r="R190" s="66"/>
      <c r="AMD190" s="67"/>
      <c r="AME190" s="67"/>
      <c r="AMF190" s="67"/>
      <c r="AMG190" s="67"/>
      <c r="AMH190" s="67"/>
      <c r="AMI190" s="67"/>
      <c r="AMJ190" s="67"/>
    </row>
    <row r="191" s="135" customFormat="true" ht="13.5" hidden="false" customHeight="true" outlineLevel="0" collapsed="false">
      <c r="A191" s="126" t="n">
        <f aca="false">ROW()-8</f>
        <v>183</v>
      </c>
      <c r="B191" s="127"/>
      <c r="C191" s="129"/>
      <c r="D191" s="129"/>
      <c r="E191" s="129" t="s">
        <v>1335</v>
      </c>
      <c r="F191" s="129"/>
      <c r="G191" s="129"/>
      <c r="H191" s="62" t="s">
        <v>1336</v>
      </c>
      <c r="I191" s="63" t="s">
        <v>1337</v>
      </c>
      <c r="J191" s="63" t="s">
        <v>1338</v>
      </c>
      <c r="K191" s="62" t="s">
        <v>117</v>
      </c>
      <c r="L191" s="130"/>
      <c r="M191" s="62" t="s">
        <v>118</v>
      </c>
      <c r="N191" s="137" t="s">
        <v>1339</v>
      </c>
      <c r="O191" s="138"/>
      <c r="P191" s="143"/>
      <c r="Q191" s="65" t="s">
        <v>119</v>
      </c>
      <c r="R191" s="66"/>
      <c r="AMD191" s="67"/>
      <c r="AME191" s="67"/>
      <c r="AMF191" s="67"/>
      <c r="AMG191" s="67"/>
      <c r="AMH191" s="67"/>
      <c r="AMI191" s="67"/>
      <c r="AMJ191" s="67"/>
    </row>
    <row r="192" s="135" customFormat="true" ht="15" hidden="false" customHeight="true" outlineLevel="0" collapsed="false">
      <c r="A192" s="126" t="n">
        <f aca="false">ROW()-8</f>
        <v>184</v>
      </c>
      <c r="B192" s="127"/>
      <c r="C192" s="127"/>
      <c r="D192" s="127" t="s">
        <v>1492</v>
      </c>
      <c r="E192" s="127"/>
      <c r="F192" s="127"/>
      <c r="G192" s="127"/>
      <c r="H192" s="62" t="s">
        <v>1493</v>
      </c>
      <c r="I192" s="63" t="s">
        <v>1822</v>
      </c>
      <c r="J192" s="63" t="s">
        <v>1313</v>
      </c>
      <c r="K192" s="62" t="s">
        <v>163</v>
      </c>
      <c r="L192" s="130"/>
      <c r="M192" s="62" t="s">
        <v>118</v>
      </c>
      <c r="N192" s="136"/>
      <c r="O192" s="65"/>
      <c r="P192" s="65" t="s">
        <v>119</v>
      </c>
      <c r="Q192" s="65" t="s">
        <v>119</v>
      </c>
      <c r="R192" s="66"/>
      <c r="AMD192" s="67"/>
      <c r="AME192" s="67"/>
      <c r="AMF192" s="67"/>
      <c r="AMG192" s="67"/>
      <c r="AMH192" s="67"/>
      <c r="AMI192" s="67"/>
      <c r="AMJ192" s="67"/>
    </row>
    <row r="193" s="135" customFormat="true" ht="12.75" hidden="false" customHeight="true" outlineLevel="0" collapsed="false">
      <c r="A193" s="126" t="n">
        <f aca="false">ROW()-8</f>
        <v>185</v>
      </c>
      <c r="B193" s="129" t="s">
        <v>1823</v>
      </c>
      <c r="C193" s="129"/>
      <c r="D193" s="129"/>
      <c r="E193" s="129"/>
      <c r="F193" s="129"/>
      <c r="G193" s="129"/>
      <c r="H193" s="174" t="s">
        <v>1824</v>
      </c>
      <c r="I193" s="137" t="s">
        <v>1825</v>
      </c>
      <c r="J193" s="175" t="s">
        <v>1826</v>
      </c>
      <c r="K193" s="62" t="s">
        <v>163</v>
      </c>
      <c r="L193" s="130"/>
      <c r="M193" s="62" t="s">
        <v>118</v>
      </c>
      <c r="N193" s="62" t="s">
        <v>1827</v>
      </c>
      <c r="O193" s="138"/>
      <c r="P193" s="143"/>
      <c r="Q193" s="143"/>
      <c r="R193" s="66"/>
      <c r="AMD193" s="169"/>
      <c r="AME193" s="169"/>
      <c r="AMF193" s="169"/>
      <c r="AMG193" s="169"/>
      <c r="AMH193" s="169"/>
      <c r="AMI193" s="169"/>
      <c r="AMJ193" s="169"/>
    </row>
    <row r="194" s="135" customFormat="true" ht="12.75" hidden="false" customHeight="true" outlineLevel="0" collapsed="false">
      <c r="A194" s="126" t="n">
        <f aca="false">ROW()-8</f>
        <v>186</v>
      </c>
      <c r="B194" s="127" t="s">
        <v>1828</v>
      </c>
      <c r="C194" s="133"/>
      <c r="D194" s="129"/>
      <c r="E194" s="129"/>
      <c r="F194" s="129"/>
      <c r="G194" s="129"/>
      <c r="H194" s="62" t="s">
        <v>1829</v>
      </c>
      <c r="I194" s="63" t="s">
        <v>1830</v>
      </c>
      <c r="J194" s="63" t="s">
        <v>1313</v>
      </c>
      <c r="K194" s="62" t="s">
        <v>163</v>
      </c>
      <c r="L194" s="130"/>
      <c r="M194" s="62" t="s">
        <v>118</v>
      </c>
      <c r="N194" s="62"/>
      <c r="O194" s="65"/>
      <c r="P194" s="65"/>
      <c r="Q194" s="65" t="s">
        <v>119</v>
      </c>
      <c r="R194" s="66"/>
      <c r="AMD194" s="145"/>
      <c r="AME194" s="145"/>
      <c r="AMF194" s="145"/>
      <c r="AMG194" s="145"/>
      <c r="AMH194" s="145"/>
      <c r="AMI194" s="145"/>
      <c r="AMJ194" s="145"/>
    </row>
    <row r="195" s="135" customFormat="true" ht="14.25" hidden="false" customHeight="true" outlineLevel="0" collapsed="false">
      <c r="A195" s="126" t="n">
        <f aca="false">ROW()-8</f>
        <v>187</v>
      </c>
      <c r="B195" s="127" t="s">
        <v>1831</v>
      </c>
      <c r="C195" s="139" t="s">
        <v>1832</v>
      </c>
      <c r="D195" s="139"/>
      <c r="E195" s="139"/>
      <c r="F195" s="139"/>
      <c r="G195" s="139"/>
      <c r="H195" s="62" t="s">
        <v>1833</v>
      </c>
      <c r="I195" s="63"/>
      <c r="J195" s="63" t="s">
        <v>1834</v>
      </c>
      <c r="K195" s="62" t="s">
        <v>1247</v>
      </c>
      <c r="L195" s="130" t="s">
        <v>119</v>
      </c>
      <c r="M195" s="140" t="s">
        <v>1498</v>
      </c>
      <c r="N195" s="62"/>
      <c r="O195" s="65" t="s">
        <v>119</v>
      </c>
      <c r="P195" s="65"/>
      <c r="Q195" s="65"/>
      <c r="R195" s="66"/>
      <c r="AMD195" s="67"/>
      <c r="AME195" s="67"/>
      <c r="AMF195" s="67"/>
      <c r="AMG195" s="67"/>
      <c r="AMH195" s="67"/>
      <c r="AMI195" s="67"/>
      <c r="AMJ195" s="67"/>
    </row>
    <row r="196" s="135" customFormat="true" ht="12.75" hidden="false" customHeight="true" outlineLevel="0" collapsed="false">
      <c r="A196" s="126" t="n">
        <f aca="false">ROW()-8</f>
        <v>188</v>
      </c>
      <c r="B196" s="127" t="s">
        <v>1835</v>
      </c>
      <c r="C196" s="176"/>
      <c r="D196" s="129"/>
      <c r="E196" s="129"/>
      <c r="F196" s="129"/>
      <c r="G196" s="129"/>
      <c r="H196" s="62" t="s">
        <v>1836</v>
      </c>
      <c r="I196" s="63" t="s">
        <v>1837</v>
      </c>
      <c r="J196" s="63" t="s">
        <v>1313</v>
      </c>
      <c r="K196" s="62" t="s">
        <v>1247</v>
      </c>
      <c r="L196" s="130"/>
      <c r="M196" s="62" t="s">
        <v>118</v>
      </c>
      <c r="N196" s="62"/>
      <c r="O196" s="64" t="s">
        <v>119</v>
      </c>
      <c r="P196" s="64"/>
      <c r="Q196" s="64"/>
      <c r="R196" s="66"/>
      <c r="AMD196" s="145"/>
      <c r="AME196" s="145"/>
      <c r="AMF196" s="145"/>
      <c r="AMG196" s="145"/>
      <c r="AMH196" s="145"/>
      <c r="AMI196" s="145"/>
      <c r="AMJ196" s="145"/>
    </row>
    <row r="197" s="135" customFormat="true" ht="12.75" hidden="false" customHeight="true" outlineLevel="0" collapsed="false">
      <c r="A197" s="126" t="n">
        <f aca="false">ROW()-8</f>
        <v>189</v>
      </c>
      <c r="B197" s="127" t="s">
        <v>1838</v>
      </c>
      <c r="C197" s="133"/>
      <c r="D197" s="139"/>
      <c r="E197" s="139"/>
      <c r="F197" s="139"/>
      <c r="G197" s="139"/>
      <c r="H197" s="62" t="s">
        <v>1839</v>
      </c>
      <c r="I197" s="63"/>
      <c r="J197" s="62" t="s">
        <v>1840</v>
      </c>
      <c r="K197" s="62" t="s">
        <v>163</v>
      </c>
      <c r="L197" s="130" t="s">
        <v>119</v>
      </c>
      <c r="M197" s="62" t="s">
        <v>1840</v>
      </c>
      <c r="N197" s="62"/>
      <c r="O197" s="65" t="s">
        <v>119</v>
      </c>
      <c r="P197" s="65" t="s">
        <v>119</v>
      </c>
      <c r="Q197" s="65" t="s">
        <v>119</v>
      </c>
      <c r="R197" s="66"/>
      <c r="AMD197" s="145"/>
      <c r="AME197" s="145"/>
      <c r="AMF197" s="145"/>
      <c r="AMG197" s="145"/>
      <c r="AMH197" s="145"/>
      <c r="AMI197" s="145"/>
      <c r="AMJ197" s="145"/>
    </row>
    <row r="198" s="135" customFormat="true" ht="12.75" hidden="false" customHeight="true" outlineLevel="0" collapsed="false">
      <c r="A198" s="126" t="n">
        <f aca="false">ROW()-8</f>
        <v>190</v>
      </c>
      <c r="B198" s="127"/>
      <c r="C198" s="133" t="s">
        <v>1841</v>
      </c>
      <c r="D198" s="139"/>
      <c r="E198" s="139"/>
      <c r="F198" s="139"/>
      <c r="G198" s="139"/>
      <c r="H198" s="62" t="s">
        <v>1842</v>
      </c>
      <c r="I198" s="63"/>
      <c r="J198" s="63" t="s">
        <v>1843</v>
      </c>
      <c r="K198" s="177" t="s">
        <v>1844</v>
      </c>
      <c r="L198" s="130" t="s">
        <v>119</v>
      </c>
      <c r="M198" s="140" t="s">
        <v>1843</v>
      </c>
      <c r="N198" s="62"/>
      <c r="O198" s="65" t="s">
        <v>119</v>
      </c>
      <c r="P198" s="65" t="s">
        <v>119</v>
      </c>
      <c r="Q198" s="65" t="s">
        <v>119</v>
      </c>
      <c r="R198" s="66"/>
      <c r="AMD198" s="145"/>
      <c r="AME198" s="145"/>
      <c r="AMF198" s="145"/>
      <c r="AMG198" s="145"/>
      <c r="AMH198" s="145"/>
      <c r="AMI198" s="145"/>
      <c r="AMJ198" s="145"/>
    </row>
    <row r="199" s="135" customFormat="true" ht="12.75" hidden="false" customHeight="true" outlineLevel="0" collapsed="false">
      <c r="A199" s="126" t="n">
        <f aca="false">ROW()-8</f>
        <v>191</v>
      </c>
      <c r="B199" s="127"/>
      <c r="C199" s="133"/>
      <c r="D199" s="129" t="s">
        <v>1845</v>
      </c>
      <c r="E199" s="133"/>
      <c r="F199" s="129"/>
      <c r="G199" s="129"/>
      <c r="H199" s="62" t="s">
        <v>1846</v>
      </c>
      <c r="I199" s="63" t="s">
        <v>1847</v>
      </c>
      <c r="J199" s="63" t="s">
        <v>1848</v>
      </c>
      <c r="K199" s="62" t="s">
        <v>117</v>
      </c>
      <c r="L199" s="130"/>
      <c r="M199" s="62" t="s">
        <v>118</v>
      </c>
      <c r="N199" s="62"/>
      <c r="O199" s="65" t="s">
        <v>119</v>
      </c>
      <c r="P199" s="65" t="s">
        <v>119</v>
      </c>
      <c r="Q199" s="65" t="s">
        <v>119</v>
      </c>
      <c r="R199" s="66"/>
      <c r="AMD199" s="145"/>
      <c r="AME199" s="145"/>
      <c r="AMF199" s="145"/>
      <c r="AMG199" s="145"/>
      <c r="AMH199" s="145"/>
      <c r="AMI199" s="145"/>
      <c r="AMJ199" s="145"/>
    </row>
    <row r="200" s="135" customFormat="true" ht="12.75" hidden="false" customHeight="true" outlineLevel="0" collapsed="false">
      <c r="A200" s="126" t="n">
        <f aca="false">ROW()-8</f>
        <v>192</v>
      </c>
      <c r="B200" s="127"/>
      <c r="C200" s="133"/>
      <c r="D200" s="129" t="s">
        <v>1254</v>
      </c>
      <c r="E200" s="133"/>
      <c r="F200" s="129"/>
      <c r="G200" s="129"/>
      <c r="H200" s="62" t="s">
        <v>1849</v>
      </c>
      <c r="I200" s="63" t="s">
        <v>1850</v>
      </c>
      <c r="J200" s="63" t="s">
        <v>1257</v>
      </c>
      <c r="K200" s="62" t="s">
        <v>163</v>
      </c>
      <c r="L200" s="130"/>
      <c r="M200" s="62" t="s">
        <v>118</v>
      </c>
      <c r="N200" s="62"/>
      <c r="O200" s="65" t="s">
        <v>119</v>
      </c>
      <c r="P200" s="65" t="s">
        <v>119</v>
      </c>
      <c r="Q200" s="65" t="s">
        <v>119</v>
      </c>
      <c r="R200" s="66"/>
      <c r="AMD200" s="145"/>
      <c r="AME200" s="145"/>
      <c r="AMF200" s="145"/>
      <c r="AMG200" s="145"/>
      <c r="AMH200" s="145"/>
      <c r="AMI200" s="145"/>
      <c r="AMJ200" s="145"/>
    </row>
    <row r="201" s="135" customFormat="true" ht="12.75" hidden="false" customHeight="true" outlineLevel="0" collapsed="false">
      <c r="A201" s="126" t="n">
        <f aca="false">ROW()-8</f>
        <v>193</v>
      </c>
      <c r="B201" s="127"/>
      <c r="C201" s="133"/>
      <c r="D201" s="129" t="s">
        <v>1851</v>
      </c>
      <c r="E201" s="133"/>
      <c r="F201" s="129"/>
      <c r="G201" s="129"/>
      <c r="H201" s="62" t="s">
        <v>1852</v>
      </c>
      <c r="I201" s="63" t="s">
        <v>1853</v>
      </c>
      <c r="J201" s="63" t="s">
        <v>1338</v>
      </c>
      <c r="K201" s="62" t="s">
        <v>117</v>
      </c>
      <c r="L201" s="130"/>
      <c r="M201" s="62" t="s">
        <v>118</v>
      </c>
      <c r="N201" s="62"/>
      <c r="O201" s="65" t="s">
        <v>119</v>
      </c>
      <c r="P201" s="65" t="s">
        <v>119</v>
      </c>
      <c r="Q201" s="65" t="s">
        <v>119</v>
      </c>
      <c r="R201" s="66"/>
      <c r="AMD201" s="145"/>
      <c r="AME201" s="145"/>
      <c r="AMF201" s="145"/>
      <c r="AMG201" s="145"/>
      <c r="AMH201" s="145"/>
      <c r="AMI201" s="145"/>
      <c r="AMJ201" s="145"/>
    </row>
    <row r="202" s="178" customFormat="true" ht="12.75" hidden="false" customHeight="true" outlineLevel="0" collapsed="false">
      <c r="A202" s="126" t="n">
        <f aca="false">ROW()-8</f>
        <v>194</v>
      </c>
      <c r="B202" s="127"/>
      <c r="C202" s="176"/>
      <c r="D202" s="133" t="s">
        <v>1854</v>
      </c>
      <c r="E202" s="133"/>
      <c r="F202" s="129"/>
      <c r="G202" s="129"/>
      <c r="H202" s="62" t="s">
        <v>1855</v>
      </c>
      <c r="I202" s="63" t="s">
        <v>1856</v>
      </c>
      <c r="J202" s="63" t="s">
        <v>1313</v>
      </c>
      <c r="K202" s="62" t="s">
        <v>163</v>
      </c>
      <c r="L202" s="130"/>
      <c r="M202" s="62" t="s">
        <v>118</v>
      </c>
      <c r="N202" s="62"/>
      <c r="O202" s="64" t="s">
        <v>119</v>
      </c>
      <c r="P202" s="64" t="s">
        <v>119</v>
      </c>
      <c r="Q202" s="64" t="s">
        <v>119</v>
      </c>
      <c r="R202" s="66"/>
      <c r="AMD202" s="145"/>
      <c r="AME202" s="145"/>
      <c r="AMF202" s="145"/>
      <c r="AMG202" s="145"/>
      <c r="AMH202" s="145"/>
      <c r="AMI202" s="145"/>
      <c r="AMJ202" s="145"/>
    </row>
    <row r="203" s="70" customFormat="true" ht="12" hidden="false" customHeight="true" outlineLevel="0" collapsed="false">
      <c r="A203" s="60"/>
      <c r="B203" s="67"/>
      <c r="C203" s="60"/>
      <c r="D203" s="60"/>
      <c r="E203" s="60"/>
      <c r="F203" s="60"/>
      <c r="G203" s="60"/>
      <c r="H203" s="60"/>
      <c r="I203" s="60"/>
      <c r="J203" s="69"/>
      <c r="K203" s="60"/>
      <c r="L203" s="179" t="n">
        <f aca="false">SUBTOTAL(103,createCase20[Objet])</f>
        <v>60</v>
      </c>
      <c r="M203" s="60"/>
      <c r="O203" s="70" t="n">
        <f aca="false">SUBTOTAL(103,createCase20[15-18])</f>
        <v>104</v>
      </c>
      <c r="P203" s="70" t="n">
        <f aca="false">SUBTOTAL(103,createCase20[15-15])</f>
        <v>134</v>
      </c>
      <c r="Q203" s="70" t="n">
        <f aca="false">SUBTOTAL(103,createCase20[15-MAJ])</f>
        <v>80</v>
      </c>
      <c r="AMD203" s="67"/>
      <c r="AME203" s="67"/>
      <c r="AMF203" s="67"/>
      <c r="AMG203" s="67"/>
      <c r="AMH203" s="67"/>
      <c r="AMI203" s="67"/>
      <c r="AMJ203" s="67"/>
    </row>
  </sheetData>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priority="2" aboveAverage="0" equalAverage="0" bottom="0" percent="0" rank="0" text="" dxfId="35">
      <formula>#ref!=1</formula>
    </cfRule>
  </conditionalFormatting>
  <conditionalFormatting sqref="A204:F205 A225:F1065">
    <cfRule type="expression" priority="3" aboveAverage="0" equalAverage="0" bottom="0" percent="0" rank="0" text="" dxfId="36">
      <formula>OR(#ref!="X",#ref!="X")</formula>
    </cfRule>
    <cfRule type="expression" priority="4" aboveAverage="0" equalAverage="0" bottom="0" percent="0" rank="0" text="" dxfId="37">
      <formula>AND(#ref!=1,#ref!=1)</formula>
    </cfRule>
    <cfRule type="expression" priority="5" aboveAverage="0" equalAverage="0" bottom="0" percent="0" rank="0" text="" dxfId="38">
      <formula>#ref!=1</formula>
    </cfRule>
    <cfRule type="expression" priority="6" aboveAverage="0" equalAverage="0" bottom="0" percent="0" rank="0" text="" dxfId="39">
      <formula>#ref!=1</formula>
    </cfRule>
  </conditionalFormatting>
  <conditionalFormatting sqref="B14:B15 C90:C91 C142">
    <cfRule type="expression" priority="7" aboveAverage="0" equalAverage="0" bottom="0" percent="0" rank="0" text="" dxfId="40">
      <formula>AND(#ref!=1,#ref!=1)</formula>
    </cfRule>
    <cfRule type="expression" priority="8" aboveAverage="0" equalAverage="0" bottom="0" percent="0" rank="0" text="" dxfId="41">
      <formula>#ref!=1</formula>
    </cfRule>
    <cfRule type="expression" priority="9" aboveAverage="0" equalAverage="0" bottom="0" percent="0" rank="0" text="" dxfId="42">
      <formula>#ref!=1</formula>
    </cfRule>
  </conditionalFormatting>
  <conditionalFormatting sqref="B163:B165">
    <cfRule type="expression" priority="10" aboveAverage="0" equalAverage="0" bottom="0" percent="0" rank="0" text="" dxfId="43">
      <formula>AND($L163="X",#ref!&lt;&gt;"")</formula>
    </cfRule>
  </conditionalFormatting>
  <conditionalFormatting sqref="B171">
    <cfRule type="expression" priority="11" aboveAverage="0" equalAverage="0" bottom="0" percent="0" rank="0" text="" dxfId="44">
      <formula>AND($L171="X",#ref!&lt;&gt;"")</formula>
    </cfRule>
  </conditionalFormatting>
  <conditionalFormatting sqref="B173:B175 B177:B178">
    <cfRule type="expression" priority="12" aboveAverage="0" equalAverage="0" bottom="0" percent="0" rank="0" text="" dxfId="45">
      <formula>AND($L173="X",#ref!&lt;&gt;"")</formula>
    </cfRule>
  </conditionalFormatting>
  <conditionalFormatting sqref="B179:B181">
    <cfRule type="expression" priority="13" aboveAverage="0" equalAverage="0" bottom="0" percent="0" rank="0" text="" dxfId="46">
      <formula>AND(#ref!="X",#ref!&lt;&gt;"")</formula>
    </cfRule>
  </conditionalFormatting>
  <conditionalFormatting sqref="B189">
    <cfRule type="expression" priority="14" aboveAverage="0" equalAverage="0" bottom="0" percent="0" rank="0" text="" dxfId="47">
      <formula>AND($L189="X",OR(#ref!&lt;&gt;"",#ref!&lt;&gt;"",#ref!&lt;&gt;""))</formula>
    </cfRule>
    <cfRule type="expression" priority="15" aboveAverage="0" equalAverage="0" bottom="0" percent="0" rank="0" text="" dxfId="48">
      <formula>AND($L189="X",OR(#ref!&lt;&gt;"",#ref!&lt;&gt;""))</formula>
    </cfRule>
  </conditionalFormatting>
  <conditionalFormatting sqref="B193">
    <cfRule type="expression" priority="16" aboveAverage="0" equalAverage="0" bottom="0" percent="0" rank="0" text="" dxfId="49">
      <formula>AND($L193="X",OR(#ref!&lt;&gt;"",#ref!&lt;&gt;"",#ref!&lt;&gt;""))</formula>
    </cfRule>
    <cfRule type="expression" priority="17" aboveAverage="0" equalAverage="0" bottom="0" percent="0" rank="0" text="" dxfId="5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priority="18" aboveAverage="0" equalAverage="0" bottom="0" percent="0" rank="0" text="" dxfId="51">
      <formula>OR(#ref!="X",#ref!="X")</formula>
    </cfRule>
  </conditionalFormatting>
  <conditionalFormatting sqref="B10:G13">
    <cfRule type="expression" priority="19" aboveAverage="0" equalAverage="0" bottom="0" percent="0" rank="0" text="" dxfId="52">
      <formula>#ref!=1</formula>
    </cfRule>
    <cfRule type="expression" priority="20" aboveAverage="0" equalAverage="0" bottom="0" percent="0" rank="0" text="" dxfId="53">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priority="21" aboveAverage="0" equalAverage="0" bottom="0" percent="0" rank="0" text="" dxfId="54">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priority="22" aboveAverage="0" equalAverage="0" bottom="0" percent="0" rank="0" text="" dxfId="55">
      <formula>#ref!=1</formula>
    </cfRule>
  </conditionalFormatting>
  <conditionalFormatting sqref="B130:G132">
    <cfRule type="expression" priority="23" aboveAverage="0" equalAverage="0" bottom="0" percent="0" rank="0" text="" dxfId="56">
      <formula>AND(#ref!=1,#ref!=1)</formula>
    </cfRule>
    <cfRule type="expression" priority="24" aboveAverage="0" equalAverage="0" bottom="0" percent="0" rank="0" text="" dxfId="57">
      <formula>#ref!=1</formula>
    </cfRule>
  </conditionalFormatting>
  <conditionalFormatting sqref="C39:C40 C190:C191">
    <cfRule type="expression" priority="25" aboveAverage="0" equalAverage="0" bottom="0" percent="0" rank="0" text="" dxfId="58">
      <formula>AND($L39="X",OR(#ref!&lt;&gt;"",$B39&lt;&gt;""))</formula>
    </cfRule>
    <cfRule type="expression" priority="26" aboveAverage="0" equalAverage="0" bottom="0" percent="0" rank="0" text="" dxfId="59">
      <formula>OR(#ref!="X",#ref!="X")</formula>
    </cfRule>
    <cfRule type="expression" priority="27" aboveAverage="0" equalAverage="0" bottom="0" percent="0" rank="0" text="" dxfId="60">
      <formula>AND(#ref!=1,#ref!=1)</formula>
    </cfRule>
    <cfRule type="expression" priority="28" aboveAverage="0" equalAverage="0" bottom="0" percent="0" rank="0" text="" dxfId="61">
      <formula>#ref!=1</formula>
    </cfRule>
    <cfRule type="expression" priority="29" aboveAverage="0" equalAverage="0" bottom="0" percent="0" rank="0" text="" dxfId="62">
      <formula>#ref!=1</formula>
    </cfRule>
  </conditionalFormatting>
  <conditionalFormatting sqref="C85 F85:G85">
    <cfRule type="expression" priority="30" aboveAverage="0" equalAverage="0" bottom="0" percent="0" rank="0" text="" dxfId="63">
      <formula>AND($L85="X",OR($B85&lt;&gt;"",#ref!&lt;&gt;"",$C85&lt;&gt;""))</formula>
    </cfRule>
    <cfRule type="expression" priority="31" aboveAverage="0" equalAverage="0" bottom="0" percent="0" rank="0" text="" dxfId="64">
      <formula>AND($L85="X",OR($B85&lt;&gt;"",$C85&lt;&gt;"",$D85&lt;&gt;""))</formula>
    </cfRule>
    <cfRule type="expression" priority="32" aboveAverage="0" equalAverage="0" bottom="0" percent="0" rank="0" text="" dxfId="65">
      <formula>AND($L85="X",OR($B85&lt;&gt;"",$C85&lt;&gt;"",$D85&lt;&gt;"",$E85&lt;&gt;""))</formula>
    </cfRule>
    <cfRule type="expression" priority="33" aboveAverage="0" equalAverage="0" bottom="0" percent="0" rank="0" text="" dxfId="66">
      <formula>AND($L85="X",OR($B85&lt;&gt;"",$C85&lt;&gt;"",$E85&lt;&gt;"",#ref!&lt;&gt;""))</formula>
    </cfRule>
    <cfRule type="expression" priority="34" aboveAverage="0" equalAverage="0" bottom="0" percent="0" rank="0" text="" dxfId="67">
      <formula>#ref!=1</formula>
    </cfRule>
    <cfRule type="expression" priority="35" aboveAverage="0" equalAverage="0" bottom="0" percent="0" rank="0" text="" dxfId="68">
      <formula>AND($L85="X",OR($B85&lt;&gt;"",$C85&lt;&gt;"",$D85&lt;&gt;""))</formula>
    </cfRule>
    <cfRule type="expression" priority="36" aboveAverage="0" equalAverage="0" bottom="0" percent="0" rank="0" text="" dxfId="69">
      <formula>AND($L85="X",OR($B85&lt;&gt;"",$C85&lt;&gt;"",$D85&lt;&gt;"",$E85&lt;&gt;""))</formula>
    </cfRule>
    <cfRule type="expression" priority="37" aboveAverage="0" equalAverage="0" bottom="0" percent="0" rank="0" text="" dxfId="70">
      <formula>AND(#ref!=1,#ref!=1)</formula>
    </cfRule>
    <cfRule type="expression" priority="38" aboveAverage="0" equalAverage="0" bottom="0" percent="0" rank="0" text="" dxfId="71">
      <formula>#ref!=1</formula>
    </cfRule>
    <cfRule type="expression" priority="39" aboveAverage="0" equalAverage="0" bottom="0" percent="0" rank="0" text="" dxfId="72">
      <formula>#ref!=1</formula>
    </cfRule>
    <cfRule type="expression" priority="40" aboveAverage="0" equalAverage="0" bottom="0" percent="0" rank="0" text="" dxfId="73">
      <formula>AND($L85="X",OR($B85&lt;&gt;"",$C85&lt;&gt;"",$E85&lt;&gt;"",#ref!&lt;&gt;""))</formula>
    </cfRule>
    <cfRule type="expression" priority="41" aboveAverage="0" equalAverage="0" bottom="0" percent="0" rank="0" text="" dxfId="74">
      <formula>AND($L85="X",OR($B85&lt;&gt;"",$C85&lt;&gt;""))</formula>
    </cfRule>
    <cfRule type="expression" priority="42" aboveAverage="0" equalAverage="0" bottom="0" percent="0" rank="0" text="" dxfId="75">
      <formula>AND($L85="X",OR($B85&lt;&gt;"",$C85&lt;&gt;"",$D85&lt;&gt;"",$E85&lt;&gt;""))</formula>
    </cfRule>
    <cfRule type="expression" priority="43" aboveAverage="0" equalAverage="0" bottom="0" percent="0" rank="0" text="" dxfId="76">
      <formula>AND(#ref!=1,#ref!=1)</formula>
    </cfRule>
    <cfRule type="expression" priority="44" aboveAverage="0" equalAverage="0" bottom="0" percent="0" rank="0" text="" dxfId="77">
      <formula>#ref!=1</formula>
    </cfRule>
    <cfRule type="expression" priority="45" aboveAverage="0" equalAverage="0" bottom="0" percent="0" rank="0" text="" dxfId="78">
      <formula>#ref!=1</formula>
    </cfRule>
    <cfRule type="expression" priority="46" aboveAverage="0" equalAverage="0" bottom="0" percent="0" rank="0" text="" dxfId="79">
      <formula>AND($L85="X",OR($B85&lt;&gt;"",$C85&lt;&gt;"",$E85&lt;&gt;"",#ref!&lt;&gt;""))</formula>
    </cfRule>
    <cfRule type="expression" priority="47" aboveAverage="0" equalAverage="0" bottom="0" percent="0" rank="0" text="" dxfId="80">
      <formula>#ref!=1</formula>
    </cfRule>
    <cfRule type="expression" priority="48" aboveAverage="0" equalAverage="0" bottom="0" percent="0" rank="0" text="" dxfId="81">
      <formula>AND($L85="X",OR($B85&lt;&gt;"",$C85&lt;&gt;"",$D85&lt;&gt;""))</formula>
    </cfRule>
    <cfRule type="expression" priority="49" aboveAverage="0" equalAverage="0" bottom="0" percent="0" rank="0" text="" dxfId="82">
      <formula>AND($L85="X",OR($B85&lt;&gt;"",$C85&lt;&gt;"",$D85&lt;&gt;"",$E85&lt;&gt;""))</formula>
    </cfRule>
    <cfRule type="expression" priority="50" aboveAverage="0" equalAverage="0" bottom="0" percent="0" rank="0" text="" dxfId="83">
      <formula>AND(#ref!=1,#ref!=1)</formula>
    </cfRule>
    <cfRule type="expression" priority="51" aboveAverage="0" equalAverage="0" bottom="0" percent="0" rank="0" text="" dxfId="84">
      <formula>#ref!=1</formula>
    </cfRule>
    <cfRule type="expression" priority="52" aboveAverage="0" equalAverage="0" bottom="0" percent="0" rank="0" text="" dxfId="85">
      <formula>AND($L85="X",OR($B85&lt;&gt;"",$C85&lt;&gt;"",$E85&lt;&gt;"",#ref!&lt;&gt;""))</formula>
    </cfRule>
  </conditionalFormatting>
  <conditionalFormatting sqref="C122 F122:G122">
    <cfRule type="expression" priority="53" aboveAverage="0" equalAverage="0" bottom="0" percent="0" rank="0" text="" dxfId="86">
      <formula>AND($L122="X",OR($B122&lt;&gt;"",#ref!&lt;&gt;"",$C122&lt;&gt;""))</formula>
    </cfRule>
    <cfRule type="expression" priority="54" aboveAverage="0" equalAverage="0" bottom="0" percent="0" rank="0" text="" dxfId="87">
      <formula>AND($L122="X",OR($B122&lt;&gt;"",$C122&lt;&gt;"",$D122&lt;&gt;""))</formula>
    </cfRule>
    <cfRule type="expression" priority="55" aboveAverage="0" equalAverage="0" bottom="0" percent="0" rank="0" text="" dxfId="88">
      <formula>AND($L122="X",OR($B122&lt;&gt;"",$C122&lt;&gt;"",$D122&lt;&gt;"",$E122&lt;&gt;""))</formula>
    </cfRule>
    <cfRule type="expression" priority="56" aboveAverage="0" equalAverage="0" bottom="0" percent="0" rank="0" text="" dxfId="89">
      <formula>AND($L122="X",OR($B122&lt;&gt;"",$C122&lt;&gt;"",$E122&lt;&gt;"",#ref!&lt;&gt;""))</formula>
    </cfRule>
    <cfRule type="expression" priority="57" aboveAverage="0" equalAverage="0" bottom="0" percent="0" rank="0" text="" dxfId="90">
      <formula>#ref!=1</formula>
    </cfRule>
    <cfRule type="expression" priority="58" aboveAverage="0" equalAverage="0" bottom="0" percent="0" rank="0" text="" dxfId="91">
      <formula>AND($L122="X",OR($B122&lt;&gt;"",$C122&lt;&gt;"",$D122&lt;&gt;""))</formula>
    </cfRule>
  </conditionalFormatting>
  <conditionalFormatting sqref="C142 B14:B15 C90:C91">
    <cfRule type="expression" priority="59" aboveAverage="0" equalAverage="0" bottom="0" percent="0" rank="0" text="" dxfId="92">
      <formula>OR(#ref!="X",#ref!="X")</formula>
    </cfRule>
  </conditionalFormatting>
  <conditionalFormatting sqref="C174:C175">
    <cfRule type="expression" priority="60" aboveAverage="0" equalAverage="0" bottom="0" percent="0" rank="0" text="" dxfId="93">
      <formula>AND($L174="X",#ref!&lt;&gt;"")</formula>
    </cfRule>
    <cfRule type="expression" priority="61" aboveAverage="0" equalAverage="0" bottom="0" percent="0" rank="0" text="" dxfId="94">
      <formula>#ref!=1</formula>
    </cfRule>
    <cfRule type="expression" priority="62" aboveAverage="0" equalAverage="0" bottom="0" percent="0" rank="0" text="" dxfId="95">
      <formula>#ref!=1</formula>
    </cfRule>
  </conditionalFormatting>
  <conditionalFormatting sqref="C179 G179">
    <cfRule type="expression" priority="63" aboveAverage="0" equalAverage="0" bottom="0" percent="0" rank="0" text="" dxfId="96">
      <formula>AND($L179="X",OR($B179&lt;&gt;"",#ref!&lt;&gt;"",$C179&lt;&gt;""))</formula>
    </cfRule>
  </conditionalFormatting>
  <conditionalFormatting sqref="C179:C181">
    <cfRule type="expression" priority="64" aboveAverage="0" equalAverage="0" bottom="0" percent="0" rank="0" text="" dxfId="97">
      <formula>AND(#ref!="X",OR(#ref!&lt;&gt;"",$B179&lt;&gt;""))</formula>
    </cfRule>
  </conditionalFormatting>
  <conditionalFormatting sqref="C183:C185 E187">
    <cfRule type="expression" priority="65" aboveAverage="0" equalAverage="0" bottom="0" percent="0" rank="0" text="" dxfId="98">
      <formula>AND($L183="X",OR($B183&lt;&gt;"",#ref!&lt;&gt;"",#ref!&lt;&gt;""))</formula>
    </cfRule>
  </conditionalFormatting>
  <conditionalFormatting sqref="C188">
    <cfRule type="expression" priority="66" aboveAverage="0" equalAverage="0" bottom="0" percent="0" rank="0" text="" dxfId="99">
      <formula>AND($L188="X",OR($B188&lt;&gt;"",$C188&lt;&gt;"",#ref!&lt;&gt;""))</formula>
    </cfRule>
  </conditionalFormatting>
  <conditionalFormatting sqref="C34:D34 F34:G34 D66 G66">
    <cfRule type="expression" priority="67" aboveAverage="0" equalAverage="0" bottom="0" percent="0" rank="0" text="" dxfId="100">
      <formula>AND($L34="X",OR($B34&lt;&gt;"",#ref!&lt;&gt;"",$C34&lt;&gt;""))</formula>
    </cfRule>
    <cfRule type="expression" priority="68" aboveAverage="0" equalAverage="0" bottom="0" percent="0" rank="0" text="" dxfId="101">
      <formula>AND($L34="X",OR($B34&lt;&gt;"",$C34&lt;&gt;"",$D34&lt;&gt;""))</formula>
    </cfRule>
    <cfRule type="expression" priority="69" aboveAverage="0" equalAverage="0" bottom="0" percent="0" rank="0" text="" dxfId="102">
      <formula>AND($L34="X",OR($B34&lt;&gt;"",$C34&lt;&gt;"",$D34&lt;&gt;"",$E34&lt;&gt;""))</formula>
    </cfRule>
    <cfRule type="expression" priority="70" aboveAverage="0" equalAverage="0" bottom="0" percent="0" rank="0" text="" dxfId="103">
      <formula>AND($L34="X",OR($B34&lt;&gt;"",$C34&lt;&gt;"",$E34&lt;&gt;"",#ref!&lt;&gt;""))</formula>
    </cfRule>
    <cfRule type="expression" priority="71" aboveAverage="0" equalAverage="0" bottom="0" percent="0" rank="0" text="" dxfId="104">
      <formula>#ref!=1</formula>
    </cfRule>
    <cfRule type="expression" priority="72" aboveAverage="0" equalAverage="0" bottom="0" percent="0" rank="0" text="" dxfId="105">
      <formula>AND($L34="X",OR($B34&lt;&gt;"",$C34&lt;&gt;"",$D34&lt;&gt;""))</formula>
    </cfRule>
    <cfRule type="expression" priority="73" aboveAverage="0" equalAverage="0" bottom="0" percent="0" rank="0" text="" dxfId="106">
      <formula>AND($L34="X",OR($B34&lt;&gt;"",$C34&lt;&gt;"",$D34&lt;&gt;"",$E34&lt;&gt;""))</formula>
    </cfRule>
    <cfRule type="expression" priority="74" aboveAverage="0" equalAverage="0" bottom="0" percent="0" rank="0" text="" dxfId="107">
      <formula>AND(#ref!=1,#ref!=1)</formula>
    </cfRule>
    <cfRule type="expression" priority="75" aboveAverage="0" equalAverage="0" bottom="0" percent="0" rank="0" text="" dxfId="108">
      <formula>#ref!=1</formula>
    </cfRule>
    <cfRule type="expression" priority="76" aboveAverage="0" equalAverage="0" bottom="0" percent="0" rank="0" text="" dxfId="109">
      <formula>#ref!=1</formula>
    </cfRule>
    <cfRule type="expression" priority="77" aboveAverage="0" equalAverage="0" bottom="0" percent="0" rank="0" text="" dxfId="110">
      <formula>AND($L34="X",OR($B34&lt;&gt;"",$C34&lt;&gt;"",$E34&lt;&gt;"",#ref!&lt;&gt;""))</formula>
    </cfRule>
    <cfRule type="expression" priority="78" aboveAverage="0" equalAverage="0" bottom="0" percent="0" rank="0" text="" dxfId="111">
      <formula>AND($L34="X",OR($B34&lt;&gt;"",$C34&lt;&gt;""))</formula>
    </cfRule>
    <cfRule type="expression" priority="79" aboveAverage="0" equalAverage="0" bottom="0" percent="0" rank="0" text="" dxfId="112">
      <formula>AND($L34="X",OR($B34&lt;&gt;"",$C34&lt;&gt;"",$D34&lt;&gt;"",$E34&lt;&gt;""))</formula>
    </cfRule>
    <cfRule type="expression" priority="80" aboveAverage="0" equalAverage="0" bottom="0" percent="0" rank="0" text="" dxfId="113">
      <formula>AND(#ref!=1,#ref!=1)</formula>
    </cfRule>
    <cfRule type="expression" priority="81" aboveAverage="0" equalAverage="0" bottom="0" percent="0" rank="0" text="" dxfId="114">
      <formula>#ref!=1</formula>
    </cfRule>
    <cfRule type="expression" priority="82" aboveAverage="0" equalAverage="0" bottom="0" percent="0" rank="0" text="" dxfId="115">
      <formula>#ref!=1</formula>
    </cfRule>
    <cfRule type="expression" priority="83" aboveAverage="0" equalAverage="0" bottom="0" percent="0" rank="0" text="" dxfId="116">
      <formula>AND($L34="X",OR($B34&lt;&gt;"",$C34&lt;&gt;"",$E34&lt;&gt;"",#ref!&lt;&gt;""))</formula>
    </cfRule>
    <cfRule type="expression" priority="84" aboveAverage="0" equalAverage="0" bottom="0" percent="0" rank="0" text="" dxfId="117">
      <formula>#ref!=1</formula>
    </cfRule>
    <cfRule type="expression" priority="85" aboveAverage="0" equalAverage="0" bottom="0" percent="0" rank="0" text="" dxfId="118">
      <formula>AND($L34="X",OR($B34&lt;&gt;"",$C34&lt;&gt;"",$D34&lt;&gt;""))</formula>
    </cfRule>
    <cfRule type="expression" priority="86" aboveAverage="0" equalAverage="0" bottom="0" percent="0" rank="0" text="" dxfId="119">
      <formula>AND($L34="X",OR($B34&lt;&gt;"",$C34&lt;&gt;"",$D34&lt;&gt;"",$E34&lt;&gt;""))</formula>
    </cfRule>
    <cfRule type="expression" priority="87" aboveAverage="0" equalAverage="0" bottom="0" percent="0" rank="0" text="" dxfId="120">
      <formula>AND(#ref!=1,#ref!=1)</formula>
    </cfRule>
    <cfRule type="expression" priority="88" aboveAverage="0" equalAverage="0" bottom="0" percent="0" rank="0" text="" dxfId="121">
      <formula>#ref!=1</formula>
    </cfRule>
    <cfRule type="expression" priority="89" aboveAverage="0" equalAverage="0" bottom="0" percent="0" rank="0" text="" dxfId="122">
      <formula>AND($L34="X",OR($B34&lt;&gt;"",$C34&lt;&gt;"",$E34&lt;&gt;"",#ref!&lt;&gt;""))</formula>
    </cfRule>
    <cfRule type="expression" priority="90" aboveAverage="0" equalAverage="0" bottom="0" percent="0" rank="0" text="" dxfId="123">
      <formula>AND($L34="X",OR($B34&lt;&gt;"",$C34&lt;&gt;""))</formula>
    </cfRule>
    <cfRule type="expression" priority="91" aboveAverage="0" equalAverage="0" bottom="0" percent="0" rank="0" text="" dxfId="124">
      <formula>AND($L34="X",$B34&lt;&gt;"")</formula>
    </cfRule>
    <cfRule type="expression" priority="92" aboveAverage="0" equalAverage="0" bottom="0" percent="0" rank="0" text="" dxfId="125">
      <formula>AND($L34="X",OR($B34&lt;&gt;"",$C34&lt;&gt;"",$D34&lt;&gt;""))</formula>
    </cfRule>
  </conditionalFormatting>
  <conditionalFormatting sqref="C122:D122 G122">
    <cfRule type="expression" priority="93" aboveAverage="0" equalAverage="0" bottom="0" percent="0" rank="0" text="" dxfId="126">
      <formula>AND($L122="X",OR($B122&lt;&gt;"",$C122&lt;&gt;"",$D122&lt;&gt;"",$E122&lt;&gt;""))</formula>
    </cfRule>
    <cfRule type="expression" priority="94" aboveAverage="0" equalAverage="0" bottom="0" percent="0" rank="0" text="" dxfId="127">
      <formula>AND($L122="X",OR($B122&lt;&gt;"",$C122&lt;&gt;"",$E122&lt;&gt;"",#ref!&lt;&gt;""))</formula>
    </cfRule>
    <cfRule type="expression" priority="95" aboveAverage="0" equalAverage="0" bottom="0" percent="0" rank="0" text="" dxfId="128">
      <formula>#ref!=1</formula>
    </cfRule>
    <cfRule type="expression" priority="96" aboveAverage="0" equalAverage="0" bottom="0" percent="0" rank="0" text="" dxfId="129">
      <formula>AND($L122="X",OR($B122&lt;&gt;"",$C122&lt;&gt;"",$D122&lt;&gt;""))</formula>
    </cfRule>
    <cfRule type="expression" priority="97" aboveAverage="0" equalAverage="0" bottom="0" percent="0" rank="0" text="" dxfId="130">
      <formula>AND(#ref!=1,#ref!=1)</formula>
    </cfRule>
    <cfRule type="expression" priority="98" aboveAverage="0" equalAverage="0" bottom="0" percent="0" rank="0" text="" dxfId="131">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priority="99" aboveAverage="0" equalAverage="0" bottom="0" percent="0" rank="0" text="" dxfId="132">
      <formula>AND($L9="X",$B9&lt;&gt;"")</formula>
    </cfRule>
  </conditionalFormatting>
  <conditionalFormatting sqref="C189:E189">
    <cfRule type="expression" priority="100" aboveAverage="0" equalAverage="0" bottom="0" percent="0" rank="0" text="" dxfId="133">
      <formula>AND($L189="X",OR(#ref!&lt;&gt;"",#ref!&lt;&gt;"",#ref!&lt;&gt;"",$B189&lt;&gt;""))</formula>
    </cfRule>
  </conditionalFormatting>
  <conditionalFormatting sqref="C193:E193">
    <cfRule type="expression" priority="101" aboveAverage="0" equalAverage="0" bottom="0" percent="0" rank="0" text="" dxfId="134">
      <formula>AND($L193="X",OR(#ref!&lt;&gt;"",#ref!&lt;&gt;"",#ref!&lt;&gt;"",$B193&lt;&gt;""))</formula>
    </cfRule>
  </conditionalFormatting>
  <conditionalFormatting sqref="C16:G16">
    <cfRule type="expression" priority="102" aboveAverage="0" equalAverage="0" bottom="0" percent="0" rank="0" text="" dxfId="135">
      <formula>AND($L16="X",OR($B16&lt;&gt;"",$C16&lt;&gt;"",$D16&lt;&gt;"",$E16&lt;&gt;""))</formula>
    </cfRule>
    <cfRule type="expression" priority="103" aboveAverage="0" equalAverage="0" bottom="0" percent="0" rank="0" text="" dxfId="136">
      <formula>AND($L16="X",OR($B16&lt;&gt;"",#ref!&lt;&gt;"",$C16&lt;&gt;"",$D16&lt;&gt;""))</formula>
    </cfRule>
    <cfRule type="expression" priority="104" aboveAverage="0" equalAverage="0" bottom="0" percent="0" rank="0" text="" dxfId="137">
      <formula>AND(#ref!=1,#ref!=1)</formula>
    </cfRule>
    <cfRule type="expression" priority="105" aboveAverage="0" equalAverage="0" bottom="0" percent="0" rank="0" text="" dxfId="138">
      <formula>#ref!=1</formula>
    </cfRule>
    <cfRule type="expression" priority="106" aboveAverage="0" equalAverage="0" bottom="0" percent="0" rank="0" text="" dxfId="139">
      <formula>#ref!=1</formula>
    </cfRule>
    <cfRule type="expression" priority="107" aboveAverage="0" equalAverage="0" bottom="0" percent="0" rank="0" text="" dxfId="140">
      <formula>AND($L16="X",OR($B16&lt;&gt;"",$C16&lt;&gt;""))</formula>
    </cfRule>
    <cfRule type="expression" priority="108" aboveAverage="0" equalAverage="0" bottom="0" percent="0" rank="0" text="" dxfId="141">
      <formula>AND(#ref!=1,#ref!=1)</formula>
    </cfRule>
    <cfRule type="expression" priority="109" aboveAverage="0" equalAverage="0" bottom="0" percent="0" rank="0" text="" dxfId="142">
      <formula>#ref!=1</formula>
    </cfRule>
    <cfRule type="expression" priority="110" aboveAverage="0" equalAverage="0" bottom="0" percent="0" rank="0" text="" dxfId="143">
      <formula>#ref!=1</formula>
    </cfRule>
    <cfRule type="expression" priority="111" aboveAverage="0" equalAverage="0" bottom="0" percent="0" rank="0" text="" dxfId="144">
      <formula>AND($L16="X",OR($B16&lt;&gt;"",$C16&lt;&gt;""))</formula>
    </cfRule>
    <cfRule type="expression" priority="112" aboveAverage="0" equalAverage="0" bottom="0" percent="0" rank="0" text="" dxfId="145">
      <formula>AND(#ref!=1,#ref!=1)</formula>
    </cfRule>
    <cfRule type="expression" priority="113" aboveAverage="0" equalAverage="0" bottom="0" percent="0" rank="0" text="" dxfId="146">
      <formula>#ref!=1</formula>
    </cfRule>
    <cfRule type="expression" priority="114" aboveAverage="0" equalAverage="0" bottom="0" percent="0" rank="0" text="" dxfId="147">
      <formula>#ref!=1</formula>
    </cfRule>
    <cfRule type="expression" priority="115" aboveAverage="0" equalAverage="0" bottom="0" percent="0" rank="0" text="" dxfId="148">
      <formula>AND($L16="X",OR($B16&lt;&gt;"",$C16&lt;&gt;""))</formula>
    </cfRule>
    <cfRule type="expression" priority="116" aboveAverage="0" equalAverage="0" bottom="0" percent="0" rank="0" text="" dxfId="149">
      <formula>AND(#ref!=1,#ref!=1)</formula>
    </cfRule>
    <cfRule type="expression" priority="117" aboveAverage="0" equalAverage="0" bottom="0" percent="0" rank="0" text="" dxfId="150">
      <formula>#ref!=1</formula>
    </cfRule>
    <cfRule type="expression" priority="118" aboveAverage="0" equalAverage="0" bottom="0" percent="0" rank="0" text="" dxfId="151">
      <formula>#ref!=1</formula>
    </cfRule>
    <cfRule type="expression" priority="119" aboveAverage="0" equalAverage="0" bottom="0" percent="0" rank="0" text="" dxfId="152">
      <formula>AND($L16="X",OR($B16&lt;&gt;"",$C16&lt;&gt;""))</formula>
    </cfRule>
    <cfRule type="expression" priority="120" aboveAverage="0" equalAverage="0" bottom="0" percent="0" rank="0" text="" dxfId="153">
      <formula>AND(#ref!=1,#ref!=1)</formula>
    </cfRule>
    <cfRule type="expression" priority="121" aboveAverage="0" equalAverage="0" bottom="0" percent="0" rank="0" text="" dxfId="154">
      <formula>#ref!=1</formula>
    </cfRule>
    <cfRule type="expression" priority="122" aboveAverage="0" equalAverage="0" bottom="0" percent="0" rank="0" text="" dxfId="155">
      <formula>#ref!=1</formula>
    </cfRule>
    <cfRule type="expression" priority="123" aboveAverage="0" equalAverage="0" bottom="0" percent="0" rank="0" text="" dxfId="156">
      <formula>AND($L16="X",OR($B16&lt;&gt;"",$C16&lt;&gt;""))</formula>
    </cfRule>
    <cfRule type="expression" priority="124" aboveAverage="0" equalAverage="0" bottom="0" percent="0" rank="0" text="" dxfId="157">
      <formula>AND(#ref!=1,#ref!=1)</formula>
    </cfRule>
    <cfRule type="expression" priority="125" aboveAverage="0" equalAverage="0" bottom="0" percent="0" rank="0" text="" dxfId="158">
      <formula>#ref!=1</formula>
    </cfRule>
    <cfRule type="expression" priority="126" aboveAverage="0" equalAverage="0" bottom="0" percent="0" rank="0" text="" dxfId="159">
      <formula>#ref!=1</formula>
    </cfRule>
    <cfRule type="expression" priority="127" aboveAverage="0" equalAverage="0" bottom="0" percent="0" rank="0" text="" dxfId="160">
      <formula>AND($L16="X",OR($B16&lt;&gt;"",$C16&lt;&gt;""))</formula>
    </cfRule>
    <cfRule type="expression" priority="128" aboveAverage="0" equalAverage="0" bottom="0" percent="0" rank="0" text="" dxfId="161">
      <formula>AND(#ref!=1,#ref!=1)</formula>
    </cfRule>
    <cfRule type="expression" priority="129" aboveAverage="0" equalAverage="0" bottom="0" percent="0" rank="0" text="" dxfId="162">
      <formula>#ref!=1</formula>
    </cfRule>
    <cfRule type="expression" priority="130" aboveAverage="0" equalAverage="0" bottom="0" percent="0" rank="0" text="" dxfId="163">
      <formula>#ref!=1</formula>
    </cfRule>
    <cfRule type="expression" priority="131" aboveAverage="0" equalAverage="0" bottom="0" percent="0" rank="0" text="" dxfId="164">
      <formula>OR(#ref!="X",#ref!="X")</formula>
    </cfRule>
    <cfRule type="expression" priority="132" aboveAverage="0" equalAverage="0" bottom="0" percent="0" rank="0" text="" dxfId="165">
      <formula>AND(#ref!=1,#ref!=1)</formula>
    </cfRule>
    <cfRule type="expression" priority="133" aboveAverage="0" equalAverage="0" bottom="0" percent="0" rank="0" text="" dxfId="166">
      <formula>#ref!=1</formula>
    </cfRule>
    <cfRule type="expression" priority="134" aboveAverage="0" equalAverage="0" bottom="0" percent="0" rank="0" text="" dxfId="167">
      <formula>#ref!=1</formula>
    </cfRule>
    <cfRule type="expression" priority="135" aboveAverage="0" equalAverage="0" bottom="0" percent="0" rank="0" text="" dxfId="168">
      <formula>AND(#ref!=1,#ref!=1)</formula>
    </cfRule>
    <cfRule type="expression" priority="136" aboveAverage="0" equalAverage="0" bottom="0" percent="0" rank="0" text="" dxfId="169">
      <formula>#ref!=1</formula>
    </cfRule>
    <cfRule type="expression" priority="137" aboveAverage="0" equalAverage="0" bottom="0" percent="0" rank="0" text="" dxfId="170">
      <formula>AND(#ref!=1,#ref!=1)</formula>
    </cfRule>
    <cfRule type="expression" priority="138" aboveAverage="0" equalAverage="0" bottom="0" percent="0" rank="0" text="" dxfId="171">
      <formula>#ref!=1</formula>
    </cfRule>
    <cfRule type="expression" priority="139" aboveAverage="0" equalAverage="0" bottom="0" percent="0" rank="0" text="" dxfId="172">
      <formula>AND($L16="X",OR($B16&lt;&gt;"",$C16&lt;&gt;""))</formula>
    </cfRule>
    <cfRule type="expression" priority="140" aboveAverage="0" equalAverage="0" bottom="0" percent="0" rank="0" text="" dxfId="173">
      <formula>AND($L16="X",OR($B16&lt;&gt;"",#ref!&lt;&gt;"",$C16&lt;&gt;""))</formula>
    </cfRule>
    <cfRule type="expression" priority="141" aboveAverage="0" equalAverage="0" bottom="0" percent="0" rank="0" text="" dxfId="174">
      <formula>AND($L16="X",OR($B16&lt;&gt;"",$C16&lt;&gt;"",$D16&lt;&gt;""))</formula>
    </cfRule>
    <cfRule type="expression" priority="142" aboveAverage="0" equalAverage="0" bottom="0" percent="0" rank="0" text="" dxfId="175">
      <formula>AND($L16="X",OR($B16&lt;&gt;"",$C16&lt;&gt;"",$D16&lt;&gt;"",$E16&lt;&gt;""))</formula>
    </cfRule>
    <cfRule type="expression" priority="143" aboveAverage="0" equalAverage="0" bottom="0" percent="0" rank="0" text="" dxfId="176">
      <formula>AND($L16="X",OR($B16&lt;&gt;"",$C16&lt;&gt;"",$E16&lt;&gt;"",#ref!&lt;&gt;""))</formula>
    </cfRule>
    <cfRule type="expression" priority="144" aboveAverage="0" equalAverage="0" bottom="0" percent="0" rank="0" text="" dxfId="177">
      <formula>#ref!=1</formula>
    </cfRule>
    <cfRule type="expression" priority="145" aboveAverage="0" equalAverage="0" bottom="0" percent="0" rank="0" text="" dxfId="178">
      <formula>AND($L16="X",OR($B16&lt;&gt;"",$C16&lt;&gt;"",$D16&lt;&gt;""))</formula>
    </cfRule>
    <cfRule type="expression" priority="146" aboveAverage="0" equalAverage="0" bottom="0" percent="0" rank="0" text="" dxfId="179">
      <formula>AND($L16="X",OR($B16&lt;&gt;"",$C16&lt;&gt;"",$D16&lt;&gt;"",$E16&lt;&gt;""))</formula>
    </cfRule>
    <cfRule type="expression" priority="147" aboveAverage="0" equalAverage="0" bottom="0" percent="0" rank="0" text="" dxfId="180">
      <formula>AND(#ref!=1,#ref!=1)</formula>
    </cfRule>
    <cfRule type="expression" priority="148" aboveAverage="0" equalAverage="0" bottom="0" percent="0" rank="0" text="" dxfId="181">
      <formula>#ref!=1</formula>
    </cfRule>
    <cfRule type="expression" priority="149" aboveAverage="0" equalAverage="0" bottom="0" percent="0" rank="0" text="" dxfId="182">
      <formula>#ref!=1</formula>
    </cfRule>
    <cfRule type="expression" priority="150" aboveAverage="0" equalAverage="0" bottom="0" percent="0" rank="0" text="" dxfId="183">
      <formula>AND($L16="X",OR($B16&lt;&gt;"",$C16&lt;&gt;"",$E16&lt;&gt;"",#ref!&lt;&gt;""))</formula>
    </cfRule>
    <cfRule type="expression" priority="151" aboveAverage="0" equalAverage="0" bottom="0" percent="0" rank="0" text="" dxfId="184">
      <formula>AND($L16="X",OR($B16&lt;&gt;"",$C16&lt;&gt;""))</formula>
    </cfRule>
    <cfRule type="expression" priority="152" aboveAverage="0" equalAverage="0" bottom="0" percent="0" rank="0" text="" dxfId="185">
      <formula>AND($L16="X",OR($B16&lt;&gt;"",$C16&lt;&gt;"",$D16&lt;&gt;"",$E16&lt;&gt;""))</formula>
    </cfRule>
    <cfRule type="expression" priority="153" aboveAverage="0" equalAverage="0" bottom="0" percent="0" rank="0" text="" dxfId="186">
      <formula>AND(#ref!=1,#ref!=1)</formula>
    </cfRule>
    <cfRule type="expression" priority="154" aboveAverage="0" equalAverage="0" bottom="0" percent="0" rank="0" text="" dxfId="187">
      <formula>#ref!=1</formula>
    </cfRule>
    <cfRule type="expression" priority="155" aboveAverage="0" equalAverage="0" bottom="0" percent="0" rank="0" text="" dxfId="188">
      <formula>#ref!=1</formula>
    </cfRule>
    <cfRule type="expression" priority="156" aboveAverage="0" equalAverage="0" bottom="0" percent="0" rank="0" text="" dxfId="189">
      <formula>AND($L16="X",OR($B16&lt;&gt;"",$C16&lt;&gt;"",$E16&lt;&gt;"",#ref!&lt;&gt;""))</formula>
    </cfRule>
    <cfRule type="expression" priority="157" aboveAverage="0" equalAverage="0" bottom="0" percent="0" rank="0" text="" dxfId="190">
      <formula>#ref!=1</formula>
    </cfRule>
    <cfRule type="expression" priority="158" aboveAverage="0" equalAverage="0" bottom="0" percent="0" rank="0" text="" dxfId="191">
      <formula>AND($L16="X",OR($B16&lt;&gt;"",$C16&lt;&gt;"",$D16&lt;&gt;""))</formula>
    </cfRule>
    <cfRule type="expression" priority="159" aboveAverage="0" equalAverage="0" bottom="0" percent="0" rank="0" text="" dxfId="192">
      <formula>AND($L16="X",OR($B16&lt;&gt;"",$C16&lt;&gt;"",$D16&lt;&gt;"",$E16&lt;&gt;""))</formula>
    </cfRule>
    <cfRule type="expression" priority="160" aboveAverage="0" equalAverage="0" bottom="0" percent="0" rank="0" text="" dxfId="193">
      <formula>AND($L16="X",OR($B16&lt;&gt;"",$C16&lt;&gt;"",$E16&lt;&gt;"",#ref!&lt;&gt;""))</formula>
    </cfRule>
    <cfRule type="expression" priority="161" aboveAverage="0" equalAverage="0" bottom="0" percent="0" rank="0" text="" dxfId="194">
      <formula>AND($L16="X",OR($B16&lt;&gt;"",$C16&lt;&gt;""))</formula>
    </cfRule>
    <cfRule type="expression" priority="162" aboveAverage="0" equalAverage="0" bottom="0" percent="0" rank="0" text="" dxfId="195">
      <formula>AND($L16="X",$B16&lt;&gt;"")</formula>
    </cfRule>
  </conditionalFormatting>
  <conditionalFormatting sqref="C34:G34 D66:G66 C85:G85 D21 D41:G41 E48:G48 D56:G56 E68:G68 F69:G69 E89:G89">
    <cfRule type="expression" priority="163" aboveAverage="0" equalAverage="0" bottom="0" percent="0" rank="0" text="" dxfId="196">
      <formula>AND($L21="X",OR($B21&lt;&gt;"",$C21&lt;&gt;"",$D21&lt;&gt;"",$E21&lt;&gt;""))</formula>
    </cfRule>
    <cfRule type="expression" priority="164" aboveAverage="0" equalAverage="0" bottom="0" percent="0" rank="0" text="" dxfId="197">
      <formula>AND($L21="X",OR($B21&lt;&gt;"",#ref!&lt;&gt;"",$C21&lt;&gt;"",$D21&lt;&gt;""))</formula>
    </cfRule>
  </conditionalFormatting>
  <conditionalFormatting sqref="C122:G122">
    <cfRule type="expression" priority="165" aboveAverage="0" equalAverage="0" bottom="0" percent="0" rank="0" text="" dxfId="198">
      <formula>AND($L122="X",OR($B122&lt;&gt;"",$C122&lt;&gt;"",$D122&lt;&gt;"",$E122&lt;&gt;""))</formula>
    </cfRule>
    <cfRule type="expression" priority="166" aboveAverage="0" equalAverage="0" bottom="0" percent="0" rank="0" text="" dxfId="199">
      <formula>AND($L122="X",OR($B122&lt;&gt;"",#ref!&lt;&gt;"",$C122&lt;&gt;"",$D122&lt;&gt;""))</formula>
    </cfRule>
    <cfRule type="expression" priority="167" aboveAverage="0" equalAverage="0" bottom="0" percent="0" rank="0" text="" dxfId="200">
      <formula>AND($U122=1,$T122=1)</formula>
    </cfRule>
    <cfRule type="expression" priority="168" aboveAverage="0" equalAverage="0" bottom="0" percent="0" rank="0" text="" dxfId="201">
      <formula>$U122=1</formula>
    </cfRule>
    <cfRule type="expression" priority="169" aboveAverage="0" equalAverage="0" bottom="0" percent="0" rank="0" text="" dxfId="202">
      <formula>$T122=1</formula>
    </cfRule>
    <cfRule type="expression" priority="170" aboveAverage="0" equalAverage="0" bottom="0" percent="0" rank="0" text="" dxfId="203">
      <formula>AND($L122="X",OR($B122&lt;&gt;"",$C122&lt;&gt;""))</formula>
    </cfRule>
    <cfRule type="expression" priority="171" aboveAverage="0" equalAverage="0" bottom="0" percent="0" rank="0" text="" dxfId="204">
      <formula>AND($U122=1,$T122=1)</formula>
    </cfRule>
    <cfRule type="expression" priority="172" aboveAverage="0" equalAverage="0" bottom="0" percent="0" rank="0" text="" dxfId="205">
      <formula>$U122=1</formula>
    </cfRule>
    <cfRule type="expression" priority="173" aboveAverage="0" equalAverage="0" bottom="0" percent="0" rank="0" text="" dxfId="206">
      <formula>$T122=1</formula>
    </cfRule>
    <cfRule type="expression" priority="174" aboveAverage="0" equalAverage="0" bottom="0" percent="0" rank="0" text="" dxfId="207">
      <formula>AND($L122="X",OR($B122&lt;&gt;"",$C122&lt;&gt;""))</formula>
    </cfRule>
    <cfRule type="expression" priority="175" aboveAverage="0" equalAverage="0" bottom="0" percent="0" rank="0" text="" dxfId="208">
      <formula>AND($U122=1,$T122=1)</formula>
    </cfRule>
    <cfRule type="expression" priority="176" aboveAverage="0" equalAverage="0" bottom="0" percent="0" rank="0" text="" dxfId="209">
      <formula>$U122=1</formula>
    </cfRule>
    <cfRule type="expression" priority="177" aboveAverage="0" equalAverage="0" bottom="0" percent="0" rank="0" text="" dxfId="210">
      <formula>$T122=1</formula>
    </cfRule>
    <cfRule type="expression" priority="178" aboveAverage="0" equalAverage="0" bottom="0" percent="0" rank="0" text="" dxfId="211">
      <formula>AND($L122="X",OR($B122&lt;&gt;"",$C122&lt;&gt;""))</formula>
    </cfRule>
    <cfRule type="expression" priority="179" aboveAverage="0" equalAverage="0" bottom="0" percent="0" rank="0" text="" dxfId="212">
      <formula>AND($U122=1,$T122=1)</formula>
    </cfRule>
    <cfRule type="expression" priority="180" aboveAverage="0" equalAverage="0" bottom="0" percent="0" rank="0" text="" dxfId="213">
      <formula>$U122=1</formula>
    </cfRule>
    <cfRule type="expression" priority="181" aboveAverage="0" equalAverage="0" bottom="0" percent="0" rank="0" text="" dxfId="214">
      <formula>$T122=1</formula>
    </cfRule>
    <cfRule type="expression" priority="182" aboveAverage="0" equalAverage="0" bottom="0" percent="0" rank="0" text="" dxfId="215">
      <formula>AND($L122="X",OR($B122&lt;&gt;"",$C122&lt;&gt;""))</formula>
    </cfRule>
    <cfRule type="expression" priority="183" aboveAverage="0" equalAverage="0" bottom="0" percent="0" rank="0" text="" dxfId="216">
      <formula>AND($U122=1,$T122=1)</formula>
    </cfRule>
    <cfRule type="expression" priority="184" aboveAverage="0" equalAverage="0" bottom="0" percent="0" rank="0" text="" dxfId="217">
      <formula>$U122=1</formula>
    </cfRule>
    <cfRule type="expression" priority="185" aboveAverage="0" equalAverage="0" bottom="0" percent="0" rank="0" text="" dxfId="218">
      <formula>$T122=1</formula>
    </cfRule>
    <cfRule type="expression" priority="186" aboveAverage="0" equalAverage="0" bottom="0" percent="0" rank="0" text="" dxfId="219">
      <formula>AND($L122="X",OR($B122&lt;&gt;"",$C122&lt;&gt;""))</formula>
    </cfRule>
    <cfRule type="expression" priority="187" aboveAverage="0" equalAverage="0" bottom="0" percent="0" rank="0" text="" dxfId="220">
      <formula>AND($U122=1,$T122=1)</formula>
    </cfRule>
    <cfRule type="expression" priority="188" aboveAverage="0" equalAverage="0" bottom="0" percent="0" rank="0" text="" dxfId="221">
      <formula>$U122=1</formula>
    </cfRule>
    <cfRule type="expression" priority="189" aboveAverage="0" equalAverage="0" bottom="0" percent="0" rank="0" text="" dxfId="222">
      <formula>$T122=1</formula>
    </cfRule>
    <cfRule type="expression" priority="190" aboveAverage="0" equalAverage="0" bottom="0" percent="0" rank="0" text="" dxfId="223">
      <formula>AND($L122="X",OR($B122&lt;&gt;"",$C122&lt;&gt;""))</formula>
    </cfRule>
    <cfRule type="expression" priority="191" aboveAverage="0" equalAverage="0" bottom="0" percent="0" rank="0" text="" dxfId="224">
      <formula>AND($U122=1,$T122=1)</formula>
    </cfRule>
    <cfRule type="expression" priority="192" aboveAverage="0" equalAverage="0" bottom="0" percent="0" rank="0" text="" dxfId="225">
      <formula>$U122=1</formula>
    </cfRule>
    <cfRule type="expression" priority="193" aboveAverage="0" equalAverage="0" bottom="0" percent="0" rank="0" text="" dxfId="226">
      <formula>$T122=1</formula>
    </cfRule>
    <cfRule type="expression" priority="194" aboveAverage="0" equalAverage="0" bottom="0" percent="0" rank="0" text="" dxfId="227">
      <formula>OR($U122="X",$T122="X")</formula>
    </cfRule>
    <cfRule type="expression" priority="195" aboveAverage="0" equalAverage="0" bottom="0" percent="0" rank="0" text="" dxfId="228">
      <formula>AND($U122=1,$T122=1)</formula>
    </cfRule>
    <cfRule type="expression" priority="196" aboveAverage="0" equalAverage="0" bottom="0" percent="0" rank="0" text="" dxfId="229">
      <formula>$U122=1</formula>
    </cfRule>
    <cfRule type="expression" priority="197" aboveAverage="0" equalAverage="0" bottom="0" percent="0" rank="0" text="" dxfId="230">
      <formula>$T122=1</formula>
    </cfRule>
    <cfRule type="expression" priority="198" aboveAverage="0" equalAverage="0" bottom="0" percent="0" rank="0" text="" dxfId="231">
      <formula>OR($U122="X",$T122="X")</formula>
    </cfRule>
    <cfRule type="expression" priority="199" aboveAverage="0" equalAverage="0" bottom="0" percent="0" rank="0" text="" dxfId="232">
      <formula>AND($U122=1,$T122=1)</formula>
    </cfRule>
    <cfRule type="expression" priority="200" aboveAverage="0" equalAverage="0" bottom="0" percent="0" rank="0" text="" dxfId="233">
      <formula>$U122=1</formula>
    </cfRule>
    <cfRule type="expression" priority="201" aboveAverage="0" equalAverage="0" bottom="0" percent="0" rank="0" text="" dxfId="234">
      <formula>AND($L122="X",OR($B122&lt;&gt;"",$C122&lt;&gt;"",$D122&lt;&gt;"",$E122&lt;&gt;""))</formula>
    </cfRule>
    <cfRule type="expression" priority="202" aboveAverage="0" equalAverage="0" bottom="0" percent="0" rank="0" text="" dxfId="235">
      <formula>AND($L122="X",OR($B122&lt;&gt;"",$C122&lt;&gt;"",$E122&lt;&gt;"",#ref!&lt;&gt;""))</formula>
    </cfRule>
    <cfRule type="expression" priority="203" aboveAverage="0" equalAverage="0" bottom="0" percent="0" rank="0" text="" dxfId="236">
      <formula>$T122=1</formula>
    </cfRule>
    <cfRule type="expression" priority="204" aboveAverage="0" equalAverage="0" bottom="0" percent="0" rank="0" text="" dxfId="237">
      <formula>AND($L122="X",OR($B122&lt;&gt;"",$C122&lt;&gt;"",$D122&lt;&gt;""))</formula>
    </cfRule>
    <cfRule type="expression" priority="205" aboveAverage="0" equalAverage="0" bottom="0" percent="0" rank="0" text="" dxfId="238">
      <formula>AND($U122=1,$T122=1)</formula>
    </cfRule>
    <cfRule type="expression" priority="206" aboveAverage="0" equalAverage="0" bottom="0" percent="0" rank="0" text="" dxfId="239">
      <formula>$U122=1</formula>
    </cfRule>
    <cfRule type="expression" priority="207" aboveAverage="0" equalAverage="0" bottom="0" percent="0" rank="0" text="" dxfId="240">
      <formula>AND($L122="X",$B122&lt;&gt;"")</formula>
    </cfRule>
    <cfRule type="expression" priority="208" aboveAverage="0" equalAverage="0" bottom="0" percent="0" rank="0" text="" dxfId="241">
      <formula>AND($L122="X",OR($B122&lt;&gt;"",$C122&lt;&gt;""))</formula>
    </cfRule>
    <cfRule type="expression" priority="209" aboveAverage="0" equalAverage="0" bottom="0" percent="0" rank="0" text="" dxfId="242">
      <formula>AND($L122="X",OR($B122&lt;&gt;"",$C122&lt;&gt;""))</formula>
    </cfRule>
    <cfRule type="expression" priority="210" aboveAverage="0" equalAverage="0" bottom="0" percent="0" rank="0" text="" dxfId="243">
      <formula>AND($L122="X",OR($B122&lt;&gt;"",$C122&lt;&gt;"",$D122&lt;&gt;"",$E122&lt;&gt;""))</formula>
    </cfRule>
    <cfRule type="expression" priority="211" aboveAverage="0" equalAverage="0" bottom="0" percent="0" rank="0" text="" dxfId="244">
      <formula>AND($L122="X",OR($B122&lt;&gt;"",#ref!&lt;&gt;"",$C122&lt;&gt;"",$D122&lt;&gt;""))</formula>
    </cfRule>
    <cfRule type="expression" priority="212" aboveAverage="0" equalAverage="0" bottom="0" percent="0" rank="0" text="" dxfId="245">
      <formula>AND(#ref!=1,#ref!=1)</formula>
    </cfRule>
    <cfRule type="expression" priority="213" aboveAverage="0" equalAverage="0" bottom="0" percent="0" rank="0" text="" dxfId="246">
      <formula>#ref!=1</formula>
    </cfRule>
    <cfRule type="expression" priority="214" aboveAverage="0" equalAverage="0" bottom="0" percent="0" rank="0" text="" dxfId="247">
      <formula>#ref!=1</formula>
    </cfRule>
    <cfRule type="expression" priority="215" aboveAverage="0" equalAverage="0" bottom="0" percent="0" rank="0" text="" dxfId="248">
      <formula>AND($L122="X",OR($B122&lt;&gt;"",$C122&lt;&gt;""))</formula>
    </cfRule>
    <cfRule type="expression" priority="216" aboveAverage="0" equalAverage="0" bottom="0" percent="0" rank="0" text="" dxfId="249">
      <formula>AND(#ref!=1,#ref!=1)</formula>
    </cfRule>
    <cfRule type="expression" priority="217" aboveAverage="0" equalAverage="0" bottom="0" percent="0" rank="0" text="" dxfId="250">
      <formula>#ref!=1</formula>
    </cfRule>
    <cfRule type="expression" priority="218" aboveAverage="0" equalAverage="0" bottom="0" percent="0" rank="0" text="" dxfId="251">
      <formula>#ref!=1</formula>
    </cfRule>
    <cfRule type="expression" priority="219" aboveAverage="0" equalAverage="0" bottom="0" percent="0" rank="0" text="" dxfId="252">
      <formula>AND($L122="X",OR($B122&lt;&gt;"",$C122&lt;&gt;""))</formula>
    </cfRule>
    <cfRule type="expression" priority="220" aboveAverage="0" equalAverage="0" bottom="0" percent="0" rank="0" text="" dxfId="253">
      <formula>AND(#ref!=1,#ref!=1)</formula>
    </cfRule>
    <cfRule type="expression" priority="221" aboveAverage="0" equalAverage="0" bottom="0" percent="0" rank="0" text="" dxfId="254">
      <formula>#ref!=1</formula>
    </cfRule>
    <cfRule type="expression" priority="222" aboveAverage="0" equalAverage="0" bottom="0" percent="0" rank="0" text="" dxfId="255">
      <formula>#ref!=1</formula>
    </cfRule>
    <cfRule type="expression" priority="223" aboveAverage="0" equalAverage="0" bottom="0" percent="0" rank="0" text="" dxfId="256">
      <formula>AND($L122="X",OR($B122&lt;&gt;"",$C122&lt;&gt;""))</formula>
    </cfRule>
    <cfRule type="expression" priority="224" aboveAverage="0" equalAverage="0" bottom="0" percent="0" rank="0" text="" dxfId="257">
      <formula>AND(#ref!=1,#ref!=1)</formula>
    </cfRule>
    <cfRule type="expression" priority="225" aboveAverage="0" equalAverage="0" bottom="0" percent="0" rank="0" text="" dxfId="258">
      <formula>#ref!=1</formula>
    </cfRule>
    <cfRule type="expression" priority="226" aboveAverage="0" equalAverage="0" bottom="0" percent="0" rank="0" text="" dxfId="259">
      <formula>#ref!=1</formula>
    </cfRule>
    <cfRule type="expression" priority="227" aboveAverage="0" equalAverage="0" bottom="0" percent="0" rank="0" text="" dxfId="260">
      <formula>AND($L122="X",OR($B122&lt;&gt;"",$C122&lt;&gt;""))</formula>
    </cfRule>
    <cfRule type="expression" priority="228" aboveAverage="0" equalAverage="0" bottom="0" percent="0" rank="0" text="" dxfId="261">
      <formula>AND(#ref!=1,#ref!=1)</formula>
    </cfRule>
    <cfRule type="expression" priority="229" aboveAverage="0" equalAverage="0" bottom="0" percent="0" rank="0" text="" dxfId="262">
      <formula>#ref!=1</formula>
    </cfRule>
    <cfRule type="expression" priority="230" aboveAverage="0" equalAverage="0" bottom="0" percent="0" rank="0" text="" dxfId="263">
      <formula>#ref!=1</formula>
    </cfRule>
    <cfRule type="expression" priority="231" aboveAverage="0" equalAverage="0" bottom="0" percent="0" rank="0" text="" dxfId="264">
      <formula>AND($L122="X",OR($B122&lt;&gt;"",$C122&lt;&gt;""))</formula>
    </cfRule>
    <cfRule type="expression" priority="232" aboveAverage="0" equalAverage="0" bottom="0" percent="0" rank="0" text="" dxfId="265">
      <formula>AND(#ref!=1,#ref!=1)</formula>
    </cfRule>
    <cfRule type="expression" priority="233" aboveAverage="0" equalAverage="0" bottom="0" percent="0" rank="0" text="" dxfId="266">
      <formula>#ref!=1</formula>
    </cfRule>
    <cfRule type="expression" priority="234" aboveAverage="0" equalAverage="0" bottom="0" percent="0" rank="0" text="" dxfId="267">
      <formula>#ref!=1</formula>
    </cfRule>
    <cfRule type="expression" priority="235" aboveAverage="0" equalAverage="0" bottom="0" percent="0" rank="0" text="" dxfId="268">
      <formula>AND($L122="X",OR($B122&lt;&gt;"",$C122&lt;&gt;""))</formula>
    </cfRule>
    <cfRule type="expression" priority="236" aboveAverage="0" equalAverage="0" bottom="0" percent="0" rank="0" text="" dxfId="269">
      <formula>AND(#ref!=1,#ref!=1)</formula>
    </cfRule>
    <cfRule type="expression" priority="237" aboveAverage="0" equalAverage="0" bottom="0" percent="0" rank="0" text="" dxfId="270">
      <formula>#ref!=1</formula>
    </cfRule>
    <cfRule type="expression" priority="238" aboveAverage="0" equalAverage="0" bottom="0" percent="0" rank="0" text="" dxfId="271">
      <formula>#ref!=1</formula>
    </cfRule>
    <cfRule type="expression" priority="239" aboveAverage="0" equalAverage="0" bottom="0" percent="0" rank="0" text="" dxfId="272">
      <formula>OR(#ref!="X",#ref!="X")</formula>
    </cfRule>
    <cfRule type="expression" priority="240" aboveAverage="0" equalAverage="0" bottom="0" percent="0" rank="0" text="" dxfId="273">
      <formula>AND(#ref!=1,#ref!=1)</formula>
    </cfRule>
    <cfRule type="expression" priority="241" aboveAverage="0" equalAverage="0" bottom="0" percent="0" rank="0" text="" dxfId="274">
      <formula>#ref!=1</formula>
    </cfRule>
    <cfRule type="expression" priority="242" aboveAverage="0" equalAverage="0" bottom="0" percent="0" rank="0" text="" dxfId="275">
      <formula>#ref!=1</formula>
    </cfRule>
    <cfRule type="expression" priority="243" aboveAverage="0" equalAverage="0" bottom="0" percent="0" rank="0" text="" dxfId="276">
      <formula>OR(#ref!="X",#ref!="X")</formula>
    </cfRule>
    <cfRule type="expression" priority="244" aboveAverage="0" equalAverage="0" bottom="0" percent="0" rank="0" text="" dxfId="277">
      <formula>AND(#ref!=1,#ref!=1)</formula>
    </cfRule>
    <cfRule type="expression" priority="245" aboveAverage="0" equalAverage="0" bottom="0" percent="0" rank="0" text="" dxfId="278">
      <formula>#ref!=1</formula>
    </cfRule>
    <cfRule type="expression" priority="246" aboveAverage="0" equalAverage="0" bottom="0" percent="0" rank="0" text="" dxfId="279">
      <formula>AND($L122="X",OR($B122&lt;&gt;"",$C122&lt;&gt;"",$D122&lt;&gt;"",$E122&lt;&gt;""))</formula>
    </cfRule>
    <cfRule type="expression" priority="247" aboveAverage="0" equalAverage="0" bottom="0" percent="0" rank="0" text="" dxfId="280">
      <formula>AND($L122="X",OR($B122&lt;&gt;"",$C122&lt;&gt;"",$E122&lt;&gt;"",#ref!&lt;&gt;""))</formula>
    </cfRule>
    <cfRule type="expression" priority="248" aboveAverage="0" equalAverage="0" bottom="0" percent="0" rank="0" text="" dxfId="281">
      <formula>#ref!=1</formula>
    </cfRule>
    <cfRule type="expression" priority="249" aboveAverage="0" equalAverage="0" bottom="0" percent="0" rank="0" text="" dxfId="282">
      <formula>AND($L122="X",OR($B122&lt;&gt;"",$C122&lt;&gt;"",$D122&lt;&gt;""))</formula>
    </cfRule>
    <cfRule type="expression" priority="250" aboveAverage="0" equalAverage="0" bottom="0" percent="0" rank="0" text="" dxfId="283">
      <formula>AND(#ref!=1,#ref!=1)</formula>
    </cfRule>
    <cfRule type="expression" priority="251" aboveAverage="0" equalAverage="0" bottom="0" percent="0" rank="0" text="" dxfId="284">
      <formula>#ref!=1</formula>
    </cfRule>
    <cfRule type="expression" priority="252" aboveAverage="0" equalAverage="0" bottom="0" percent="0" rank="0" text="" dxfId="285">
      <formula>AND($L122="X",OR($B122&lt;&gt;"",$C122&lt;&gt;"",$D122&lt;&gt;"",$E122&lt;&gt;""))</formula>
    </cfRule>
    <cfRule type="expression" priority="253" aboveAverage="0" equalAverage="0" bottom="0" percent="0" rank="0" text="" dxfId="286">
      <formula>AND($T122=1,$S122=1)</formula>
    </cfRule>
    <cfRule type="expression" priority="254" aboveAverage="0" equalAverage="0" bottom="0" percent="0" rank="0" text="" dxfId="287">
      <formula>$T122=1</formula>
    </cfRule>
    <cfRule type="expression" priority="255" aboveAverage="0" equalAverage="0" bottom="0" percent="0" rank="0" text="" dxfId="288">
      <formula>$S122=1</formula>
    </cfRule>
    <cfRule type="expression" priority="256" aboveAverage="0" equalAverage="0" bottom="0" percent="0" rank="0" text="" dxfId="289">
      <formula>AND($L122="X",OR($B122&lt;&gt;"",$C122&lt;&gt;""))</formula>
    </cfRule>
    <cfRule type="expression" priority="257" aboveAverage="0" equalAverage="0" bottom="0" percent="0" rank="0" text="" dxfId="290">
      <formula>AND($T122=1,$S122=1)</formula>
    </cfRule>
    <cfRule type="expression" priority="258" aboveAverage="0" equalAverage="0" bottom="0" percent="0" rank="0" text="" dxfId="291">
      <formula>$T122=1</formula>
    </cfRule>
    <cfRule type="expression" priority="259" aboveAverage="0" equalAverage="0" bottom="0" percent="0" rank="0" text="" dxfId="292">
      <formula>$S122=1</formula>
    </cfRule>
    <cfRule type="expression" priority="260" aboveAverage="0" equalAverage="0" bottom="0" percent="0" rank="0" text="" dxfId="293">
      <formula>AND($L122="X",OR($B122&lt;&gt;"",$C122&lt;&gt;""))</formula>
    </cfRule>
    <cfRule type="expression" priority="261" aboveAverage="0" equalAverage="0" bottom="0" percent="0" rank="0" text="" dxfId="294">
      <formula>AND($T122=1,$S122=1)</formula>
    </cfRule>
    <cfRule type="expression" priority="262" aboveAverage="0" equalAverage="0" bottom="0" percent="0" rank="0" text="" dxfId="295">
      <formula>$T122=1</formula>
    </cfRule>
    <cfRule type="expression" priority="263" aboveAverage="0" equalAverage="0" bottom="0" percent="0" rank="0" text="" dxfId="296">
      <formula>$S122=1</formula>
    </cfRule>
    <cfRule type="expression" priority="264" aboveAverage="0" equalAverage="0" bottom="0" percent="0" rank="0" text="" dxfId="297">
      <formula>AND($L122="X",OR($B122&lt;&gt;"",$C122&lt;&gt;""))</formula>
    </cfRule>
    <cfRule type="expression" priority="265" aboveAverage="0" equalAverage="0" bottom="0" percent="0" rank="0" text="" dxfId="298">
      <formula>AND($T122=1,$S122=1)</formula>
    </cfRule>
    <cfRule type="expression" priority="266" aboveAverage="0" equalAverage="0" bottom="0" percent="0" rank="0" text="" dxfId="299">
      <formula>$T122=1</formula>
    </cfRule>
    <cfRule type="expression" priority="267" aboveAverage="0" equalAverage="0" bottom="0" percent="0" rank="0" text="" dxfId="300">
      <formula>$S122=1</formula>
    </cfRule>
    <cfRule type="expression" priority="268" aboveAverage="0" equalAverage="0" bottom="0" percent="0" rank="0" text="" dxfId="301">
      <formula>AND($L122="X",OR($B122&lt;&gt;"",$C122&lt;&gt;""))</formula>
    </cfRule>
    <cfRule type="expression" priority="269" aboveAverage="0" equalAverage="0" bottom="0" percent="0" rank="0" text="" dxfId="302">
      <formula>AND($T122=1,$S122=1)</formula>
    </cfRule>
    <cfRule type="expression" priority="270" aboveAverage="0" equalAverage="0" bottom="0" percent="0" rank="0" text="" dxfId="303">
      <formula>$T122=1</formula>
    </cfRule>
    <cfRule type="expression" priority="271" aboveAverage="0" equalAverage="0" bottom="0" percent="0" rank="0" text="" dxfId="304">
      <formula>$S122=1</formula>
    </cfRule>
    <cfRule type="expression" priority="272" aboveAverage="0" equalAverage="0" bottom="0" percent="0" rank="0" text="" dxfId="305">
      <formula>AND($L122="X",OR($B122&lt;&gt;"",$C122&lt;&gt;""))</formula>
    </cfRule>
    <cfRule type="expression" priority="273" aboveAverage="0" equalAverage="0" bottom="0" percent="0" rank="0" text="" dxfId="306">
      <formula>AND($T122=1,$S122=1)</formula>
    </cfRule>
    <cfRule type="expression" priority="274" aboveAverage="0" equalAverage="0" bottom="0" percent="0" rank="0" text="" dxfId="307">
      <formula>$T122=1</formula>
    </cfRule>
    <cfRule type="expression" priority="275" aboveAverage="0" equalAverage="0" bottom="0" percent="0" rank="0" text="" dxfId="308">
      <formula>$S122=1</formula>
    </cfRule>
    <cfRule type="expression" priority="276" aboveAverage="0" equalAverage="0" bottom="0" percent="0" rank="0" text="" dxfId="309">
      <formula>AND($L122="X",OR($B122&lt;&gt;"",$C122&lt;&gt;""))</formula>
    </cfRule>
    <cfRule type="expression" priority="277" aboveAverage="0" equalAverage="0" bottom="0" percent="0" rank="0" text="" dxfId="310">
      <formula>AND($T122=1,$S122=1)</formula>
    </cfRule>
    <cfRule type="expression" priority="278" aboveAverage="0" equalAverage="0" bottom="0" percent="0" rank="0" text="" dxfId="311">
      <formula>$T122=1</formula>
    </cfRule>
    <cfRule type="expression" priority="279" aboveAverage="0" equalAverage="0" bottom="0" percent="0" rank="0" text="" dxfId="312">
      <formula>$S122=1</formula>
    </cfRule>
    <cfRule type="expression" priority="280" aboveAverage="0" equalAverage="0" bottom="0" percent="0" rank="0" text="" dxfId="313">
      <formula>OR($T122="X",$S122="X")</formula>
    </cfRule>
    <cfRule type="expression" priority="281" aboveAverage="0" equalAverage="0" bottom="0" percent="0" rank="0" text="" dxfId="314">
      <formula>AND($T122=1,$S122=1)</formula>
    </cfRule>
    <cfRule type="expression" priority="282" aboveAverage="0" equalAverage="0" bottom="0" percent="0" rank="0" text="" dxfId="315">
      <formula>$T122=1</formula>
    </cfRule>
    <cfRule type="expression" priority="283" aboveAverage="0" equalAverage="0" bottom="0" percent="0" rank="0" text="" dxfId="316">
      <formula>$S122=1</formula>
    </cfRule>
    <cfRule type="expression" priority="284" aboveAverage="0" equalAverage="0" bottom="0" percent="0" rank="0" text="" dxfId="317">
      <formula>OR($T122="X",$S122="X")</formula>
    </cfRule>
    <cfRule type="expression" priority="285" aboveAverage="0" equalAverage="0" bottom="0" percent="0" rank="0" text="" dxfId="318">
      <formula>AND($T122=1,$S122=1)</formula>
    </cfRule>
    <cfRule type="expression" priority="286" aboveAverage="0" equalAverage="0" bottom="0" percent="0" rank="0" text="" dxfId="319">
      <formula>$T122=1</formula>
    </cfRule>
    <cfRule type="expression" priority="287" aboveAverage="0" equalAverage="0" bottom="0" percent="0" rank="0" text="" dxfId="320">
      <formula>AND($L122="X",OR($B122&lt;&gt;"",$C122&lt;&gt;"",$D122&lt;&gt;"",$E122&lt;&gt;""))</formula>
    </cfRule>
    <cfRule type="expression" priority="288" aboveAverage="0" equalAverage="0" bottom="0" percent="0" rank="0" text="" dxfId="321">
      <formula>AND($L122="X",OR($B122&lt;&gt;"",$C122&lt;&gt;"",$E122&lt;&gt;"",#ref!&lt;&gt;""))</formula>
    </cfRule>
    <cfRule type="expression" priority="289" aboveAverage="0" equalAverage="0" bottom="0" percent="0" rank="0" text="" dxfId="322">
      <formula>$S122=1</formula>
    </cfRule>
    <cfRule type="expression" priority="290" aboveAverage="0" equalAverage="0" bottom="0" percent="0" rank="0" text="" dxfId="323">
      <formula>AND($L122="X",OR($B122&lt;&gt;"",$C122&lt;&gt;"",$D122&lt;&gt;""))</formula>
    </cfRule>
    <cfRule type="expression" priority="291" aboveAverage="0" equalAverage="0" bottom="0" percent="0" rank="0" text="" dxfId="324">
      <formula>AND($T122=1,$S122=1)</formula>
    </cfRule>
    <cfRule type="expression" priority="292" aboveAverage="0" equalAverage="0" bottom="0" percent="0" rank="0" text="" dxfId="325">
      <formula>$T122=1</formula>
    </cfRule>
  </conditionalFormatting>
  <conditionalFormatting sqref="C171:G171 C195:G195">
    <cfRule type="expression" priority="293" aboveAverage="0" equalAverage="0" bottom="0" percent="0" rank="0" text="" dxfId="326">
      <formula>AND($L171="X",OR($B171&lt;&gt;"",$C171&lt;&gt;"",$D171&lt;&gt;"",$E171&lt;&gt;""))</formula>
    </cfRule>
    <cfRule type="expression" priority="294" aboveAverage="0" equalAverage="0" bottom="0" percent="0" rank="0" text="" dxfId="327">
      <formula>AND($L171="X",OR($B171&lt;&gt;"",#ref!&lt;&gt;"",$C171&lt;&gt;"",$D171&lt;&gt;""))</formula>
    </cfRule>
    <cfRule type="expression" priority="295" aboveAverage="0" equalAverage="0" bottom="0" percent="0" rank="0" text="" dxfId="328">
      <formula>AND($L171="X",OR($B171&lt;&gt;"",#ref!&lt;&gt;"",$C171&lt;&gt;""))</formula>
    </cfRule>
  </conditionalFormatting>
  <conditionalFormatting sqref="C179:G179">
    <cfRule type="expression" priority="296" aboveAverage="0" equalAverage="0" bottom="0" percent="0" rank="0" text="" dxfId="329">
      <formula>AND($L179="X",OR($B179&lt;&gt;"",$C179&lt;&gt;"",$D179&lt;&gt;"",$E179&lt;&gt;""))</formula>
    </cfRule>
    <cfRule type="expression" priority="297" aboveAverage="0" equalAverage="0" bottom="0" percent="0" rank="0" text="" dxfId="330">
      <formula>AND($L179="X",OR($B179&lt;&gt;"",#ref!&lt;&gt;"",$C179&lt;&gt;"",$D179&lt;&gt;""))</formula>
    </cfRule>
  </conditionalFormatting>
  <conditionalFormatting sqref="D21 C34:G34 D41:G41 E48:G48 D56:G56 D66:G66 E68:G68 F69:G69 C85:G85 E89:G89">
    <cfRule type="expression" priority="298" aboveAverage="0" equalAverage="0" bottom="0" percent="0" rank="0" text="" dxfId="331">
      <formula>AND(#ref!=1,#ref!=1)</formula>
    </cfRule>
    <cfRule type="expression" priority="299" aboveAverage="0" equalAverage="0" bottom="0" percent="0" rank="0" text="" dxfId="332">
      <formula>#ref!=1</formula>
    </cfRule>
    <cfRule type="expression" priority="300" aboveAverage="0" equalAverage="0" bottom="0" percent="0" rank="0" text="" dxfId="333">
      <formula>#ref!=1</formula>
    </cfRule>
    <cfRule type="expression" priority="301" aboveAverage="0" equalAverage="0" bottom="0" percent="0" rank="0" text="" dxfId="334">
      <formula>AND($L21="X",OR($B21&lt;&gt;"",$C21&lt;&gt;""))</formula>
    </cfRule>
    <cfRule type="expression" priority="302" aboveAverage="0" equalAverage="0" bottom="0" percent="0" rank="0" text="" dxfId="335">
      <formula>AND(#ref!=1,#ref!=1)</formula>
    </cfRule>
    <cfRule type="expression" priority="303" aboveAverage="0" equalAverage="0" bottom="0" percent="0" rank="0" text="" dxfId="336">
      <formula>#ref!=1</formula>
    </cfRule>
    <cfRule type="expression" priority="304" aboveAverage="0" equalAverage="0" bottom="0" percent="0" rank="0" text="" dxfId="337">
      <formula>#ref!=1</formula>
    </cfRule>
    <cfRule type="expression" priority="305" aboveAverage="0" equalAverage="0" bottom="0" percent="0" rank="0" text="" dxfId="338">
      <formula>AND($L21="X",OR($B21&lt;&gt;"",$C21&lt;&gt;""))</formula>
    </cfRule>
    <cfRule type="expression" priority="306" aboveAverage="0" equalAverage="0" bottom="0" percent="0" rank="0" text="" dxfId="339">
      <formula>AND(#ref!=1,#ref!=1)</formula>
    </cfRule>
    <cfRule type="expression" priority="307" aboveAverage="0" equalAverage="0" bottom="0" percent="0" rank="0" text="" dxfId="340">
      <formula>#ref!=1</formula>
    </cfRule>
    <cfRule type="expression" priority="308" aboveAverage="0" equalAverage="0" bottom="0" percent="0" rank="0" text="" dxfId="341">
      <formula>#ref!=1</formula>
    </cfRule>
    <cfRule type="expression" priority="309" aboveAverage="0" equalAverage="0" bottom="0" percent="0" rank="0" text="" dxfId="342">
      <formula>AND($L21="X",OR($B21&lt;&gt;"",$C21&lt;&gt;""))</formula>
    </cfRule>
    <cfRule type="expression" priority="310" aboveAverage="0" equalAverage="0" bottom="0" percent="0" rank="0" text="" dxfId="343">
      <formula>AND(#ref!=1,#ref!=1)</formula>
    </cfRule>
    <cfRule type="expression" priority="311" aboveAverage="0" equalAverage="0" bottom="0" percent="0" rank="0" text="" dxfId="344">
      <formula>#ref!=1</formula>
    </cfRule>
    <cfRule type="expression" priority="312" aboveAverage="0" equalAverage="0" bottom="0" percent="0" rank="0" text="" dxfId="345">
      <formula>#ref!=1</formula>
    </cfRule>
    <cfRule type="expression" priority="313" aboveAverage="0" equalAverage="0" bottom="0" percent="0" rank="0" text="" dxfId="346">
      <formula>AND($L21="X",OR($B21&lt;&gt;"",$C21&lt;&gt;""))</formula>
    </cfRule>
    <cfRule type="expression" priority="314" aboveAverage="0" equalAverage="0" bottom="0" percent="0" rank="0" text="" dxfId="347">
      <formula>AND(#ref!=1,#ref!=1)</formula>
    </cfRule>
    <cfRule type="expression" priority="315" aboveAverage="0" equalAverage="0" bottom="0" percent="0" rank="0" text="" dxfId="348">
      <formula>#ref!=1</formula>
    </cfRule>
    <cfRule type="expression" priority="316" aboveAverage="0" equalAverage="0" bottom="0" percent="0" rank="0" text="" dxfId="349">
      <formula>#ref!=1</formula>
    </cfRule>
    <cfRule type="expression" priority="317" aboveAverage="0" equalAverage="0" bottom="0" percent="0" rank="0" text="" dxfId="350">
      <formula>AND($L21="X",OR($B21&lt;&gt;"",$C21&lt;&gt;""))</formula>
    </cfRule>
    <cfRule type="expression" priority="318" aboveAverage="0" equalAverage="0" bottom="0" percent="0" rank="0" text="" dxfId="351">
      <formula>AND(#ref!=1,#ref!=1)</formula>
    </cfRule>
    <cfRule type="expression" priority="319" aboveAverage="0" equalAverage="0" bottom="0" percent="0" rank="0" text="" dxfId="352">
      <formula>#ref!=1</formula>
    </cfRule>
    <cfRule type="expression" priority="320" aboveAverage="0" equalAverage="0" bottom="0" percent="0" rank="0" text="" dxfId="353">
      <formula>#ref!=1</formula>
    </cfRule>
    <cfRule type="expression" priority="321" aboveAverage="0" equalAverage="0" bottom="0" percent="0" rank="0" text="" dxfId="354">
      <formula>AND($L21="X",OR($B21&lt;&gt;"",$C21&lt;&gt;""))</formula>
    </cfRule>
    <cfRule type="expression" priority="322" aboveAverage="0" equalAverage="0" bottom="0" percent="0" rank="0" text="" dxfId="355">
      <formula>AND(#ref!=1,#ref!=1)</formula>
    </cfRule>
    <cfRule type="expression" priority="323" aboveAverage="0" equalAverage="0" bottom="0" percent="0" rank="0" text="" dxfId="356">
      <formula>#ref!=1</formula>
    </cfRule>
    <cfRule type="expression" priority="324" aboveAverage="0" equalAverage="0" bottom="0" percent="0" rank="0" text="" dxfId="357">
      <formula>#ref!=1</formula>
    </cfRule>
    <cfRule type="expression" priority="325" aboveAverage="0" equalAverage="0" bottom="0" percent="0" rank="0" text="" dxfId="358">
      <formula>OR(#ref!="X",#ref!="X")</formula>
    </cfRule>
    <cfRule type="expression" priority="326" aboveAverage="0" equalAverage="0" bottom="0" percent="0" rank="0" text="" dxfId="359">
      <formula>AND(#ref!=1,#ref!=1)</formula>
    </cfRule>
    <cfRule type="expression" priority="327" aboveAverage="0" equalAverage="0" bottom="0" percent="0" rank="0" text="" dxfId="360">
      <formula>#ref!=1</formula>
    </cfRule>
    <cfRule type="expression" priority="328" aboveAverage="0" equalAverage="0" bottom="0" percent="0" rank="0" text="" dxfId="361">
      <formula>#ref!=1</formula>
    </cfRule>
    <cfRule type="expression" priority="329" aboveAverage="0" equalAverage="0" bottom="0" percent="0" rank="0" text="" dxfId="362">
      <formula>OR(#ref!="X",#ref!="X")</formula>
    </cfRule>
    <cfRule type="expression" priority="330" aboveAverage="0" equalAverage="0" bottom="0" percent="0" rank="0" text="" dxfId="363">
      <formula>AND(#ref!=1,#ref!=1)</formula>
    </cfRule>
    <cfRule type="expression" priority="331" aboveAverage="0" equalAverage="0" bottom="0" percent="0" rank="0" text="" dxfId="364">
      <formula>#ref!=1</formula>
    </cfRule>
    <cfRule type="expression" priority="332" aboveAverage="0" equalAverage="0" bottom="0" percent="0" rank="0" text="" dxfId="365">
      <formula>AND(#ref!=1,#ref!=1)</formula>
    </cfRule>
    <cfRule type="expression" priority="333" aboveAverage="0" equalAverage="0" bottom="0" percent="0" rank="0" text="" dxfId="366">
      <formula>#ref!=1</formula>
    </cfRule>
  </conditionalFormatting>
  <conditionalFormatting sqref="D21:D22 E22:G22 D24:G24">
    <cfRule type="expression" priority="334" aboveAverage="0" equalAverage="0" bottom="0" percent="0" rank="0" text="" dxfId="367">
      <formula>#ref!=1</formula>
    </cfRule>
    <cfRule type="expression" priority="335" aboveAverage="0" equalAverage="0" bottom="0" percent="0" rank="0" text="" dxfId="368">
      <formula>AND($L21="X",OR($B21&lt;&gt;"",$C21&lt;&gt;""))</formula>
    </cfRule>
    <cfRule type="expression" priority="336" aboveAverage="0" equalAverage="0" bottom="0" percent="0" rank="0" text="" dxfId="369">
      <formula>AND(#ref!=1,#ref!=1)</formula>
    </cfRule>
    <cfRule type="expression" priority="337" aboveAverage="0" equalAverage="0" bottom="0" percent="0" rank="0" text="" dxfId="370">
      <formula>#ref!=1</formula>
    </cfRule>
    <cfRule type="expression" priority="338" aboveAverage="0" equalAverage="0" bottom="0" percent="0" rank="0" text="" dxfId="371">
      <formula>#ref!=1</formula>
    </cfRule>
    <cfRule type="expression" priority="339" aboveAverage="0" equalAverage="0" bottom="0" percent="0" rank="0" text="" dxfId="372">
      <formula>AND($L21="X",OR($B21&lt;&gt;"",$C21&lt;&gt;""))</formula>
    </cfRule>
    <cfRule type="expression" priority="340" aboveAverage="0" equalAverage="0" bottom="0" percent="0" rank="0" text="" dxfId="373">
      <formula>AND(#ref!=1,#ref!=1)</formula>
    </cfRule>
    <cfRule type="expression" priority="341" aboveAverage="0" equalAverage="0" bottom="0" percent="0" rank="0" text="" dxfId="374">
      <formula>#ref!=1</formula>
    </cfRule>
    <cfRule type="expression" priority="342" aboveAverage="0" equalAverage="0" bottom="0" percent="0" rank="0" text="" dxfId="375">
      <formula>#ref!=1</formula>
    </cfRule>
    <cfRule type="expression" priority="343" aboveAverage="0" equalAverage="0" bottom="0" percent="0" rank="0" text="" dxfId="376">
      <formula>AND($L21="X",OR($B21&lt;&gt;"",$C21&lt;&gt;""))</formula>
    </cfRule>
    <cfRule type="expression" priority="344" aboveAverage="0" equalAverage="0" bottom="0" percent="0" rank="0" text="" dxfId="377">
      <formula>AND(#ref!=1,#ref!=1)</formula>
    </cfRule>
    <cfRule type="expression" priority="345" aboveAverage="0" equalAverage="0" bottom="0" percent="0" rank="0" text="" dxfId="378">
      <formula>#ref!=1</formula>
    </cfRule>
    <cfRule type="expression" priority="346" aboveAverage="0" equalAverage="0" bottom="0" percent="0" rank="0" text="" dxfId="379">
      <formula>#ref!=1</formula>
    </cfRule>
    <cfRule type="expression" priority="347" aboveAverage="0" equalAverage="0" bottom="0" percent="0" rank="0" text="" dxfId="380">
      <formula>AND($L21="X",OR($B21&lt;&gt;"",$C21&lt;&gt;""))</formula>
    </cfRule>
    <cfRule type="expression" priority="348" aboveAverage="0" equalAverage="0" bottom="0" percent="0" rank="0" text="" dxfId="381">
      <formula>AND(#ref!=1,#ref!=1)</formula>
    </cfRule>
    <cfRule type="expression" priority="349" aboveAverage="0" equalAverage="0" bottom="0" percent="0" rank="0" text="" dxfId="382">
      <formula>#ref!=1</formula>
    </cfRule>
    <cfRule type="expression" priority="350" aboveAverage="0" equalAverage="0" bottom="0" percent="0" rank="0" text="" dxfId="383">
      <formula>#ref!=1</formula>
    </cfRule>
    <cfRule type="expression" priority="351" aboveAverage="0" equalAverage="0" bottom="0" percent="0" rank="0" text="" dxfId="384">
      <formula>AND($L21="X",OR($B21&lt;&gt;"",$C21&lt;&gt;""))</formula>
    </cfRule>
    <cfRule type="expression" priority="352" aboveAverage="0" equalAverage="0" bottom="0" percent="0" rank="0" text="" dxfId="385">
      <formula>AND(#ref!=1,#ref!=1)</formula>
    </cfRule>
    <cfRule type="expression" priority="353" aboveAverage="0" equalAverage="0" bottom="0" percent="0" rank="0" text="" dxfId="386">
      <formula>#ref!=1</formula>
    </cfRule>
    <cfRule type="expression" priority="354" aboveAverage="0" equalAverage="0" bottom="0" percent="0" rank="0" text="" dxfId="387">
      <formula>#ref!=1</formula>
    </cfRule>
    <cfRule type="expression" priority="355" aboveAverage="0" equalAverage="0" bottom="0" percent="0" rank="0" text="" dxfId="388">
      <formula>AND($L21="X",OR($B21&lt;&gt;"",$C21&lt;&gt;""))</formula>
    </cfRule>
    <cfRule type="expression" priority="356" aboveAverage="0" equalAverage="0" bottom="0" percent="0" rank="0" text="" dxfId="389">
      <formula>AND(#ref!=1,#ref!=1)</formula>
    </cfRule>
    <cfRule type="expression" priority="357" aboveAverage="0" equalAverage="0" bottom="0" percent="0" rank="0" text="" dxfId="390">
      <formula>#ref!=1</formula>
    </cfRule>
    <cfRule type="expression" priority="358" aboveAverage="0" equalAverage="0" bottom="0" percent="0" rank="0" text="" dxfId="391">
      <formula>#ref!=1</formula>
    </cfRule>
    <cfRule type="expression" priority="359" aboveAverage="0" equalAverage="0" bottom="0" percent="0" rank="0" text="" dxfId="392">
      <formula>OR(#ref!="X",#ref!="X")</formula>
    </cfRule>
    <cfRule type="expression" priority="360" aboveAverage="0" equalAverage="0" bottom="0" percent="0" rank="0" text="" dxfId="393">
      <formula>AND(#ref!=1,#ref!=1)</formula>
    </cfRule>
    <cfRule type="expression" priority="361" aboveAverage="0" equalAverage="0" bottom="0" percent="0" rank="0" text="" dxfId="394">
      <formula>#ref!=1</formula>
    </cfRule>
    <cfRule type="expression" priority="362" aboveAverage="0" equalAverage="0" bottom="0" percent="0" rank="0" text="" dxfId="395">
      <formula>#ref!=1</formula>
    </cfRule>
    <cfRule type="expression" priority="363" aboveAverage="0" equalAverage="0" bottom="0" percent="0" rank="0" text="" dxfId="396">
      <formula>OR(#ref!="X",#ref!="X")</formula>
    </cfRule>
    <cfRule type="expression" priority="364" aboveAverage="0" equalAverage="0" bottom="0" percent="0" rank="0" text="" dxfId="397">
      <formula>AND(#ref!=1,#ref!=1)</formula>
    </cfRule>
    <cfRule type="expression" priority="365" aboveAverage="0" equalAverage="0" bottom="0" percent="0" rank="0" text="" dxfId="398">
      <formula>#ref!=1</formula>
    </cfRule>
    <cfRule type="expression" priority="366" aboveAverage="0" equalAverage="0" bottom="0" percent="0" rank="0" text="" dxfId="399">
      <formula>AND(#ref!=1,#ref!=1)</formula>
    </cfRule>
    <cfRule type="expression" priority="367" aboveAverage="0" equalAverage="0" bottom="0" percent="0" rank="0" text="" dxfId="400">
      <formula>#ref!=1</formula>
    </cfRule>
  </conditionalFormatting>
  <conditionalFormatting sqref="D21:D23">
    <cfRule type="expression" priority="368" aboveAverage="0" equalAverage="0" bottom="0" percent="0" rank="0" text="" dxfId="401">
      <formula>AND($L21="X",OR($B21&lt;&gt;"",$C21&lt;&gt;"",$D21&lt;&gt;"",$E21&lt;&gt;""))</formula>
    </cfRule>
    <cfRule type="expression" priority="369" aboveAverage="0" equalAverage="0" bottom="0" percent="0" rank="0" text="" dxfId="402">
      <formula>AND($L21="X",OR($B21&lt;&gt;"",#ref!&lt;&gt;"",$C21&lt;&gt;"",$D21&lt;&gt;""))</formula>
    </cfRule>
    <cfRule type="expression" priority="370" aboveAverage="0" equalAverage="0" bottom="0" percent="0" rank="0" text="" dxfId="403">
      <formula>AND(#ref!=1,#ref!=1)</formula>
    </cfRule>
    <cfRule type="expression" priority="371" aboveAverage="0" equalAverage="0" bottom="0" percent="0" rank="0" text="" dxfId="404">
      <formula>#ref!=1</formula>
    </cfRule>
  </conditionalFormatting>
  <conditionalFormatting sqref="D29 C38 D38:D40 D162 C182:C183 E190:E191">
    <cfRule type="expression" priority="372" aboveAverage="0" equalAverage="0" bottom="0" percent="0" rank="0" text="" dxfId="405">
      <formula>AND($L29="X",OR($B29&lt;&gt;"",#ref!&lt;&gt;""))</formula>
    </cfRule>
  </conditionalFormatting>
  <conditionalFormatting sqref="D30">
    <cfRule type="expression" priority="373" aboveAverage="0" equalAverage="0" bottom="0" percent="0" rank="0" text="" dxfId="406">
      <formula>AND($L30="X",$B30&lt;&gt;"")</formula>
    </cfRule>
  </conditionalFormatting>
  <conditionalFormatting sqref="D38">
    <cfRule type="expression" priority="374" aboveAverage="0" equalAverage="0" bottom="0" percent="0" rank="0" text="" dxfId="407">
      <formula>AND($L38="X",OR($B38&lt;&gt;"",$C38&lt;&gt;"",$D38&lt;&gt;"",$E38&lt;&gt;""))</formula>
    </cfRule>
    <cfRule type="expression" priority="375" aboveAverage="0" equalAverage="0" bottom="0" percent="0" rank="0" text="" dxfId="408">
      <formula>AND($L38="X",OR($B38&lt;&gt;"",#ref!&lt;&gt;"",$C38&lt;&gt;"",$D38&lt;&gt;""))</formula>
    </cfRule>
    <cfRule type="expression" priority="376" aboveAverage="0" equalAverage="0" bottom="0" percent="0" rank="0" text="" dxfId="409">
      <formula>AND(#ref!=1,#ref!=1)</formula>
    </cfRule>
    <cfRule type="expression" priority="377" aboveAverage="0" equalAverage="0" bottom="0" percent="0" rank="0" text="" dxfId="410">
      <formula>#ref!=1</formula>
    </cfRule>
    <cfRule type="expression" priority="378" aboveAverage="0" equalAverage="0" bottom="0" percent="0" rank="0" text="" dxfId="411">
      <formula>#ref!=1</formula>
    </cfRule>
    <cfRule type="expression" priority="379" aboveAverage="0" equalAverage="0" bottom="0" percent="0" rank="0" text="" dxfId="412">
      <formula>AND($L38="X",OR($B38&lt;&gt;"",$C38&lt;&gt;""))</formula>
    </cfRule>
    <cfRule type="expression" priority="380" aboveAverage="0" equalAverage="0" bottom="0" percent="0" rank="0" text="" dxfId="413">
      <formula>AND(#ref!=1,#ref!=1)</formula>
    </cfRule>
    <cfRule type="expression" priority="381" aboveAverage="0" equalAverage="0" bottom="0" percent="0" rank="0" text="" dxfId="414">
      <formula>#ref!=1</formula>
    </cfRule>
    <cfRule type="expression" priority="382" aboveAverage="0" equalAverage="0" bottom="0" percent="0" rank="0" text="" dxfId="415">
      <formula>#ref!=1</formula>
    </cfRule>
    <cfRule type="expression" priority="383" aboveAverage="0" equalAverage="0" bottom="0" percent="0" rank="0" text="" dxfId="416">
      <formula>AND($L38="X",OR($B38&lt;&gt;"",$C38&lt;&gt;""))</formula>
    </cfRule>
    <cfRule type="expression" priority="384" aboveAverage="0" equalAverage="0" bottom="0" percent="0" rank="0" text="" dxfId="417">
      <formula>AND(#ref!=1,#ref!=1)</formula>
    </cfRule>
    <cfRule type="expression" priority="385" aboveAverage="0" equalAverage="0" bottom="0" percent="0" rank="0" text="" dxfId="418">
      <formula>#ref!=1</formula>
    </cfRule>
    <cfRule type="expression" priority="386" aboveAverage="0" equalAverage="0" bottom="0" percent="0" rank="0" text="" dxfId="419">
      <formula>#ref!=1</formula>
    </cfRule>
    <cfRule type="expression" priority="387" aboveAverage="0" equalAverage="0" bottom="0" percent="0" rank="0" text="" dxfId="420">
      <formula>AND($L38="X",OR($B38&lt;&gt;"",$C38&lt;&gt;""))</formula>
    </cfRule>
    <cfRule type="expression" priority="388" aboveAverage="0" equalAverage="0" bottom="0" percent="0" rank="0" text="" dxfId="421">
      <formula>AND(#ref!=1,#ref!=1)</formula>
    </cfRule>
    <cfRule type="expression" priority="389" aboveAverage="0" equalAverage="0" bottom="0" percent="0" rank="0" text="" dxfId="422">
      <formula>#ref!=1</formula>
    </cfRule>
    <cfRule type="expression" priority="390" aboveAverage="0" equalAverage="0" bottom="0" percent="0" rank="0" text="" dxfId="423">
      <formula>#ref!=1</formula>
    </cfRule>
    <cfRule type="expression" priority="391" aboveAverage="0" equalAverage="0" bottom="0" percent="0" rank="0" text="" dxfId="424">
      <formula>AND($L38="X",OR($B38&lt;&gt;"",$C38&lt;&gt;""))</formula>
    </cfRule>
    <cfRule type="expression" priority="392" aboveAverage="0" equalAverage="0" bottom="0" percent="0" rank="0" text="" dxfId="425">
      <formula>AND(#ref!=1,#ref!=1)</formula>
    </cfRule>
    <cfRule type="expression" priority="393" aboveAverage="0" equalAverage="0" bottom="0" percent="0" rank="0" text="" dxfId="426">
      <formula>#ref!=1</formula>
    </cfRule>
    <cfRule type="expression" priority="394" aboveAverage="0" equalAverage="0" bottom="0" percent="0" rank="0" text="" dxfId="427">
      <formula>#ref!=1</formula>
    </cfRule>
    <cfRule type="expression" priority="395" aboveAverage="0" equalAverage="0" bottom="0" percent="0" rank="0" text="" dxfId="428">
      <formula>AND($L38="X",OR($B38&lt;&gt;"",$C38&lt;&gt;""))</formula>
    </cfRule>
    <cfRule type="expression" priority="396" aboveAverage="0" equalAverage="0" bottom="0" percent="0" rank="0" text="" dxfId="429">
      <formula>AND(#ref!=1,#ref!=1)</formula>
    </cfRule>
    <cfRule type="expression" priority="397" aboveAverage="0" equalAverage="0" bottom="0" percent="0" rank="0" text="" dxfId="430">
      <formula>#ref!=1</formula>
    </cfRule>
    <cfRule type="expression" priority="398" aboveAverage="0" equalAverage="0" bottom="0" percent="0" rank="0" text="" dxfId="431">
      <formula>#ref!=1</formula>
    </cfRule>
    <cfRule type="expression" priority="399" aboveAverage="0" equalAverage="0" bottom="0" percent="0" rank="0" text="" dxfId="432">
      <formula>AND($L38="X",OR($B38&lt;&gt;"",$C38&lt;&gt;""))</formula>
    </cfRule>
    <cfRule type="expression" priority="400" aboveAverage="0" equalAverage="0" bottom="0" percent="0" rank="0" text="" dxfId="433">
      <formula>AND(#ref!=1,#ref!=1)</formula>
    </cfRule>
    <cfRule type="expression" priority="401" aboveAverage="0" equalAverage="0" bottom="0" percent="0" rank="0" text="" dxfId="434">
      <formula>#ref!=1</formula>
    </cfRule>
    <cfRule type="expression" priority="402" aboveAverage="0" equalAverage="0" bottom="0" percent="0" rank="0" text="" dxfId="435">
      <formula>#ref!=1</formula>
    </cfRule>
    <cfRule type="expression" priority="403" aboveAverage="0" equalAverage="0" bottom="0" percent="0" rank="0" text="" dxfId="436">
      <formula>OR(#ref!="X",#ref!="X")</formula>
    </cfRule>
    <cfRule type="expression" priority="404" aboveAverage="0" equalAverage="0" bottom="0" percent="0" rank="0" text="" dxfId="437">
      <formula>AND(#ref!=1,#ref!=1)</formula>
    </cfRule>
    <cfRule type="expression" priority="405" aboveAverage="0" equalAverage="0" bottom="0" percent="0" rank="0" text="" dxfId="438">
      <formula>#ref!=1</formula>
    </cfRule>
    <cfRule type="expression" priority="406" aboveAverage="0" equalAverage="0" bottom="0" percent="0" rank="0" text="" dxfId="439">
      <formula>#ref!=1</formula>
    </cfRule>
    <cfRule type="expression" priority="407" aboveAverage="0" equalAverage="0" bottom="0" percent="0" rank="0" text="" dxfId="440">
      <formula>OR(#ref!="X",#ref!="X")</formula>
    </cfRule>
    <cfRule type="expression" priority="408" aboveAverage="0" equalAverage="0" bottom="0" percent="0" rank="0" text="" dxfId="441">
      <formula>AND(#ref!=1,#ref!=1)</formula>
    </cfRule>
    <cfRule type="expression" priority="409" aboveAverage="0" equalAverage="0" bottom="0" percent="0" rank="0" text="" dxfId="442">
      <formula>#ref!=1</formula>
    </cfRule>
    <cfRule type="expression" priority="410" aboveAverage="0" equalAverage="0" bottom="0" percent="0" rank="0" text="" dxfId="443">
      <formula>AND(#ref!=1,#ref!=1)</formula>
    </cfRule>
    <cfRule type="expression" priority="411" aboveAverage="0" equalAverage="0" bottom="0" percent="0" rank="0" text="" dxfId="444">
      <formula>#ref!=1</formula>
    </cfRule>
    <cfRule type="expression" priority="412" aboveAverage="0" equalAverage="0" bottom="0" percent="0" rank="0" text="" dxfId="445">
      <formula>AND($L38="X",OR($B38&lt;&gt;"",#ref!&lt;&gt;"",$C38&lt;&gt;""))</formula>
    </cfRule>
    <cfRule type="expression" priority="413" aboveAverage="0" equalAverage="0" bottom="0" percent="0" rank="0" text="" dxfId="446">
      <formula>AND($L38="X",OR($B38&lt;&gt;"",$C38&lt;&gt;"",$D38&lt;&gt;""))</formula>
    </cfRule>
    <cfRule type="expression" priority="414" aboveAverage="0" equalAverage="0" bottom="0" percent="0" rank="0" text="" dxfId="447">
      <formula>AND($L38="X",OR($B38&lt;&gt;"",$C38&lt;&gt;"",$D38&lt;&gt;"",$E38&lt;&gt;""))</formula>
    </cfRule>
    <cfRule type="expression" priority="415" aboveAverage="0" equalAverage="0" bottom="0" percent="0" rank="0" text="" dxfId="448">
      <formula>AND($L38="X",OR($B38&lt;&gt;"",$C38&lt;&gt;"",$E38&lt;&gt;"",#ref!&lt;&gt;""))</formula>
    </cfRule>
    <cfRule type="expression" priority="416" aboveAverage="0" equalAverage="0" bottom="0" percent="0" rank="0" text="" dxfId="449">
      <formula>#ref!=1</formula>
    </cfRule>
    <cfRule type="expression" priority="417" aboveAverage="0" equalAverage="0" bottom="0" percent="0" rank="0" text="" dxfId="450">
      <formula>AND($L38="X",OR($B38&lt;&gt;"",$C38&lt;&gt;"",$D38&lt;&gt;""))</formula>
    </cfRule>
    <cfRule type="expression" priority="418" aboveAverage="0" equalAverage="0" bottom="0" percent="0" rank="0" text="" dxfId="451">
      <formula>AND($L38="X",OR($B38&lt;&gt;"",$C38&lt;&gt;"",$D38&lt;&gt;"",$E38&lt;&gt;""))</formula>
    </cfRule>
    <cfRule type="expression" priority="419" aboveAverage="0" equalAverage="0" bottom="0" percent="0" rank="0" text="" dxfId="452">
      <formula>AND(#ref!=1,#ref!=1)</formula>
    </cfRule>
    <cfRule type="expression" priority="420" aboveAverage="0" equalAverage="0" bottom="0" percent="0" rank="0" text="" dxfId="453">
      <formula>#ref!=1</formula>
    </cfRule>
    <cfRule type="expression" priority="421" aboveAverage="0" equalAverage="0" bottom="0" percent="0" rank="0" text="" dxfId="454">
      <formula>#ref!=1</formula>
    </cfRule>
    <cfRule type="expression" priority="422" aboveAverage="0" equalAverage="0" bottom="0" percent="0" rank="0" text="" dxfId="455">
      <formula>AND($L38="X",OR($B38&lt;&gt;"",$C38&lt;&gt;"",$E38&lt;&gt;"",#ref!&lt;&gt;""))</formula>
    </cfRule>
    <cfRule type="expression" priority="423" aboveAverage="0" equalAverage="0" bottom="0" percent="0" rank="0" text="" dxfId="456">
      <formula>AND($L38="X",OR($B38&lt;&gt;"",$C38&lt;&gt;""))</formula>
    </cfRule>
    <cfRule type="expression" priority="424" aboveAverage="0" equalAverage="0" bottom="0" percent="0" rank="0" text="" dxfId="457">
      <formula>AND($L38="X",OR($B38&lt;&gt;"",$C38&lt;&gt;"",$D38&lt;&gt;"",$E38&lt;&gt;""))</formula>
    </cfRule>
    <cfRule type="expression" priority="425" aboveAverage="0" equalAverage="0" bottom="0" percent="0" rank="0" text="" dxfId="458">
      <formula>AND(#ref!=1,#ref!=1)</formula>
    </cfRule>
    <cfRule type="expression" priority="426" aboveAverage="0" equalAverage="0" bottom="0" percent="0" rank="0" text="" dxfId="459">
      <formula>#ref!=1</formula>
    </cfRule>
    <cfRule type="expression" priority="427" aboveAverage="0" equalAverage="0" bottom="0" percent="0" rank="0" text="" dxfId="460">
      <formula>#ref!=1</formula>
    </cfRule>
    <cfRule type="expression" priority="428" aboveAverage="0" equalAverage="0" bottom="0" percent="0" rank="0" text="" dxfId="461">
      <formula>AND($L38="X",OR($B38&lt;&gt;"",$C38&lt;&gt;"",$E38&lt;&gt;"",#ref!&lt;&gt;""))</formula>
    </cfRule>
    <cfRule type="expression" priority="429" aboveAverage="0" equalAverage="0" bottom="0" percent="0" rank="0" text="" dxfId="462">
      <formula>#ref!=1</formula>
    </cfRule>
    <cfRule type="expression" priority="430" aboveAverage="0" equalAverage="0" bottom="0" percent="0" rank="0" text="" dxfId="463">
      <formula>AND($L38="X",OR($B38&lt;&gt;"",$C38&lt;&gt;"",$D38&lt;&gt;""))</formula>
    </cfRule>
    <cfRule type="expression" priority="431" aboveAverage="0" equalAverage="0" bottom="0" percent="0" rank="0" text="" dxfId="464">
      <formula>AND($L38="X",OR($B38&lt;&gt;"",$C38&lt;&gt;"",$D38&lt;&gt;"",$E38&lt;&gt;""))</formula>
    </cfRule>
    <cfRule type="expression" priority="432" aboveAverage="0" equalAverage="0" bottom="0" percent="0" rank="0" text="" dxfId="465">
      <formula>AND(#ref!=1,#ref!=1)</formula>
    </cfRule>
    <cfRule type="expression" priority="433" aboveAverage="0" equalAverage="0" bottom="0" percent="0" rank="0" text="" dxfId="466">
      <formula>#ref!=1</formula>
    </cfRule>
    <cfRule type="expression" priority="434" aboveAverage="0" equalAverage="0" bottom="0" percent="0" rank="0" text="" dxfId="467">
      <formula>AND($L38="X",OR($B38&lt;&gt;"",$C38&lt;&gt;"",$E38&lt;&gt;"",#ref!&lt;&gt;""))</formula>
    </cfRule>
    <cfRule type="expression" priority="435" aboveAverage="0" equalAverage="0" bottom="0" percent="0" rank="0" text="" dxfId="468">
      <formula>AND($L38="X",OR($B38&lt;&gt;"",$C38&lt;&gt;""))</formula>
    </cfRule>
    <cfRule type="expression" priority="436" aboveAverage="0" equalAverage="0" bottom="0" percent="0" rank="0" text="" dxfId="469">
      <formula>AND($L38="X",$B38&lt;&gt;"")</formula>
    </cfRule>
    <cfRule type="expression" priority="437" aboveAverage="0" equalAverage="0" bottom="0" percent="0" rank="0" text="" dxfId="470">
      <formula>AND($L38="X",OR($B38&lt;&gt;"",$C38&lt;&gt;"",$D38&lt;&gt;""))</formula>
    </cfRule>
    <cfRule type="expression" priority="438" aboveAverage="0" equalAverage="0" bottom="0" percent="0" rank="0" text="" dxfId="471">
      <formula>AND($L38="X",OR($B38&lt;&gt;"",#ref!&lt;&gt;"",$C38&lt;&gt;""))</formula>
    </cfRule>
    <cfRule type="expression" priority="439" aboveAverage="0" equalAverage="0" bottom="0" percent="0" rank="0" text="" dxfId="472">
      <formula>AND($L38="X",OR($B38&lt;&gt;"",#ref!&lt;&gt;"",$C38&lt;&gt;"",$D38&lt;&gt;""))</formula>
    </cfRule>
    <cfRule type="expression" priority="440" aboveAverage="0" equalAverage="0" bottom="0" percent="0" rank="0" text="" dxfId="473">
      <formula>AND($L38="X",OR($B38&lt;&gt;"",#ref!&lt;&gt;"",$D38&lt;&gt;"",#ref!&lt;&gt;""))</formula>
    </cfRule>
    <cfRule type="expression" priority="441" aboveAverage="0" equalAverage="0" bottom="0" percent="0" rank="0" text="" dxfId="474">
      <formula>#ref!=1</formula>
    </cfRule>
    <cfRule type="expression" priority="442" aboveAverage="0" equalAverage="0" bottom="0" percent="0" rank="0" text="" dxfId="475">
      <formula>AND($L38="X",OR($B38&lt;&gt;"",#ref!&lt;&gt;"",$C38&lt;&gt;""))</formula>
    </cfRule>
    <cfRule type="expression" priority="443" aboveAverage="0" equalAverage="0" bottom="0" percent="0" rank="0" text="" dxfId="476">
      <formula>AND(#ref!=1,#ref!=1)</formula>
    </cfRule>
    <cfRule type="expression" priority="444" aboveAverage="0" equalAverage="0" bottom="0" percent="0" rank="0" text="" dxfId="477">
      <formula>#ref!=1</formula>
    </cfRule>
    <cfRule type="expression" priority="445" aboveAverage="0" equalAverage="0" bottom="0" percent="0" rank="0" text="" dxfId="478">
      <formula>AND($L38="X",$B38&lt;&gt;"")</formula>
    </cfRule>
    <cfRule type="expression" priority="446" aboveAverage="0" equalAverage="0" bottom="0" percent="0" rank="0" text="" dxfId="479">
      <formula>AND($L38="X",OR($B38&lt;&gt;"",#ref!&lt;&gt;""))</formula>
    </cfRule>
  </conditionalFormatting>
  <conditionalFormatting sqref="D41">
    <cfRule type="expression" priority="447" aboveAverage="0" equalAverage="0" bottom="0" percent="0" rank="0" text="" dxfId="480">
      <formula>AND($L41="X",OR($B41&lt;&gt;"",#ref!&lt;&gt;"",$C41&lt;&gt;""))</formula>
    </cfRule>
    <cfRule type="expression" priority="448" aboveAverage="0" equalAverage="0" bottom="0" percent="0" rank="0" text="" dxfId="481">
      <formula>AND($L41="X",OR($B41&lt;&gt;"",$C41&lt;&gt;"",$D41&lt;&gt;""))</formula>
    </cfRule>
    <cfRule type="expression" priority="449" aboveAverage="0" equalAverage="0" bottom="0" percent="0" rank="0" text="" dxfId="482">
      <formula>AND($L41="X",OR($B41&lt;&gt;"",$C41&lt;&gt;"",$D41&lt;&gt;"",$E41&lt;&gt;""))</formula>
    </cfRule>
    <cfRule type="expression" priority="450" aboveAverage="0" equalAverage="0" bottom="0" percent="0" rank="0" text="" dxfId="483">
      <formula>AND($L41="X",OR($B41&lt;&gt;"",$C41&lt;&gt;"",$E41&lt;&gt;"",#ref!&lt;&gt;""))</formula>
    </cfRule>
    <cfRule type="expression" priority="451" aboveAverage="0" equalAverage="0" bottom="0" percent="0" rank="0" text="" dxfId="484">
      <formula>#ref!=1</formula>
    </cfRule>
    <cfRule type="expression" priority="452" aboveAverage="0" equalAverage="0" bottom="0" percent="0" rank="0" text="" dxfId="485">
      <formula>AND($L41="X",OR($B41&lt;&gt;"",$C41&lt;&gt;"",$D41&lt;&gt;""))</formula>
    </cfRule>
    <cfRule type="expression" priority="453" aboveAverage="0" equalAverage="0" bottom="0" percent="0" rank="0" text="" dxfId="486">
      <formula>AND($L41="X",OR($B41&lt;&gt;"",$C41&lt;&gt;"",$D41&lt;&gt;"",$E41&lt;&gt;""))</formula>
    </cfRule>
    <cfRule type="expression" priority="454" aboveAverage="0" equalAverage="0" bottom="0" percent="0" rank="0" text="" dxfId="487">
      <formula>AND(#ref!=1,#ref!=1)</formula>
    </cfRule>
    <cfRule type="expression" priority="455" aboveAverage="0" equalAverage="0" bottom="0" percent="0" rank="0" text="" dxfId="488">
      <formula>#ref!=1</formula>
    </cfRule>
    <cfRule type="expression" priority="456" aboveAverage="0" equalAverage="0" bottom="0" percent="0" rank="0" text="" dxfId="489">
      <formula>#ref!=1</formula>
    </cfRule>
    <cfRule type="expression" priority="457" aboveAverage="0" equalAverage="0" bottom="0" percent="0" rank="0" text="" dxfId="490">
      <formula>AND($L41="X",OR($B41&lt;&gt;"",$C41&lt;&gt;"",$E41&lt;&gt;"",#ref!&lt;&gt;""))</formula>
    </cfRule>
    <cfRule type="expression" priority="458" aboveAverage="0" equalAverage="0" bottom="0" percent="0" rank="0" text="" dxfId="491">
      <formula>AND($L41="X",OR($B41&lt;&gt;"",$C41&lt;&gt;""))</formula>
    </cfRule>
    <cfRule type="expression" priority="459" aboveAverage="0" equalAverage="0" bottom="0" percent="0" rank="0" text="" dxfId="492">
      <formula>AND($L41="X",OR($B41&lt;&gt;"",$C41&lt;&gt;"",$D41&lt;&gt;"",$E41&lt;&gt;""))</formula>
    </cfRule>
    <cfRule type="expression" priority="460" aboveAverage="0" equalAverage="0" bottom="0" percent="0" rank="0" text="" dxfId="493">
      <formula>AND(#ref!=1,#ref!=1)</formula>
    </cfRule>
    <cfRule type="expression" priority="461" aboveAverage="0" equalAverage="0" bottom="0" percent="0" rank="0" text="" dxfId="494">
      <formula>#ref!=1</formula>
    </cfRule>
    <cfRule type="expression" priority="462" aboveAverage="0" equalAverage="0" bottom="0" percent="0" rank="0" text="" dxfId="495">
      <formula>#ref!=1</formula>
    </cfRule>
    <cfRule type="expression" priority="463" aboveAverage="0" equalAverage="0" bottom="0" percent="0" rank="0" text="" dxfId="496">
      <formula>AND($L41="X",OR($B41&lt;&gt;"",$C41&lt;&gt;"",$E41&lt;&gt;"",#ref!&lt;&gt;""))</formula>
    </cfRule>
    <cfRule type="expression" priority="464" aboveAverage="0" equalAverage="0" bottom="0" percent="0" rank="0" text="" dxfId="497">
      <formula>#ref!=1</formula>
    </cfRule>
    <cfRule type="expression" priority="465" aboveAverage="0" equalAverage="0" bottom="0" percent="0" rank="0" text="" dxfId="498">
      <formula>AND($L41="X",OR($B41&lt;&gt;"",$C41&lt;&gt;"",$D41&lt;&gt;""))</formula>
    </cfRule>
    <cfRule type="expression" priority="466" aboveAverage="0" equalAverage="0" bottom="0" percent="0" rank="0" text="" dxfId="499">
      <formula>AND($L41="X",OR($B41&lt;&gt;"",$C41&lt;&gt;"",$D41&lt;&gt;"",$E41&lt;&gt;""))</formula>
    </cfRule>
    <cfRule type="expression" priority="467" aboveAverage="0" equalAverage="0" bottom="0" percent="0" rank="0" text="" dxfId="500">
      <formula>AND(#ref!=1,#ref!=1)</formula>
    </cfRule>
    <cfRule type="expression" priority="468" aboveAverage="0" equalAverage="0" bottom="0" percent="0" rank="0" text="" dxfId="501">
      <formula>#ref!=1</formula>
    </cfRule>
    <cfRule type="expression" priority="469" aboveAverage="0" equalAverage="0" bottom="0" percent="0" rank="0" text="" dxfId="502">
      <formula>AND($L41="X",OR($B41&lt;&gt;"",$C41&lt;&gt;"",$E41&lt;&gt;"",#ref!&lt;&gt;""))</formula>
    </cfRule>
    <cfRule type="expression" priority="470" aboveAverage="0" equalAverage="0" bottom="0" percent="0" rank="0" text="" dxfId="503">
      <formula>AND($L41="X",OR($B41&lt;&gt;"",$C41&lt;&gt;""))</formula>
    </cfRule>
    <cfRule type="expression" priority="471" aboveAverage="0" equalAverage="0" bottom="0" percent="0" rank="0" text="" dxfId="504">
      <formula>AND($L41="X",$B41&lt;&gt;"")</formula>
    </cfRule>
    <cfRule type="expression" priority="472" aboveAverage="0" equalAverage="0" bottom="0" percent="0" rank="0" text="" dxfId="505">
      <formula>AND($L41="X",OR($B41&lt;&gt;"",$C41&lt;&gt;"",$D41&lt;&gt;""))</formula>
    </cfRule>
  </conditionalFormatting>
  <conditionalFormatting sqref="D52 G52">
    <cfRule type="expression" priority="473" aboveAverage="0" equalAverage="0" bottom="0" percent="0" rank="0" text="" dxfId="506">
      <formula>AND($L52="X",OR($B52&lt;&gt;"",#ref!&lt;&gt;"",$C52&lt;&gt;""))</formula>
    </cfRule>
    <cfRule type="expression" priority="474" aboveAverage="0" equalAverage="0" bottom="0" percent="0" rank="0" text="" dxfId="507">
      <formula>AND($L52="X",OR($B52&lt;&gt;"",$C52&lt;&gt;"",$D52&lt;&gt;""))</formula>
    </cfRule>
    <cfRule type="expression" priority="475" aboveAverage="0" equalAverage="0" bottom="0" percent="0" rank="0" text="" dxfId="508">
      <formula>AND($L52="X",OR($B52&lt;&gt;"",$C52&lt;&gt;"",$D52&lt;&gt;"",$E52&lt;&gt;""))</formula>
    </cfRule>
    <cfRule type="expression" priority="476" aboveAverage="0" equalAverage="0" bottom="0" percent="0" rank="0" text="" dxfId="509">
      <formula>AND($L52="X",OR($B52&lt;&gt;"",$C52&lt;&gt;"",$E52&lt;&gt;"",#ref!&lt;&gt;""))</formula>
    </cfRule>
    <cfRule type="expression" priority="477" aboveAverage="0" equalAverage="0" bottom="0" percent="0" rank="0" text="" dxfId="510">
      <formula>#ref!=1</formula>
    </cfRule>
    <cfRule type="expression" priority="478" aboveAverage="0" equalAverage="0" bottom="0" percent="0" rank="0" text="" dxfId="511">
      <formula>AND($L52="X",OR($B52&lt;&gt;"",$C52&lt;&gt;"",$D52&lt;&gt;""))</formula>
    </cfRule>
    <cfRule type="expression" priority="479" aboveAverage="0" equalAverage="0" bottom="0" percent="0" rank="0" text="" dxfId="512">
      <formula>AND($L52="X",OR($B52&lt;&gt;"",$C52&lt;&gt;"",$D52&lt;&gt;"",$E52&lt;&gt;""))</formula>
    </cfRule>
    <cfRule type="expression" priority="480" aboveAverage="0" equalAverage="0" bottom="0" percent="0" rank="0" text="" dxfId="513">
      <formula>AND(#ref!=1,#ref!=1)</formula>
    </cfRule>
    <cfRule type="expression" priority="481" aboveAverage="0" equalAverage="0" bottom="0" percent="0" rank="0" text="" dxfId="514">
      <formula>#ref!=1</formula>
    </cfRule>
    <cfRule type="expression" priority="482" aboveAverage="0" equalAverage="0" bottom="0" percent="0" rank="0" text="" dxfId="515">
      <formula>#ref!=1</formula>
    </cfRule>
    <cfRule type="expression" priority="483" aboveAverage="0" equalAverage="0" bottom="0" percent="0" rank="0" text="" dxfId="516">
      <formula>AND($L52="X",OR($B52&lt;&gt;"",$C52&lt;&gt;"",$E52&lt;&gt;"",#ref!&lt;&gt;""))</formula>
    </cfRule>
    <cfRule type="expression" priority="484" aboveAverage="0" equalAverage="0" bottom="0" percent="0" rank="0" text="" dxfId="517">
      <formula>AND($L52="X",OR($B52&lt;&gt;"",$C52&lt;&gt;""))</formula>
    </cfRule>
    <cfRule type="expression" priority="485" aboveAverage="0" equalAverage="0" bottom="0" percent="0" rank="0" text="" dxfId="518">
      <formula>AND($L52="X",OR($B52&lt;&gt;"",$C52&lt;&gt;"",$D52&lt;&gt;"",$E52&lt;&gt;""))</formula>
    </cfRule>
    <cfRule type="expression" priority="486" aboveAverage="0" equalAverage="0" bottom="0" percent="0" rank="0" text="" dxfId="519">
      <formula>AND(#ref!=1,#ref!=1)</formula>
    </cfRule>
    <cfRule type="expression" priority="487" aboveAverage="0" equalAverage="0" bottom="0" percent="0" rank="0" text="" dxfId="520">
      <formula>#ref!=1</formula>
    </cfRule>
    <cfRule type="expression" priority="488" aboveAverage="0" equalAverage="0" bottom="0" percent="0" rank="0" text="" dxfId="521">
      <formula>#ref!=1</formula>
    </cfRule>
    <cfRule type="expression" priority="489" aboveAverage="0" equalAverage="0" bottom="0" percent="0" rank="0" text="" dxfId="522">
      <formula>AND($L52="X",OR($B52&lt;&gt;"",$C52&lt;&gt;"",$E52&lt;&gt;"",#ref!&lt;&gt;""))</formula>
    </cfRule>
    <cfRule type="expression" priority="490" aboveAverage="0" equalAverage="0" bottom="0" percent="0" rank="0" text="" dxfId="523">
      <formula>#ref!=1</formula>
    </cfRule>
    <cfRule type="expression" priority="491" aboveAverage="0" equalAverage="0" bottom="0" percent="0" rank="0" text="" dxfId="524">
      <formula>AND($L52="X",OR($B52&lt;&gt;"",$C52&lt;&gt;"",$D52&lt;&gt;""))</formula>
    </cfRule>
    <cfRule type="expression" priority="492" aboveAverage="0" equalAverage="0" bottom="0" percent="0" rank="0" text="" dxfId="525">
      <formula>AND($L52="X",OR($B52&lt;&gt;"",$C52&lt;&gt;"",$D52&lt;&gt;"",$E52&lt;&gt;""))</formula>
    </cfRule>
    <cfRule type="expression" priority="493" aboveAverage="0" equalAverage="0" bottom="0" percent="0" rank="0" text="" dxfId="526">
      <formula>AND(#ref!=1,#ref!=1)</formula>
    </cfRule>
    <cfRule type="expression" priority="494" aboveAverage="0" equalAverage="0" bottom="0" percent="0" rank="0" text="" dxfId="527">
      <formula>#ref!=1</formula>
    </cfRule>
    <cfRule type="expression" priority="495" aboveAverage="0" equalAverage="0" bottom="0" percent="0" rank="0" text="" dxfId="528">
      <formula>AND($L52="X",OR($B52&lt;&gt;"",$C52&lt;&gt;"",$E52&lt;&gt;"",#ref!&lt;&gt;""))</formula>
    </cfRule>
    <cfRule type="expression" priority="496" aboveAverage="0" equalAverage="0" bottom="0" percent="0" rank="0" text="" dxfId="529">
      <formula>AND($L52="X",OR($B52&lt;&gt;"",$C52&lt;&gt;""))</formula>
    </cfRule>
    <cfRule type="expression" priority="497" aboveAverage="0" equalAverage="0" bottom="0" percent="0" rank="0" text="" dxfId="530">
      <formula>AND($L52="X",$B52&lt;&gt;"")</formula>
    </cfRule>
    <cfRule type="expression" priority="498" aboveAverage="0" equalAverage="0" bottom="0" percent="0" rank="0" text="" dxfId="531">
      <formula>AND($L52="X",OR($B52&lt;&gt;"",$C52&lt;&gt;"",$D52&lt;&gt;""))</formula>
    </cfRule>
  </conditionalFormatting>
  <conditionalFormatting sqref="D85 F89">
    <cfRule type="expression" priority="499" aboveAverage="0" equalAverage="0" bottom="0" percent="0" rank="0" text="" dxfId="532">
      <formula>AND($L85="X",OR($B85&lt;&gt;"",#ref!&lt;&gt;"",$C85&lt;&gt;"",$D85&lt;&gt;""))</formula>
    </cfRule>
    <cfRule type="expression" priority="500" aboveAverage="0" equalAverage="0" bottom="0" percent="0" rank="0" text="" dxfId="533">
      <formula>AND($L85="X",OR($B85&lt;&gt;"",$C85&lt;&gt;"",$D85&lt;&gt;""))</formula>
    </cfRule>
  </conditionalFormatting>
  <conditionalFormatting sqref="D92 G92">
    <cfRule type="expression" priority="501" aboveAverage="0" equalAverage="0" bottom="0" percent="0" rank="0" text="" dxfId="534">
      <formula>AND($L92="X",OR($B92&lt;&gt;"",#ref!&lt;&gt;"",$C92&lt;&gt;""))</formula>
    </cfRule>
    <cfRule type="expression" priority="502" aboveAverage="0" equalAverage="0" bottom="0" percent="0" rank="0" text="" dxfId="535">
      <formula>AND($L92="X",OR($B92&lt;&gt;"",$C92&lt;&gt;"",$D92&lt;&gt;""))</formula>
    </cfRule>
    <cfRule type="expression" priority="503" aboveAverage="0" equalAverage="0" bottom="0" percent="0" rank="0" text="" dxfId="536">
      <formula>AND($L92="X",OR($B92&lt;&gt;"",$C92&lt;&gt;"",$D92&lt;&gt;"",$E92&lt;&gt;""))</formula>
    </cfRule>
    <cfRule type="expression" priority="504" aboveAverage="0" equalAverage="0" bottom="0" percent="0" rank="0" text="" dxfId="537">
      <formula>AND($L92="X",OR($B92&lt;&gt;"",$C92&lt;&gt;"",$E92&lt;&gt;"",#ref!&lt;&gt;""))</formula>
    </cfRule>
    <cfRule type="expression" priority="505" aboveAverage="0" equalAverage="0" bottom="0" percent="0" rank="0" text="" dxfId="538">
      <formula>#ref!=1</formula>
    </cfRule>
    <cfRule type="expression" priority="506" aboveAverage="0" equalAverage="0" bottom="0" percent="0" rank="0" text="" dxfId="539">
      <formula>AND($L92="X",OR($B92&lt;&gt;"",$C92&lt;&gt;"",$D92&lt;&gt;""))</formula>
    </cfRule>
    <cfRule type="expression" priority="507" aboveAverage="0" equalAverage="0" bottom="0" percent="0" rank="0" text="" dxfId="540">
      <formula>AND($L92="X",OR($B92&lt;&gt;"",$C92&lt;&gt;"",$D92&lt;&gt;"",$E92&lt;&gt;""))</formula>
    </cfRule>
    <cfRule type="expression" priority="508" aboveAverage="0" equalAverage="0" bottom="0" percent="0" rank="0" text="" dxfId="541">
      <formula>AND(#ref!=1,#ref!=1)</formula>
    </cfRule>
    <cfRule type="expression" priority="509" aboveAverage="0" equalAverage="0" bottom="0" percent="0" rank="0" text="" dxfId="542">
      <formula>#ref!=1</formula>
    </cfRule>
    <cfRule type="expression" priority="510" aboveAverage="0" equalAverage="0" bottom="0" percent="0" rank="0" text="" dxfId="543">
      <formula>#ref!=1</formula>
    </cfRule>
    <cfRule type="expression" priority="511" aboveAverage="0" equalAverage="0" bottom="0" percent="0" rank="0" text="" dxfId="544">
      <formula>AND($L92="X",OR($B92&lt;&gt;"",$C92&lt;&gt;"",$E92&lt;&gt;"",#ref!&lt;&gt;""))</formula>
    </cfRule>
    <cfRule type="expression" priority="512" aboveAverage="0" equalAverage="0" bottom="0" percent="0" rank="0" text="" dxfId="545">
      <formula>AND($L92="X",OR($B92&lt;&gt;"",$C92&lt;&gt;""))</formula>
    </cfRule>
    <cfRule type="expression" priority="513" aboveAverage="0" equalAverage="0" bottom="0" percent="0" rank="0" text="" dxfId="546">
      <formula>AND($L92="X",OR($B92&lt;&gt;"",$C92&lt;&gt;"",$D92&lt;&gt;"",$E92&lt;&gt;""))</formula>
    </cfRule>
    <cfRule type="expression" priority="514" aboveAverage="0" equalAverage="0" bottom="0" percent="0" rank="0" text="" dxfId="547">
      <formula>AND(#ref!=1,#ref!=1)</formula>
    </cfRule>
    <cfRule type="expression" priority="515" aboveAverage="0" equalAverage="0" bottom="0" percent="0" rank="0" text="" dxfId="548">
      <formula>#ref!=1</formula>
    </cfRule>
    <cfRule type="expression" priority="516" aboveAverage="0" equalAverage="0" bottom="0" percent="0" rank="0" text="" dxfId="549">
      <formula>#ref!=1</formula>
    </cfRule>
    <cfRule type="expression" priority="517" aboveAverage="0" equalAverage="0" bottom="0" percent="0" rank="0" text="" dxfId="550">
      <formula>AND($L92="X",OR($B92&lt;&gt;"",$C92&lt;&gt;"",$E92&lt;&gt;"",#ref!&lt;&gt;""))</formula>
    </cfRule>
    <cfRule type="expression" priority="518" aboveAverage="0" equalAverage="0" bottom="0" percent="0" rank="0" text="" dxfId="551">
      <formula>#ref!=1</formula>
    </cfRule>
    <cfRule type="expression" priority="519" aboveAverage="0" equalAverage="0" bottom="0" percent="0" rank="0" text="" dxfId="552">
      <formula>AND($L92="X",OR($B92&lt;&gt;"",$C92&lt;&gt;"",$D92&lt;&gt;""))</formula>
    </cfRule>
    <cfRule type="expression" priority="520" aboveAverage="0" equalAverage="0" bottom="0" percent="0" rank="0" text="" dxfId="553">
      <formula>AND($L92="X",OR($B92&lt;&gt;"",$C92&lt;&gt;"",$D92&lt;&gt;"",$E92&lt;&gt;""))</formula>
    </cfRule>
    <cfRule type="expression" priority="521" aboveAverage="0" equalAverage="0" bottom="0" percent="0" rank="0" text="" dxfId="554">
      <formula>AND(#ref!=1,#ref!=1)</formula>
    </cfRule>
    <cfRule type="expression" priority="522" aboveAverage="0" equalAverage="0" bottom="0" percent="0" rank="0" text="" dxfId="555">
      <formula>#ref!=1</formula>
    </cfRule>
    <cfRule type="expression" priority="523" aboveAverage="0" equalAverage="0" bottom="0" percent="0" rank="0" text="" dxfId="556">
      <formula>AND($L92="X",OR($B92&lt;&gt;"",$C92&lt;&gt;"",$E92&lt;&gt;"",#ref!&lt;&gt;""))</formula>
    </cfRule>
  </conditionalFormatting>
  <conditionalFormatting sqref="D106:D108 G106:G108">
    <cfRule type="expression" priority="524" aboveAverage="0" equalAverage="0" bottom="0" percent="0" rank="0" text="" dxfId="557">
      <formula>AND($L106="X",OR($B106&lt;&gt;"",#ref!&lt;&gt;"",$C106&lt;&gt;""))</formula>
    </cfRule>
    <cfRule type="expression" priority="525" aboveAverage="0" equalAverage="0" bottom="0" percent="0" rank="0" text="" dxfId="558">
      <formula>AND($L106="X",OR($B106&lt;&gt;"",$C106&lt;&gt;"",$D106&lt;&gt;""))</formula>
    </cfRule>
    <cfRule type="expression" priority="526" aboveAverage="0" equalAverage="0" bottom="0" percent="0" rank="0" text="" dxfId="559">
      <formula>AND($L106="X",OR($B106&lt;&gt;"",$C106&lt;&gt;"",$D106&lt;&gt;"",$E106&lt;&gt;""))</formula>
    </cfRule>
    <cfRule type="expression" priority="527" aboveAverage="0" equalAverage="0" bottom="0" percent="0" rank="0" text="" dxfId="560">
      <formula>AND($L106="X",OR($B106&lt;&gt;"",$C106&lt;&gt;"",$E106&lt;&gt;"",#ref!&lt;&gt;""))</formula>
    </cfRule>
    <cfRule type="expression" priority="528" aboveAverage="0" equalAverage="0" bottom="0" percent="0" rank="0" text="" dxfId="561">
      <formula>#ref!=1</formula>
    </cfRule>
    <cfRule type="expression" priority="529" aboveAverage="0" equalAverage="0" bottom="0" percent="0" rank="0" text="" dxfId="562">
      <formula>AND($L106="X",OR($B106&lt;&gt;"",$C106&lt;&gt;"",$D106&lt;&gt;""))</formula>
    </cfRule>
    <cfRule type="expression" priority="530" aboveAverage="0" equalAverage="0" bottom="0" percent="0" rank="0" text="" dxfId="563">
      <formula>AND($L106="X",OR($B106&lt;&gt;"",$C106&lt;&gt;"",$D106&lt;&gt;"",$E106&lt;&gt;""))</formula>
    </cfRule>
    <cfRule type="expression" priority="531" aboveAverage="0" equalAverage="0" bottom="0" percent="0" rank="0" text="" dxfId="564">
      <formula>AND(#ref!=1,#ref!=1)</formula>
    </cfRule>
    <cfRule type="expression" priority="532" aboveAverage="0" equalAverage="0" bottom="0" percent="0" rank="0" text="" dxfId="565">
      <formula>#ref!=1</formula>
    </cfRule>
    <cfRule type="expression" priority="533" aboveAverage="0" equalAverage="0" bottom="0" percent="0" rank="0" text="" dxfId="566">
      <formula>#ref!=1</formula>
    </cfRule>
    <cfRule type="expression" priority="534" aboveAverage="0" equalAverage="0" bottom="0" percent="0" rank="0" text="" dxfId="567">
      <formula>AND($L106="X",OR($B106&lt;&gt;"",$C106&lt;&gt;"",$E106&lt;&gt;"",#ref!&lt;&gt;""))</formula>
    </cfRule>
  </conditionalFormatting>
  <conditionalFormatting sqref="D114 D126:D127 D163:D165 C173 D174:D175 C177:C178">
    <cfRule type="expression" priority="535" aboveAverage="0" equalAverage="0" bottom="0" percent="0" rank="0" text="" dxfId="568">
      <formula>AND($L114="X",OR(#ref!&lt;&gt;"",$B114&lt;&gt;""))</formula>
    </cfRule>
  </conditionalFormatting>
  <conditionalFormatting sqref="D114 G114">
    <cfRule type="expression" priority="536" aboveAverage="0" equalAverage="0" bottom="0" percent="0" rank="0" text="" dxfId="569">
      <formula>AND($L114="X",OR($B114&lt;&gt;"",#ref!&lt;&gt;"",$C114&lt;&gt;""))</formula>
    </cfRule>
    <cfRule type="expression" priority="537" aboveAverage="0" equalAverage="0" bottom="0" percent="0" rank="0" text="" dxfId="570">
      <formula>AND($L114="X",OR($B114&lt;&gt;"",$C114&lt;&gt;"",$D114&lt;&gt;""))</formula>
    </cfRule>
    <cfRule type="expression" priority="538" aboveAverage="0" equalAverage="0" bottom="0" percent="0" rank="0" text="" dxfId="571">
      <formula>AND($L114="X",OR($B114&lt;&gt;"",$C114&lt;&gt;"",$D114&lt;&gt;"",$E114&lt;&gt;""))</formula>
    </cfRule>
    <cfRule type="expression" priority="539" aboveAverage="0" equalAverage="0" bottom="0" percent="0" rank="0" text="" dxfId="572">
      <formula>AND($L114="X",OR($B114&lt;&gt;"",$C114&lt;&gt;"",$E114&lt;&gt;"",#ref!&lt;&gt;""))</formula>
    </cfRule>
    <cfRule type="expression" priority="540" aboveAverage="0" equalAverage="0" bottom="0" percent="0" rank="0" text="" dxfId="573">
      <formula>#ref!=1</formula>
    </cfRule>
    <cfRule type="expression" priority="541" aboveAverage="0" equalAverage="0" bottom="0" percent="0" rank="0" text="" dxfId="574">
      <formula>AND($L114="X",OR($B114&lt;&gt;"",$C114&lt;&gt;"",$D114&lt;&gt;""))</formula>
    </cfRule>
  </conditionalFormatting>
  <conditionalFormatting sqref="D122">
    <cfRule type="expression" priority="542" aboveAverage="0" equalAverage="0" bottom="0" percent="0" rank="0" text="" dxfId="575">
      <formula>AND($L122="X",OR($B122&lt;&gt;"",#ref!&lt;&gt;"",$C122&lt;&gt;"",$D122&lt;&gt;""))</formula>
    </cfRule>
    <cfRule type="expression" priority="543" aboveAverage="0" equalAverage="0" bottom="0" percent="0" rank="0" text="" dxfId="576">
      <formula>AND($L122="X",OR($B122&lt;&gt;"",$C122&lt;&gt;"",$D122&lt;&gt;"",$E122&lt;&gt;""))</formula>
    </cfRule>
    <cfRule type="expression" priority="544" aboveAverage="0" equalAverage="0" bottom="0" percent="0" rank="0" text="" dxfId="577">
      <formula>AND($L122="X",OR($B122&lt;&gt;"",$C122&lt;&gt;"",$E122&lt;&gt;"",#ref!&lt;&gt;""))</formula>
    </cfRule>
  </conditionalFormatting>
  <conditionalFormatting sqref="D124 G124">
    <cfRule type="expression" priority="545" aboveAverage="0" equalAverage="0" bottom="0" percent="0" rank="0" text="" dxfId="578">
      <formula>AND($L124="X",OR($B124&lt;&gt;"",#ref!&lt;&gt;"",$C124&lt;&gt;""))</formula>
    </cfRule>
    <cfRule type="expression" priority="546" aboveAverage="0" equalAverage="0" bottom="0" percent="0" rank="0" text="" dxfId="579">
      <formula>AND($L124="X",OR($B124&lt;&gt;"",$C124&lt;&gt;"",$D124&lt;&gt;""))</formula>
    </cfRule>
    <cfRule type="expression" priority="547" aboveAverage="0" equalAverage="0" bottom="0" percent="0" rank="0" text="" dxfId="580">
      <formula>AND($L124="X",OR($B124&lt;&gt;"",$C124&lt;&gt;"",$D124&lt;&gt;"",$E124&lt;&gt;""))</formula>
    </cfRule>
    <cfRule type="expression" priority="548" aboveAverage="0" equalAverage="0" bottom="0" percent="0" rank="0" text="" dxfId="581">
      <formula>AND($L124="X",OR($B124&lt;&gt;"",$C124&lt;&gt;"",$E124&lt;&gt;"",#ref!&lt;&gt;""))</formula>
    </cfRule>
    <cfRule type="expression" priority="549" aboveAverage="0" equalAverage="0" bottom="0" percent="0" rank="0" text="" dxfId="582">
      <formula>#ref!=1</formula>
    </cfRule>
    <cfRule type="expression" priority="550" aboveAverage="0" equalAverage="0" bottom="0" percent="0" rank="0" text="" dxfId="583">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priority="551" aboveAverage="0" equalAverage="0" bottom="0" percent="0" rank="0" text="" dxfId="584">
      <formula>AND($L9="X",OR($B9&lt;&gt;"",$C9&lt;&gt;""))</formula>
    </cfRule>
  </conditionalFormatting>
  <conditionalFormatting sqref="D140:D141">
    <cfRule type="expression" priority="552" aboveAverage="0" equalAverage="0" bottom="0" percent="0" rank="0" text="" dxfId="585">
      <formula>OR(#ref!="X",#ref!="X")</formula>
    </cfRule>
    <cfRule type="expression" priority="553" aboveAverage="0" equalAverage="0" bottom="0" percent="0" rank="0" text="" dxfId="586">
      <formula>AND(#ref!=1,#ref!=1)</formula>
    </cfRule>
    <cfRule type="expression" priority="554" aboveAverage="0" equalAverage="0" bottom="0" percent="0" rank="0" text="" dxfId="587">
      <formula>#ref!=1</formula>
    </cfRule>
  </conditionalFormatting>
  <conditionalFormatting sqref="D142 G142">
    <cfRule type="expression" priority="555" aboveAverage="0" equalAverage="0" bottom="0" percent="0" rank="0" text="" dxfId="588">
      <formula>AND($L142="X",OR($B142&lt;&gt;"",#ref!&lt;&gt;"",$C142&lt;&gt;""))</formula>
    </cfRule>
    <cfRule type="expression" priority="556" aboveAverage="0" equalAverage="0" bottom="0" percent="0" rank="0" text="" dxfId="589">
      <formula>AND($L142="X",OR($B142&lt;&gt;"",$C142&lt;&gt;"",$D142&lt;&gt;""))</formula>
    </cfRule>
  </conditionalFormatting>
  <conditionalFormatting sqref="D169:D170">
    <cfRule type="expression" priority="557" aboveAverage="0" equalAverage="0" bottom="0" percent="0" rank="0" text="" dxfId="590">
      <formula>#ref!=1</formula>
    </cfRule>
    <cfRule type="expression" priority="558" aboveAverage="0" equalAverage="0" bottom="0" percent="0" rank="0" text="" dxfId="591">
      <formula>AND($L169="X",OR($B169&lt;&gt;"",$C169&lt;&gt;"",$D169&lt;&gt;"",$E169&lt;&gt;""))</formula>
    </cfRule>
    <cfRule type="expression" priority="559" aboveAverage="0" equalAverage="0" bottom="0" percent="0" rank="0" text="" dxfId="592">
      <formula>AND(#ref!=1,#ref!=1)</formula>
    </cfRule>
    <cfRule type="expression" priority="560" aboveAverage="0" equalAverage="0" bottom="0" percent="0" rank="0" text="" dxfId="593">
      <formula>#ref!=1</formula>
    </cfRule>
    <cfRule type="expression" priority="561" aboveAverage="0" equalAverage="0" bottom="0" percent="0" rank="0" text="" dxfId="594">
      <formula>AND($L169="X",OR($B169&lt;&gt;"",$C169&lt;&gt;"",$D169&lt;&gt;""))</formula>
    </cfRule>
    <cfRule type="expression" priority="562" aboveAverage="0" equalAverage="0" bottom="0" percent="0" rank="0" text="" dxfId="595">
      <formula>#ref!=1</formula>
    </cfRule>
    <cfRule type="expression" priority="563" aboveAverage="0" equalAverage="0" bottom="0" percent="0" rank="0" text="" dxfId="596">
      <formula>AND($L169="X",OR($B169&lt;&gt;"",$C169&lt;&gt;"",$D169&lt;&gt;"",$E169&lt;&gt;""))</formula>
    </cfRule>
    <cfRule type="expression" priority="564" aboveAverage="0" equalAverage="0" bottom="0" percent="0" rank="0" text="" dxfId="597">
      <formula>AND(#ref!=1,#ref!=1)</formula>
    </cfRule>
    <cfRule type="expression" priority="565" aboveAverage="0" equalAverage="0" bottom="0" percent="0" rank="0" text="" dxfId="598">
      <formula>#ref!=1</formula>
    </cfRule>
    <cfRule type="expression" priority="566" aboveAverage="0" equalAverage="0" bottom="0" percent="0" rank="0" text="" dxfId="599">
      <formula>AND($L169="X",OR($B169&lt;&gt;"",$C169&lt;&gt;"",$D169&lt;&gt;""))</formula>
    </cfRule>
  </conditionalFormatting>
  <conditionalFormatting sqref="D172 D176">
    <cfRule type="expression" priority="567" aboveAverage="0" equalAverage="0" bottom="0" percent="0" rank="0" text="" dxfId="600">
      <formula>AND($L172="X",OR($B172&lt;&gt;"",$C172&lt;&gt;""))</formula>
    </cfRule>
    <cfRule type="expression" priority="568" aboveAverage="0" equalAverage="0" bottom="0" percent="0" rank="0" text="" dxfId="601">
      <formula>#ref!=1</formula>
    </cfRule>
    <cfRule type="expression" priority="569" aboveAverage="0" equalAverage="0" bottom="0" percent="0" rank="0" text="" dxfId="602">
      <formula>AND($L172="X",OR($B172&lt;&gt;"",$C172&lt;&gt;"",$D172&lt;&gt;"",$E172&lt;&gt;""))</formula>
    </cfRule>
    <cfRule type="expression" priority="570" aboveAverage="0" equalAverage="0" bottom="0" percent="0" rank="0" text="" dxfId="603">
      <formula>AND(#ref!=1,#ref!=1)</formula>
    </cfRule>
    <cfRule type="expression" priority="571" aboveAverage="0" equalAverage="0" bottom="0" percent="0" rank="0" text="" dxfId="604">
      <formula>#ref!=1</formula>
    </cfRule>
    <cfRule type="expression" priority="572" aboveAverage="0" equalAverage="0" bottom="0" percent="0" rank="0" text="" dxfId="605">
      <formula>AND($L172="X",OR($B172&lt;&gt;"",$C172&lt;&gt;"",$D172&lt;&gt;""))</formula>
    </cfRule>
    <cfRule type="expression" priority="573" aboveAverage="0" equalAverage="0" bottom="0" percent="0" rank="0" text="" dxfId="606">
      <formula>#ref!=1</formula>
    </cfRule>
    <cfRule type="expression" priority="574" aboveAverage="0" equalAverage="0" bottom="0" percent="0" rank="0" text="" dxfId="607">
      <formula>AND($L172="X",OR($B172&lt;&gt;"",$C172&lt;&gt;"",$D172&lt;&gt;"",$E172&lt;&gt;""))</formula>
    </cfRule>
    <cfRule type="expression" priority="575" aboveAverage="0" equalAverage="0" bottom="0" percent="0" rank="0" text="" dxfId="608">
      <formula>AND(#ref!=1,#ref!=1)</formula>
    </cfRule>
    <cfRule type="expression" priority="576" aboveAverage="0" equalAverage="0" bottom="0" percent="0" rank="0" text="" dxfId="609">
      <formula>#ref!=1</formula>
    </cfRule>
    <cfRule type="expression" priority="577" aboveAverage="0" equalAverage="0" bottom="0" percent="0" rank="0" text="" dxfId="610">
      <formula>AND($L172="X",OR($B172&lt;&gt;"",$C172&lt;&gt;"",$D172&lt;&gt;""))</formula>
    </cfRule>
    <cfRule type="expression" priority="578" aboveAverage="0" equalAverage="0" bottom="0" percent="0" rank="0" text="" dxfId="611">
      <formula>AND($L172="X",OR($B172&lt;&gt;"",$C172&lt;&gt;""))</formula>
    </cfRule>
    <cfRule type="expression" priority="579" aboveAverage="0" equalAverage="0" bottom="0" percent="0" rank="0" text="" dxfId="612">
      <formula>AND(#ref!=1,#ref!=1)</formula>
    </cfRule>
    <cfRule type="expression" priority="580" aboveAverage="0" equalAverage="0" bottom="0" percent="0" rank="0" text="" dxfId="613">
      <formula>#ref!=1</formula>
    </cfRule>
    <cfRule type="expression" priority="581" aboveAverage="0" equalAverage="0" bottom="0" percent="0" rank="0" text="" dxfId="614">
      <formula>AND($L172="X",OR($B172&lt;&gt;"",$C172&lt;&gt;""))</formula>
    </cfRule>
  </conditionalFormatting>
  <conditionalFormatting sqref="D173 D177:D178">
    <cfRule type="expression" priority="582" aboveAverage="0" equalAverage="0" bottom="0" percent="0" rank="0" text="" dxfId="615">
      <formula>AND($L173="X",OR(#ref!&lt;&gt;"",$B173&lt;&gt;"",$C173&lt;&gt;""))</formula>
    </cfRule>
  </conditionalFormatting>
  <conditionalFormatting sqref="D173 D177:E177">
    <cfRule type="expression" priority="583" aboveAverage="0" equalAverage="0" bottom="0" percent="0" rank="0" text="" dxfId="616">
      <formula>AND(#ref!=1,#ref!=1)</formula>
    </cfRule>
    <cfRule type="expression" priority="584" aboveAverage="0" equalAverage="0" bottom="0" percent="0" rank="0" text="" dxfId="617">
      <formula>#ref!=1</formula>
    </cfRule>
    <cfRule type="expression" priority="585" aboveAverage="0" equalAverage="0" bottom="0" percent="0" rank="0" text="" dxfId="618">
      <formula>#ref!=1</formula>
    </cfRule>
    <cfRule type="expression" priority="586" aboveAverage="0" equalAverage="0" bottom="0" percent="0" rank="0" text="" dxfId="619">
      <formula>AND($L173="X",#ref!&lt;&gt;"")</formula>
    </cfRule>
  </conditionalFormatting>
  <conditionalFormatting sqref="D179:D181">
    <cfRule type="expression" priority="587" aboveAverage="0" equalAverage="0" bottom="0" percent="0" rank="0" text="" dxfId="620">
      <formula>AND(#ref!="X",OR(#ref!&lt;&gt;"",$B179&lt;&gt;"",$C179&lt;&gt;""))</formula>
    </cfRule>
  </conditionalFormatting>
  <conditionalFormatting sqref="D182">
    <cfRule type="expression" priority="588" aboveAverage="0" equalAverage="0" bottom="0" percent="0" rank="0" text="" dxfId="621">
      <formula>AND($L182="X",OR($B182&lt;&gt;"",#ref!&lt;&gt;"",$C182&lt;&gt;""))</formula>
    </cfRule>
  </conditionalFormatting>
  <conditionalFormatting sqref="D184:D188">
    <cfRule type="expression" priority="589" aboveAverage="0" equalAverage="0" bottom="0" percent="0" rank="0" text="" dxfId="622">
      <formula>OR(#ref!="X",#ref!="X")</formula>
    </cfRule>
    <cfRule type="expression" priority="590" aboveAverage="0" equalAverage="0" bottom="0" percent="0" rank="0" text="" dxfId="623">
      <formula>AND(#ref!=1,#ref!=1)</formula>
    </cfRule>
    <cfRule type="expression" priority="591" aboveAverage="0" equalAverage="0" bottom="0" percent="0" rank="0" text="" dxfId="624">
      <formula>#ref!=1</formula>
    </cfRule>
    <cfRule type="expression" priority="592" aboveAverage="0" equalAverage="0" bottom="0" percent="0" rank="0" text="" dxfId="625">
      <formula>#ref!=1</formula>
    </cfRule>
    <cfRule type="expression" priority="593" aboveAverage="0" equalAverage="0" bottom="0" percent="0" rank="0" text="" dxfId="626">
      <formula>AND($L184="X",OR($B184&lt;&gt;"",#ref!&lt;&gt;"",#ref!&lt;&gt;"",$C184&lt;&gt;""))</formula>
    </cfRule>
  </conditionalFormatting>
  <conditionalFormatting sqref="D192">
    <cfRule type="expression" priority="594" aboveAverage="0" equalAverage="0" bottom="0" percent="0" rank="0" text="" dxfId="627">
      <formula>AND($L192="X",OR($B192&lt;&gt;"",$C192&lt;&gt;""))</formula>
    </cfRule>
  </conditionalFormatting>
  <conditionalFormatting sqref="D18:E23 G18:G23">
    <cfRule type="expression" priority="595" aboveAverage="0" equalAverage="0" bottom="0" percent="0" rank="0" text="" dxfId="628">
      <formula>AND($L18="X",OR($B18&lt;&gt;"",$C18&lt;&gt;"",$D18&lt;&gt;""))</formula>
    </cfRule>
    <cfRule type="expression" priority="596" aboveAverage="0" equalAverage="0" bottom="0" percent="0" rank="0" text="" dxfId="629">
      <formula>AND($L18="X",OR($B18&lt;&gt;"",$C18&lt;&gt;"",$D18&lt;&gt;"",$E18&lt;&gt;""))</formula>
    </cfRule>
    <cfRule type="expression" priority="597" aboveAverage="0" equalAverage="0" bottom="0" percent="0" rank="0" text="" dxfId="630">
      <formula>AND($L18="X",OR($B18&lt;&gt;"",$C18&lt;&gt;"",$E18&lt;&gt;"",#ref!&lt;&gt;""))</formula>
    </cfRule>
    <cfRule type="expression" priority="598" aboveAverage="0" equalAverage="0" bottom="0" percent="0" rank="0" text="" dxfId="631">
      <formula>#ref!=1</formula>
    </cfRule>
    <cfRule type="expression" priority="599" aboveAverage="0" equalAverage="0" bottom="0" percent="0" rank="0" text="" dxfId="632">
      <formula>AND($L18="X",OR($B18&lt;&gt;"",$C18&lt;&gt;"",$D18&lt;&gt;""))</formula>
    </cfRule>
    <cfRule type="expression" priority="600" aboveAverage="0" equalAverage="0" bottom="0" percent="0" rank="0" text="" dxfId="633">
      <formula>AND($L18="X",OR($B18&lt;&gt;"",$C18&lt;&gt;"",$D18&lt;&gt;"",$E18&lt;&gt;""))</formula>
    </cfRule>
    <cfRule type="expression" priority="601" aboveAverage="0" equalAverage="0" bottom="0" percent="0" rank="0" text="" dxfId="634">
      <formula>AND(#ref!=1,#ref!=1)</formula>
    </cfRule>
    <cfRule type="expression" priority="602" aboveAverage="0" equalAverage="0" bottom="0" percent="0" rank="0" text="" dxfId="635">
      <formula>#ref!=1</formula>
    </cfRule>
    <cfRule type="expression" priority="603" aboveAverage="0" equalAverage="0" bottom="0" percent="0" rank="0" text="" dxfId="636">
      <formula>#ref!=1</formula>
    </cfRule>
    <cfRule type="expression" priority="604" aboveAverage="0" equalAverage="0" bottom="0" percent="0" rank="0" text="" dxfId="637">
      <formula>AND($L18="X",OR($B18&lt;&gt;"",$C18&lt;&gt;"",$E18&lt;&gt;"",#ref!&lt;&gt;""))</formula>
    </cfRule>
    <cfRule type="expression" priority="605" aboveAverage="0" equalAverage="0" bottom="0" percent="0" rank="0" text="" dxfId="638">
      <formula>AND($L18="X",OR($B18&lt;&gt;"",$C18&lt;&gt;""))</formula>
    </cfRule>
    <cfRule type="expression" priority="606" aboveAverage="0" equalAverage="0" bottom="0" percent="0" rank="0" text="" dxfId="639">
      <formula>AND($L18="X",OR($B18&lt;&gt;"",$C18&lt;&gt;"",$D18&lt;&gt;"",$E18&lt;&gt;""))</formula>
    </cfRule>
    <cfRule type="expression" priority="607" aboveAverage="0" equalAverage="0" bottom="0" percent="0" rank="0" text="" dxfId="640">
      <formula>AND(#ref!=1,#ref!=1)</formula>
    </cfRule>
    <cfRule type="expression" priority="608" aboveAverage="0" equalAverage="0" bottom="0" percent="0" rank="0" text="" dxfId="641">
      <formula>#ref!=1</formula>
    </cfRule>
    <cfRule type="expression" priority="609" aboveAverage="0" equalAverage="0" bottom="0" percent="0" rank="0" text="" dxfId="642">
      <formula>#ref!=1</formula>
    </cfRule>
    <cfRule type="expression" priority="610" aboveAverage="0" equalAverage="0" bottom="0" percent="0" rank="0" text="" dxfId="643">
      <formula>AND($L18="X",OR($B18&lt;&gt;"",$C18&lt;&gt;"",$E18&lt;&gt;"",#ref!&lt;&gt;""))</formula>
    </cfRule>
    <cfRule type="expression" priority="611" aboveAverage="0" equalAverage="0" bottom="0" percent="0" rank="0" text="" dxfId="644">
      <formula>#ref!=1</formula>
    </cfRule>
    <cfRule type="expression" priority="612" aboveAverage="0" equalAverage="0" bottom="0" percent="0" rank="0" text="" dxfId="645">
      <formula>AND($L18="X",OR($B18&lt;&gt;"",$C18&lt;&gt;"",$D18&lt;&gt;""))</formula>
    </cfRule>
    <cfRule type="expression" priority="613" aboveAverage="0" equalAverage="0" bottom="0" percent="0" rank="0" text="" dxfId="646">
      <formula>AND(#ref!=1,#ref!=1)</formula>
    </cfRule>
    <cfRule type="expression" priority="614" aboveAverage="0" equalAverage="0" bottom="0" percent="0" rank="0" text="" dxfId="647">
      <formula>#ref!=1</formula>
    </cfRule>
    <cfRule type="expression" priority="615" aboveAverage="0" equalAverage="0" bottom="0" percent="0" rank="0" text="" dxfId="648">
      <formula>AND($L18="X",OR($B18&lt;&gt;"",$C18&lt;&gt;""))</formula>
    </cfRule>
    <cfRule type="expression" priority="616" aboveAverage="0" equalAverage="0" bottom="0" percent="0" rank="0" text="" dxfId="649">
      <formula>AND($L18="X",$B18&lt;&gt;"")</formula>
    </cfRule>
  </conditionalFormatting>
  <conditionalFormatting sqref="D18:E24 G18:G24">
    <cfRule type="expression" priority="617" aboveAverage="0" equalAverage="0" bottom="0" percent="0" rank="0" text="" dxfId="650">
      <formula>AND($L18="X",OR($B18&lt;&gt;"",#ref!&lt;&gt;"",$C18&lt;&gt;""))</formula>
    </cfRule>
    <cfRule type="expression" priority="618" aboveAverage="0" equalAverage="0" bottom="0" percent="0" rank="0" text="" dxfId="651">
      <formula>AND($L18="X",OR($B18&lt;&gt;"",$C18&lt;&gt;"",$D18&lt;&gt;"",$E18&lt;&gt;""))</formula>
    </cfRule>
    <cfRule type="expression" priority="619" aboveAverage="0" equalAverage="0" bottom="0" percent="0" rank="0" text="" dxfId="652">
      <formula>AND($L18="X",OR($B18&lt;&gt;"",$C18&lt;&gt;"",$E18&lt;&gt;"",#ref!&lt;&gt;""))</formula>
    </cfRule>
    <cfRule type="expression" priority="620" aboveAverage="0" equalAverage="0" bottom="0" percent="0" rank="0" text="" dxfId="653">
      <formula>AND($L18="X",OR($B18&lt;&gt;"",$C18&lt;&gt;"",$D18&lt;&gt;""))</formula>
    </cfRule>
  </conditionalFormatting>
  <conditionalFormatting sqref="D24:E24 G24">
    <cfRule type="expression" priority="621" aboveAverage="0" equalAverage="0" bottom="0" percent="0" rank="0" text="" dxfId="654">
      <formula>#ref!=1</formula>
    </cfRule>
    <cfRule type="expression" priority="622" aboveAverage="0" equalAverage="0" bottom="0" percent="0" rank="0" text="" dxfId="655">
      <formula>AND($L24="X",OR($B24&lt;&gt;"",$C24&lt;&gt;"",$D24&lt;&gt;""))</formula>
    </cfRule>
    <cfRule type="expression" priority="623" aboveAverage="0" equalAverage="0" bottom="0" percent="0" rank="0" text="" dxfId="656">
      <formula>AND($L24="X",OR($B24&lt;&gt;"",$C24&lt;&gt;"",$D24&lt;&gt;"",$E24&lt;&gt;""))</formula>
    </cfRule>
    <cfRule type="expression" priority="624" aboveAverage="0" equalAverage="0" bottom="0" percent="0" rank="0" text="" dxfId="657">
      <formula>AND(#ref!=1,#ref!=1)</formula>
    </cfRule>
    <cfRule type="expression" priority="625" aboveAverage="0" equalAverage="0" bottom="0" percent="0" rank="0" text="" dxfId="658">
      <formula>#ref!=1</formula>
    </cfRule>
    <cfRule type="expression" priority="626" aboveAverage="0" equalAverage="0" bottom="0" percent="0" rank="0" text="" dxfId="659">
      <formula>#ref!=1</formula>
    </cfRule>
    <cfRule type="expression" priority="627" aboveAverage="0" equalAverage="0" bottom="0" percent="0" rank="0" text="" dxfId="660">
      <formula>AND($L24="X",OR($B24&lt;&gt;"",$C24&lt;&gt;"",$E24&lt;&gt;"",#ref!&lt;&gt;""))</formula>
    </cfRule>
    <cfRule type="expression" priority="628" aboveAverage="0" equalAverage="0" bottom="0" percent="0" rank="0" text="" dxfId="661">
      <formula>AND($L24="X",OR($B24&lt;&gt;"",$C24&lt;&gt;""))</formula>
    </cfRule>
    <cfRule type="expression" priority="629" aboveAverage="0" equalAverage="0" bottom="0" percent="0" rank="0" text="" dxfId="662">
      <formula>AND($L24="X",OR($B24&lt;&gt;"",$C24&lt;&gt;"",$D24&lt;&gt;"",$E24&lt;&gt;""))</formula>
    </cfRule>
    <cfRule type="expression" priority="630" aboveAverage="0" equalAverage="0" bottom="0" percent="0" rank="0" text="" dxfId="663">
      <formula>AND(#ref!=1,#ref!=1)</formula>
    </cfRule>
    <cfRule type="expression" priority="631" aboveAverage="0" equalAverage="0" bottom="0" percent="0" rank="0" text="" dxfId="664">
      <formula>#ref!=1</formula>
    </cfRule>
    <cfRule type="expression" priority="632" aboveAverage="0" equalAverage="0" bottom="0" percent="0" rank="0" text="" dxfId="665">
      <formula>#ref!=1</formula>
    </cfRule>
    <cfRule type="expression" priority="633" aboveAverage="0" equalAverage="0" bottom="0" percent="0" rank="0" text="" dxfId="666">
      <formula>AND($L24="X",OR($B24&lt;&gt;"",$C24&lt;&gt;"",$E24&lt;&gt;"",#ref!&lt;&gt;""))</formula>
    </cfRule>
    <cfRule type="expression" priority="634" aboveAverage="0" equalAverage="0" bottom="0" percent="0" rank="0" text="" dxfId="667">
      <formula>#ref!=1</formula>
    </cfRule>
    <cfRule type="expression" priority="635" aboveAverage="0" equalAverage="0" bottom="0" percent="0" rank="0" text="" dxfId="668">
      <formula>AND($L24="X",OR($B24&lt;&gt;"",$C24&lt;&gt;"",$D24&lt;&gt;""))</formula>
    </cfRule>
    <cfRule type="expression" priority="636" aboveAverage="0" equalAverage="0" bottom="0" percent="0" rank="0" text="" dxfId="669">
      <formula>AND($L24="X",OR($B24&lt;&gt;"",$C24&lt;&gt;"",$D24&lt;&gt;"",$E24&lt;&gt;""))</formula>
    </cfRule>
    <cfRule type="expression" priority="637" aboveAverage="0" equalAverage="0" bottom="0" percent="0" rank="0" text="" dxfId="670">
      <formula>AND(#ref!=1,#ref!=1)</formula>
    </cfRule>
    <cfRule type="expression" priority="638" aboveAverage="0" equalAverage="0" bottom="0" percent="0" rank="0" text="" dxfId="671">
      <formula>#ref!=1</formula>
    </cfRule>
    <cfRule type="expression" priority="639" aboveAverage="0" equalAverage="0" bottom="0" percent="0" rank="0" text="" dxfId="672">
      <formula>AND($L24="X",OR($B24&lt;&gt;"",$C24&lt;&gt;"",$E24&lt;&gt;"",#ref!&lt;&gt;""))</formula>
    </cfRule>
    <cfRule type="expression" priority="640" aboveAverage="0" equalAverage="0" bottom="0" percent="0" rank="0" text="" dxfId="673">
      <formula>AND($L24="X",OR($B24&lt;&gt;"",$C24&lt;&gt;""))</formula>
    </cfRule>
    <cfRule type="expression" priority="641" aboveAverage="0" equalAverage="0" bottom="0" percent="0" rank="0" text="" dxfId="674">
      <formula>AND($L24="X",$B24&lt;&gt;"")</formula>
    </cfRule>
    <cfRule type="expression" priority="642" aboveAverage="0" equalAverage="0" bottom="0" percent="0" rank="0" text="" dxfId="675">
      <formula>AND($L24="X",OR($B24&lt;&gt;"",$C24&lt;&gt;"",$D24&lt;&gt;""))</formula>
    </cfRule>
  </conditionalFormatting>
  <conditionalFormatting sqref="D30:E30 G30">
    <cfRule type="expression" priority="643" aboveAverage="0" equalAverage="0" bottom="0" percent="0" rank="0" text="" dxfId="676">
      <formula>AND($L30="X",OR($B30&lt;&gt;"",#ref!&lt;&gt;"",$C30&lt;&gt;""))</formula>
    </cfRule>
    <cfRule type="expression" priority="644" aboveAverage="0" equalAverage="0" bottom="0" percent="0" rank="0" text="" dxfId="677">
      <formula>AND($L30="X",OR($B30&lt;&gt;"",$C30&lt;&gt;"",$D30&lt;&gt;""))</formula>
    </cfRule>
    <cfRule type="expression" priority="645" aboveAverage="0" equalAverage="0" bottom="0" percent="0" rank="0" text="" dxfId="678">
      <formula>AND($L30="X",OR($B30&lt;&gt;"",$C30&lt;&gt;"",$D30&lt;&gt;"",$E30&lt;&gt;""))</formula>
    </cfRule>
    <cfRule type="expression" priority="646" aboveAverage="0" equalAverage="0" bottom="0" percent="0" rank="0" text="" dxfId="679">
      <formula>AND($L30="X",OR($B30&lt;&gt;"",$C30&lt;&gt;"",$E30&lt;&gt;"",#ref!&lt;&gt;""))</formula>
    </cfRule>
    <cfRule type="expression" priority="647" aboveAverage="0" equalAverage="0" bottom="0" percent="0" rank="0" text="" dxfId="680">
      <formula>#ref!=1</formula>
    </cfRule>
    <cfRule type="expression" priority="648" aboveAverage="0" equalAverage="0" bottom="0" percent="0" rank="0" text="" dxfId="681">
      <formula>AND($L30="X",OR($B30&lt;&gt;"",$C30&lt;&gt;"",$D30&lt;&gt;""))</formula>
    </cfRule>
    <cfRule type="expression" priority="649" aboveAverage="0" equalAverage="0" bottom="0" percent="0" rank="0" text="" dxfId="682">
      <formula>AND($L30="X",OR($B30&lt;&gt;"",$C30&lt;&gt;"",$D30&lt;&gt;"",$E30&lt;&gt;""))</formula>
    </cfRule>
    <cfRule type="expression" priority="650" aboveAverage="0" equalAverage="0" bottom="0" percent="0" rank="0" text="" dxfId="683">
      <formula>AND(#ref!=1,#ref!=1)</formula>
    </cfRule>
    <cfRule type="expression" priority="651" aboveAverage="0" equalAverage="0" bottom="0" percent="0" rank="0" text="" dxfId="684">
      <formula>#ref!=1</formula>
    </cfRule>
    <cfRule type="expression" priority="652" aboveAverage="0" equalAverage="0" bottom="0" percent="0" rank="0" text="" dxfId="685">
      <formula>#ref!=1</formula>
    </cfRule>
    <cfRule type="expression" priority="653" aboveAverage="0" equalAverage="0" bottom="0" percent="0" rank="0" text="" dxfId="686">
      <formula>AND($L30="X",OR($B30&lt;&gt;"",$C30&lt;&gt;"",$E30&lt;&gt;"",#ref!&lt;&gt;""))</formula>
    </cfRule>
    <cfRule type="expression" priority="654" aboveAverage="0" equalAverage="0" bottom="0" percent="0" rank="0" text="" dxfId="687">
      <formula>AND($L30="X",OR($B30&lt;&gt;"",$C30&lt;&gt;""))</formula>
    </cfRule>
    <cfRule type="expression" priority="655" aboveAverage="0" equalAverage="0" bottom="0" percent="0" rank="0" text="" dxfId="688">
      <formula>AND($L30="X",OR($B30&lt;&gt;"",$C30&lt;&gt;"",$D30&lt;&gt;"",$E30&lt;&gt;""))</formula>
    </cfRule>
    <cfRule type="expression" priority="656" aboveAverage="0" equalAverage="0" bottom="0" percent="0" rank="0" text="" dxfId="689">
      <formula>AND(#ref!=1,#ref!=1)</formula>
    </cfRule>
    <cfRule type="expression" priority="657" aboveAverage="0" equalAverage="0" bottom="0" percent="0" rank="0" text="" dxfId="690">
      <formula>#ref!=1</formula>
    </cfRule>
    <cfRule type="expression" priority="658" aboveAverage="0" equalAverage="0" bottom="0" percent="0" rank="0" text="" dxfId="691">
      <formula>#ref!=1</formula>
    </cfRule>
    <cfRule type="expression" priority="659" aboveAverage="0" equalAverage="0" bottom="0" percent="0" rank="0" text="" dxfId="692">
      <formula>AND($L30="X",OR($B30&lt;&gt;"",$C30&lt;&gt;"",$E30&lt;&gt;"",#ref!&lt;&gt;""))</formula>
    </cfRule>
    <cfRule type="expression" priority="660" aboveAverage="0" equalAverage="0" bottom="0" percent="0" rank="0" text="" dxfId="693">
      <formula>#ref!=1</formula>
    </cfRule>
    <cfRule type="expression" priority="661" aboveAverage="0" equalAverage="0" bottom="0" percent="0" rank="0" text="" dxfId="694">
      <formula>AND($L30="X",OR($B30&lt;&gt;"",$C30&lt;&gt;"",$D30&lt;&gt;""))</formula>
    </cfRule>
    <cfRule type="expression" priority="662" aboveAverage="0" equalAverage="0" bottom="0" percent="0" rank="0" text="" dxfId="695">
      <formula>AND($L30="X",OR($B30&lt;&gt;"",$C30&lt;&gt;"",$D30&lt;&gt;"",$E30&lt;&gt;""))</formula>
    </cfRule>
    <cfRule type="expression" priority="663" aboveAverage="0" equalAverage="0" bottom="0" percent="0" rank="0" text="" dxfId="696">
      <formula>AND(#ref!=1,#ref!=1)</formula>
    </cfRule>
    <cfRule type="expression" priority="664" aboveAverage="0" equalAverage="0" bottom="0" percent="0" rank="0" text="" dxfId="697">
      <formula>#ref!=1</formula>
    </cfRule>
    <cfRule type="expression" priority="665" aboveAverage="0" equalAverage="0" bottom="0" percent="0" rank="0" text="" dxfId="698">
      <formula>AND($L30="X",OR($B30&lt;&gt;"",$C30&lt;&gt;"",$E30&lt;&gt;"",#ref!&lt;&gt;""))</formula>
    </cfRule>
    <cfRule type="expression" priority="666" aboveAverage="0" equalAverage="0" bottom="0" percent="0" rank="0" text="" dxfId="699">
      <formula>AND($L30="X",OR($B30&lt;&gt;"",$C30&lt;&gt;""))</formula>
    </cfRule>
    <cfRule type="expression" priority="667" aboveAverage="0" equalAverage="0" bottom="0" percent="0" rank="0" text="" dxfId="700">
      <formula>AND($L30="X",$B30&lt;&gt;"")</formula>
    </cfRule>
    <cfRule type="expression" priority="668" aboveAverage="0" equalAverage="0" bottom="0" percent="0" rank="0" text="" dxfId="701">
      <formula>AND($L30="X",OR($B30&lt;&gt;"",$C30&lt;&gt;"",$D30&lt;&gt;""))</formula>
    </cfRule>
  </conditionalFormatting>
  <conditionalFormatting sqref="D114:E114 D124:G124">
    <cfRule type="expression" priority="669" aboveAverage="0" equalAverage="0" bottom="0" percent="0" rank="0" text="" dxfId="702">
      <formula>#ref!=1</formula>
    </cfRule>
    <cfRule type="expression" priority="670" aboveAverage="0" equalAverage="0" bottom="0" percent="0" rank="0" text="" dxfId="703">
      <formula>AND($L114="X",OR($B114&lt;&gt;"",$C114&lt;&gt;"",$D114&lt;&gt;""))</formula>
    </cfRule>
    <cfRule type="expression" priority="671" aboveAverage="0" equalAverage="0" bottom="0" percent="0" rank="0" text="" dxfId="704">
      <formula>AND(#ref!=1,#ref!=1)</formula>
    </cfRule>
    <cfRule type="expression" priority="672" aboveAverage="0" equalAverage="0" bottom="0" percent="0" rank="0" text="" dxfId="705">
      <formula>#ref!=1</formula>
    </cfRule>
  </conditionalFormatting>
  <conditionalFormatting sqref="D122:E122 E124:F124 F125:G125">
    <cfRule type="expression" priority="673" aboveAverage="0" equalAverage="0" bottom="0" percent="0" rank="0" text="" dxfId="706">
      <formula>AND($L122="X",OR($B122&lt;&gt;"",#ref!&lt;&gt;"",$C122&lt;&gt;""))</formula>
    </cfRule>
    <cfRule type="expression" priority="674" aboveAverage="0" equalAverage="0" bottom="0" percent="0" rank="0" text="" dxfId="707">
      <formula>AND($L122="X",OR($B122&lt;&gt;"",$C122&lt;&gt;""))</formula>
    </cfRule>
  </conditionalFormatting>
  <conditionalFormatting sqref="D183:E183 E184:E186 E187:F187">
    <cfRule type="expression" priority="675" aboveAverage="0" equalAverage="0" bottom="0" percent="0" rank="0" text="" dxfId="708">
      <formula>AND($L183="X",OR($B183&lt;&gt;"",#ref!&lt;&gt;"",#ref!&lt;&gt;"",$C183&lt;&gt;""))</formula>
    </cfRule>
  </conditionalFormatting>
  <conditionalFormatting sqref="D18:G21 D23:G23 D108:G108">
    <cfRule type="expression" priority="676" aboveAverage="0" equalAverage="0" bottom="0" percent="0" rank="0" text="" dxfId="709">
      <formula>AND(#ref!=1,#ref!=1)</formula>
    </cfRule>
    <cfRule type="expression" priority="677" aboveAverage="0" equalAverage="0" bottom="0" percent="0" rank="0" text="" dxfId="710">
      <formula>#ref!=1</formula>
    </cfRule>
    <cfRule type="expression" priority="678" aboveAverage="0" equalAverage="0" bottom="0" percent="0" rank="0" text="" dxfId="711">
      <formula>#ref!=1</formula>
    </cfRule>
    <cfRule type="expression" priority="679" aboveAverage="0" equalAverage="0" bottom="0" percent="0" rank="0" text="" dxfId="712">
      <formula>AND($L18="X",OR($B18&lt;&gt;"",$C18&lt;&gt;""))</formula>
    </cfRule>
    <cfRule type="expression" priority="680" aboveAverage="0" equalAverage="0" bottom="0" percent="0" rank="0" text="" dxfId="713">
      <formula>AND(#ref!=1,#ref!=1)</formula>
    </cfRule>
    <cfRule type="expression" priority="681" aboveAverage="0" equalAverage="0" bottom="0" percent="0" rank="0" text="" dxfId="714">
      <formula>#ref!=1</formula>
    </cfRule>
    <cfRule type="expression" priority="682" aboveAverage="0" equalAverage="0" bottom="0" percent="0" rank="0" text="" dxfId="715">
      <formula>#ref!=1</formula>
    </cfRule>
    <cfRule type="expression" priority="683" aboveAverage="0" equalAverage="0" bottom="0" percent="0" rank="0" text="" dxfId="716">
      <formula>AND($L18="X",OR($B18&lt;&gt;"",$C18&lt;&gt;""))</formula>
    </cfRule>
    <cfRule type="expression" priority="684" aboveAverage="0" equalAverage="0" bottom="0" percent="0" rank="0" text="" dxfId="717">
      <formula>AND(#ref!=1,#ref!=1)</formula>
    </cfRule>
    <cfRule type="expression" priority="685" aboveAverage="0" equalAverage="0" bottom="0" percent="0" rank="0" text="" dxfId="718">
      <formula>#ref!=1</formula>
    </cfRule>
    <cfRule type="expression" priority="686" aboveAverage="0" equalAverage="0" bottom="0" percent="0" rank="0" text="" dxfId="719">
      <formula>#ref!=1</formula>
    </cfRule>
    <cfRule type="expression" priority="687" aboveAverage="0" equalAverage="0" bottom="0" percent="0" rank="0" text="" dxfId="720">
      <formula>AND($L18="X",OR($B18&lt;&gt;"",$C18&lt;&gt;""))</formula>
    </cfRule>
    <cfRule type="expression" priority="688" aboveAverage="0" equalAverage="0" bottom="0" percent="0" rank="0" text="" dxfId="721">
      <formula>AND(#ref!=1,#ref!=1)</formula>
    </cfRule>
    <cfRule type="expression" priority="689" aboveAverage="0" equalAverage="0" bottom="0" percent="0" rank="0" text="" dxfId="722">
      <formula>#ref!=1</formula>
    </cfRule>
    <cfRule type="expression" priority="690" aboveAverage="0" equalAverage="0" bottom="0" percent="0" rank="0" text="" dxfId="723">
      <formula>#ref!=1</formula>
    </cfRule>
    <cfRule type="expression" priority="691" aboveAverage="0" equalAverage="0" bottom="0" percent="0" rank="0" text="" dxfId="724">
      <formula>AND($L18="X",OR($B18&lt;&gt;"",$C18&lt;&gt;""))</formula>
    </cfRule>
    <cfRule type="expression" priority="692" aboveAverage="0" equalAverage="0" bottom="0" percent="0" rank="0" text="" dxfId="725">
      <formula>AND(#ref!=1,#ref!=1)</formula>
    </cfRule>
    <cfRule type="expression" priority="693" aboveAverage="0" equalAverage="0" bottom="0" percent="0" rank="0" text="" dxfId="726">
      <formula>#ref!=1</formula>
    </cfRule>
    <cfRule type="expression" priority="694" aboveAverage="0" equalAverage="0" bottom="0" percent="0" rank="0" text="" dxfId="727">
      <formula>#ref!=1</formula>
    </cfRule>
    <cfRule type="expression" priority="695" aboveAverage="0" equalAverage="0" bottom="0" percent="0" rank="0" text="" dxfId="728">
      <formula>AND($L18="X",OR($B18&lt;&gt;"",$C18&lt;&gt;""))</formula>
    </cfRule>
    <cfRule type="expression" priority="696" aboveAverage="0" equalAverage="0" bottom="0" percent="0" rank="0" text="" dxfId="729">
      <formula>AND(#ref!=1,#ref!=1)</formula>
    </cfRule>
    <cfRule type="expression" priority="697" aboveAverage="0" equalAverage="0" bottom="0" percent="0" rank="0" text="" dxfId="730">
      <formula>#ref!=1</formula>
    </cfRule>
    <cfRule type="expression" priority="698" aboveAverage="0" equalAverage="0" bottom="0" percent="0" rank="0" text="" dxfId="731">
      <formula>#ref!=1</formula>
    </cfRule>
    <cfRule type="expression" priority="699" aboveAverage="0" equalAverage="0" bottom="0" percent="0" rank="0" text="" dxfId="732">
      <formula>AND($L18="X",OR($B18&lt;&gt;"",$C18&lt;&gt;""))</formula>
    </cfRule>
    <cfRule type="expression" priority="700" aboveAverage="0" equalAverage="0" bottom="0" percent="0" rank="0" text="" dxfId="733">
      <formula>AND(#ref!=1,#ref!=1)</formula>
    </cfRule>
    <cfRule type="expression" priority="701" aboveAverage="0" equalAverage="0" bottom="0" percent="0" rank="0" text="" dxfId="734">
      <formula>#ref!=1</formula>
    </cfRule>
    <cfRule type="expression" priority="702" aboveAverage="0" equalAverage="0" bottom="0" percent="0" rank="0" text="" dxfId="735">
      <formula>#ref!=1</formula>
    </cfRule>
    <cfRule type="expression" priority="703" aboveAverage="0" equalAverage="0" bottom="0" percent="0" rank="0" text="" dxfId="736">
      <formula>OR(#ref!="X",#ref!="X")</formula>
    </cfRule>
    <cfRule type="expression" priority="704" aboveAverage="0" equalAverage="0" bottom="0" percent="0" rank="0" text="" dxfId="737">
      <formula>AND(#ref!=1,#ref!=1)</formula>
    </cfRule>
    <cfRule type="expression" priority="705" aboveAverage="0" equalAverage="0" bottom="0" percent="0" rank="0" text="" dxfId="738">
      <formula>#ref!=1</formula>
    </cfRule>
    <cfRule type="expression" priority="706" aboveAverage="0" equalAverage="0" bottom="0" percent="0" rank="0" text="" dxfId="739">
      <formula>#ref!=1</formula>
    </cfRule>
    <cfRule type="expression" priority="707" aboveAverage="0" equalAverage="0" bottom="0" percent="0" rank="0" text="" dxfId="740">
      <formula>OR(#ref!="X",#ref!="X")</formula>
    </cfRule>
    <cfRule type="expression" priority="708" aboveAverage="0" equalAverage="0" bottom="0" percent="0" rank="0" text="" dxfId="741">
      <formula>AND(#ref!=1,#ref!=1)</formula>
    </cfRule>
    <cfRule type="expression" priority="709" aboveAverage="0" equalAverage="0" bottom="0" percent="0" rank="0" text="" dxfId="742">
      <formula>#ref!=1</formula>
    </cfRule>
  </conditionalFormatting>
  <conditionalFormatting sqref="D18:G24">
    <cfRule type="expression" priority="710" aboveAverage="0" equalAverage="0" bottom="0" percent="0" rank="0" text="" dxfId="743">
      <formula>AND($L18="X",OR($B18&lt;&gt;"",$C18&lt;&gt;"",$D18&lt;&gt;"",$E18&lt;&gt;""))</formula>
    </cfRule>
    <cfRule type="expression" priority="711" aboveAverage="0" equalAverage="0" bottom="0" percent="0" rank="0" text="" dxfId="744">
      <formula>AND($L18="X",OR($B18&lt;&gt;"",#ref!&lt;&gt;"",$C18&lt;&gt;"",$D18&lt;&gt;""))</formula>
    </cfRule>
  </conditionalFormatting>
  <conditionalFormatting sqref="D23:G24 B92:G125 B135:D136 F135:G136">
    <cfRule type="expression" priority="712" aboveAverage="0" equalAverage="0" bottom="0" percent="0" rank="0" text="" dxfId="745">
      <formula>AND(#ref!=1,#ref!=1)</formula>
    </cfRule>
    <cfRule type="expression" priority="713" aboveAverage="0" equalAverage="0" bottom="0" percent="0" rank="0" text="" dxfId="746">
      <formula>#ref!=1</formula>
    </cfRule>
  </conditionalFormatting>
  <conditionalFormatting sqref="D30:G30 E42:G42 D52:G52 E79:G79">
    <cfRule type="expression" priority="714" aboveAverage="0" equalAverage="0" bottom="0" percent="0" rank="0" text="" dxfId="747">
      <formula>AND(#ref!=1,#ref!=1)</formula>
    </cfRule>
    <cfRule type="expression" priority="715" aboveAverage="0" equalAverage="0" bottom="0" percent="0" rank="0" text="" dxfId="748">
      <formula>#ref!=1</formula>
    </cfRule>
    <cfRule type="expression" priority="716" aboveAverage="0" equalAverage="0" bottom="0" percent="0" rank="0" text="" dxfId="749">
      <formula>#ref!=1</formula>
    </cfRule>
    <cfRule type="expression" priority="717" aboveAverage="0" equalAverage="0" bottom="0" percent="0" rank="0" text="" dxfId="750">
      <formula>AND($L30="X",OR($B30&lt;&gt;"",$C30&lt;&gt;""))</formula>
    </cfRule>
    <cfRule type="expression" priority="718" aboveAverage="0" equalAverage="0" bottom="0" percent="0" rank="0" text="" dxfId="751">
      <formula>AND(#ref!=1,#ref!=1)</formula>
    </cfRule>
    <cfRule type="expression" priority="719" aboveAverage="0" equalAverage="0" bottom="0" percent="0" rank="0" text="" dxfId="752">
      <formula>#ref!=1</formula>
    </cfRule>
    <cfRule type="expression" priority="720" aboveAverage="0" equalAverage="0" bottom="0" percent="0" rank="0" text="" dxfId="753">
      <formula>#ref!=1</formula>
    </cfRule>
    <cfRule type="expression" priority="721" aboveAverage="0" equalAverage="0" bottom="0" percent="0" rank="0" text="" dxfId="754">
      <formula>AND($L30="X",OR($B30&lt;&gt;"",$C30&lt;&gt;""))</formula>
    </cfRule>
    <cfRule type="expression" priority="722" aboveAverage="0" equalAverage="0" bottom="0" percent="0" rank="0" text="" dxfId="755">
      <formula>AND(#ref!=1,#ref!=1)</formula>
    </cfRule>
    <cfRule type="expression" priority="723" aboveAverage="0" equalAverage="0" bottom="0" percent="0" rank="0" text="" dxfId="756">
      <formula>#ref!=1</formula>
    </cfRule>
    <cfRule type="expression" priority="724" aboveAverage="0" equalAverage="0" bottom="0" percent="0" rank="0" text="" dxfId="757">
      <formula>#ref!=1</formula>
    </cfRule>
    <cfRule type="expression" priority="725" aboveAverage="0" equalAverage="0" bottom="0" percent="0" rank="0" text="" dxfId="758">
      <formula>AND($L30="X",OR($B30&lt;&gt;"",$C30&lt;&gt;""))</formula>
    </cfRule>
    <cfRule type="expression" priority="726" aboveAverage="0" equalAverage="0" bottom="0" percent="0" rank="0" text="" dxfId="759">
      <formula>AND(#ref!=1,#ref!=1)</formula>
    </cfRule>
    <cfRule type="expression" priority="727" aboveAverage="0" equalAverage="0" bottom="0" percent="0" rank="0" text="" dxfId="760">
      <formula>#ref!=1</formula>
    </cfRule>
    <cfRule type="expression" priority="728" aboveAverage="0" equalAverage="0" bottom="0" percent="0" rank="0" text="" dxfId="761">
      <formula>#ref!=1</formula>
    </cfRule>
    <cfRule type="expression" priority="729" aboveAverage="0" equalAverage="0" bottom="0" percent="0" rank="0" text="" dxfId="762">
      <formula>AND($L30="X",OR($B30&lt;&gt;"",$C30&lt;&gt;""))</formula>
    </cfRule>
    <cfRule type="expression" priority="730" aboveAverage="0" equalAverage="0" bottom="0" percent="0" rank="0" text="" dxfId="763">
      <formula>AND(#ref!=1,#ref!=1)</formula>
    </cfRule>
    <cfRule type="expression" priority="731" aboveAverage="0" equalAverage="0" bottom="0" percent="0" rank="0" text="" dxfId="764">
      <formula>#ref!=1</formula>
    </cfRule>
    <cfRule type="expression" priority="732" aboveAverage="0" equalAverage="0" bottom="0" percent="0" rank="0" text="" dxfId="765">
      <formula>#ref!=1</formula>
    </cfRule>
    <cfRule type="expression" priority="733" aboveAverage="0" equalAverage="0" bottom="0" percent="0" rank="0" text="" dxfId="766">
      <formula>AND($L30="X",OR($B30&lt;&gt;"",$C30&lt;&gt;""))</formula>
    </cfRule>
    <cfRule type="expression" priority="734" aboveAverage="0" equalAverage="0" bottom="0" percent="0" rank="0" text="" dxfId="767">
      <formula>AND(#ref!=1,#ref!=1)</formula>
    </cfRule>
    <cfRule type="expression" priority="735" aboveAverage="0" equalAverage="0" bottom="0" percent="0" rank="0" text="" dxfId="768">
      <formula>#ref!=1</formula>
    </cfRule>
    <cfRule type="expression" priority="736" aboveAverage="0" equalAverage="0" bottom="0" percent="0" rank="0" text="" dxfId="769">
      <formula>#ref!=1</formula>
    </cfRule>
    <cfRule type="expression" priority="737" aboveAverage="0" equalAverage="0" bottom="0" percent="0" rank="0" text="" dxfId="770">
      <formula>AND($L30="X",OR($B30&lt;&gt;"",$C30&lt;&gt;""))</formula>
    </cfRule>
    <cfRule type="expression" priority="738" aboveAverage="0" equalAverage="0" bottom="0" percent="0" rank="0" text="" dxfId="771">
      <formula>AND(#ref!=1,#ref!=1)</formula>
    </cfRule>
    <cfRule type="expression" priority="739" aboveAverage="0" equalAverage="0" bottom="0" percent="0" rank="0" text="" dxfId="772">
      <formula>#ref!=1</formula>
    </cfRule>
    <cfRule type="expression" priority="740" aboveAverage="0" equalAverage="0" bottom="0" percent="0" rank="0" text="" dxfId="773">
      <formula>#ref!=1</formula>
    </cfRule>
    <cfRule type="expression" priority="741" aboveAverage="0" equalAverage="0" bottom="0" percent="0" rank="0" text="" dxfId="774">
      <formula>AND(NOT(ISBLANK($P30)),ISBLANK(#ref!),ISBLANK(#ref!))</formula>
    </cfRule>
    <cfRule type="expression" priority="742" aboveAverage="0" equalAverage="0" bottom="0" percent="0" rank="0" text="" dxfId="775">
      <formula>OR(#ref!="X",#ref!="X")</formula>
    </cfRule>
    <cfRule type="expression" priority="743" aboveAverage="0" equalAverage="0" bottom="0" percent="0" rank="0" text="" dxfId="776">
      <formula>AND(#ref!=1,#ref!=1)</formula>
    </cfRule>
    <cfRule type="expression" priority="744" aboveAverage="0" equalAverage="0" bottom="0" percent="0" rank="0" text="" dxfId="777">
      <formula>#ref!=1</formula>
    </cfRule>
    <cfRule type="expression" priority="745" aboveAverage="0" equalAverage="0" bottom="0" percent="0" rank="0" text="" dxfId="778">
      <formula>#ref!=1</formula>
    </cfRule>
    <cfRule type="expression" priority="746" aboveAverage="0" equalAverage="0" bottom="0" percent="0" rank="0" text="" dxfId="779">
      <formula>OR(#ref!="X",#ref!="X")</formula>
    </cfRule>
    <cfRule type="expression" priority="747" aboveAverage="0" equalAverage="0" bottom="0" percent="0" rank="0" text="" dxfId="780">
      <formula>AND(#ref!=1,#ref!=1)</formula>
    </cfRule>
    <cfRule type="expression" priority="748" aboveAverage="0" equalAverage="0" bottom="0" percent="0" rank="0" text="" dxfId="781">
      <formula>#ref!=1</formula>
    </cfRule>
    <cfRule type="expression" priority="749" aboveAverage="0" equalAverage="0" bottom="0" percent="0" rank="0" text="" dxfId="782">
      <formula>AND(#ref!=1,#ref!=1)</formula>
    </cfRule>
    <cfRule type="expression" priority="750" aboveAverage="0" equalAverage="0" bottom="0" percent="0" rank="0" text="" dxfId="783">
      <formula>#ref!=1</formula>
    </cfRule>
  </conditionalFormatting>
  <conditionalFormatting sqref="D38:G38">
    <cfRule type="expression" priority="751" aboveAverage="0" equalAverage="0" bottom="0" percent="0" rank="0" text="" dxfId="784">
      <formula>AND($L38="X",OR($B38&lt;&gt;"",$C38&lt;&gt;"",$D38&lt;&gt;"",$E38&lt;&gt;"",$F38&lt;&gt;""))</formula>
    </cfRule>
    <cfRule type="expression" priority="752" aboveAverage="0" equalAverage="0" bottom="0" percent="0" rank="0" text="" dxfId="785">
      <formula>AND(#ref!=1,#ref!=1)</formula>
    </cfRule>
    <cfRule type="expression" priority="753" aboveAverage="0" equalAverage="0" bottom="0" percent="0" rank="0" text="" dxfId="786">
      <formula>#ref!=1</formula>
    </cfRule>
    <cfRule type="expression" priority="754" aboveAverage="0" equalAverage="0" bottom="0" percent="0" rank="0" text="" dxfId="787">
      <formula>OR(#ref!="X",#ref!="X")</formula>
    </cfRule>
  </conditionalFormatting>
  <conditionalFormatting sqref="D90:G92 D126:D134 D137:D139 D141 D143:D156">
    <cfRule type="expression" priority="755" aboveAverage="0" equalAverage="0" bottom="0" percent="0" rank="0" text="" dxfId="788">
      <formula>#ref!=1</formula>
    </cfRule>
  </conditionalFormatting>
  <conditionalFormatting sqref="D90:G92 D137:D139 D141 D143:D156 D126:D134">
    <cfRule type="expression" priority="756" aboveAverage="0" equalAverage="0" bottom="0" percent="0" rank="0" text="" dxfId="789">
      <formula>AND(#ref!=1,#ref!=1)</formula>
    </cfRule>
  </conditionalFormatting>
  <conditionalFormatting sqref="D90:G92 D137:D139 D141 D143:D156">
    <cfRule type="expression" priority="757" aboveAverage="0" equalAverage="0" bottom="0" percent="0" rank="0" text="" dxfId="790">
      <formula>OR(#ref!="X",#ref!="X")</formula>
    </cfRule>
  </conditionalFormatting>
  <conditionalFormatting sqref="D92:G92">
    <cfRule type="expression" priority="758" aboveAverage="0" equalAverage="0" bottom="0" percent="0" rank="0" text="" dxfId="791">
      <formula>AND($L92="X",OR($B92&lt;&gt;"",$C92&lt;&gt;"",$D92&lt;&gt;"",$E92&lt;&gt;""))</formula>
    </cfRule>
    <cfRule type="expression" priority="759" aboveAverage="0" equalAverage="0" bottom="0" percent="0" rank="0" text="" dxfId="792">
      <formula>AND($L92="X",OR($B92&lt;&gt;"",#ref!&lt;&gt;"",$C92&lt;&gt;"",$D92&lt;&gt;""))</formula>
    </cfRule>
    <cfRule type="expression" priority="760" aboveAverage="0" equalAverage="0" bottom="0" percent="0" rank="0" text="" dxfId="793">
      <formula>AND(#ref!=1,#ref!=1)</formula>
    </cfRule>
    <cfRule type="expression" priority="761" aboveAverage="0" equalAverage="0" bottom="0" percent="0" rank="0" text="" dxfId="794">
      <formula>#ref!=1</formula>
    </cfRule>
    <cfRule type="expression" priority="762" aboveAverage="0" equalAverage="0" bottom="0" percent="0" rank="0" text="" dxfId="795">
      <formula>#ref!=1</formula>
    </cfRule>
    <cfRule type="expression" priority="763" aboveAverage="0" equalAverage="0" bottom="0" percent="0" rank="0" text="" dxfId="796">
      <formula>AND($L92="X",OR($B92&lt;&gt;"",$C92&lt;&gt;""))</formula>
    </cfRule>
    <cfRule type="expression" priority="764" aboveAverage="0" equalAverage="0" bottom="0" percent="0" rank="0" text="" dxfId="797">
      <formula>AND(#ref!=1,#ref!=1)</formula>
    </cfRule>
    <cfRule type="expression" priority="765" aboveAverage="0" equalAverage="0" bottom="0" percent="0" rank="0" text="" dxfId="798">
      <formula>#ref!=1</formula>
    </cfRule>
    <cfRule type="expression" priority="766" aboveAverage="0" equalAverage="0" bottom="0" percent="0" rank="0" text="" dxfId="799">
      <formula>#ref!=1</formula>
    </cfRule>
    <cfRule type="expression" priority="767" aboveAverage="0" equalAverage="0" bottom="0" percent="0" rank="0" text="" dxfId="800">
      <formula>AND($L92="X",OR($B92&lt;&gt;"",$C92&lt;&gt;""))</formula>
    </cfRule>
    <cfRule type="expression" priority="768" aboveAverage="0" equalAverage="0" bottom="0" percent="0" rank="0" text="" dxfId="801">
      <formula>AND(#ref!=1,#ref!=1)</formula>
    </cfRule>
    <cfRule type="expression" priority="769" aboveAverage="0" equalAverage="0" bottom="0" percent="0" rank="0" text="" dxfId="802">
      <formula>#ref!=1</formula>
    </cfRule>
    <cfRule type="expression" priority="770" aboveAverage="0" equalAverage="0" bottom="0" percent="0" rank="0" text="" dxfId="803">
      <formula>#ref!=1</formula>
    </cfRule>
    <cfRule type="expression" priority="771" aboveAverage="0" equalAverage="0" bottom="0" percent="0" rank="0" text="" dxfId="804">
      <formula>AND($L92="X",OR($B92&lt;&gt;"",$C92&lt;&gt;""))</formula>
    </cfRule>
    <cfRule type="expression" priority="772" aboveAverage="0" equalAverage="0" bottom="0" percent="0" rank="0" text="" dxfId="805">
      <formula>AND(#ref!=1,#ref!=1)</formula>
    </cfRule>
    <cfRule type="expression" priority="773" aboveAverage="0" equalAverage="0" bottom="0" percent="0" rank="0" text="" dxfId="806">
      <formula>#ref!=1</formula>
    </cfRule>
    <cfRule type="expression" priority="774" aboveAverage="0" equalAverage="0" bottom="0" percent="0" rank="0" text="" dxfId="807">
      <formula>#ref!=1</formula>
    </cfRule>
    <cfRule type="expression" priority="775" aboveAverage="0" equalAverage="0" bottom="0" percent="0" rank="0" text="" dxfId="808">
      <formula>AND($L92="X",OR($B92&lt;&gt;"",$C92&lt;&gt;""))</formula>
    </cfRule>
    <cfRule type="expression" priority="776" aboveAverage="0" equalAverage="0" bottom="0" percent="0" rank="0" text="" dxfId="809">
      <formula>AND(#ref!=1,#ref!=1)</formula>
    </cfRule>
    <cfRule type="expression" priority="777" aboveAverage="0" equalAverage="0" bottom="0" percent="0" rank="0" text="" dxfId="810">
      <formula>#ref!=1</formula>
    </cfRule>
    <cfRule type="expression" priority="778" aboveAverage="0" equalAverage="0" bottom="0" percent="0" rank="0" text="" dxfId="811">
      <formula>#ref!=1</formula>
    </cfRule>
    <cfRule type="expression" priority="779" aboveAverage="0" equalAverage="0" bottom="0" percent="0" rank="0" text="" dxfId="812">
      <formula>AND($L92="X",OR($B92&lt;&gt;"",$C92&lt;&gt;""))</formula>
    </cfRule>
    <cfRule type="expression" priority="780" aboveAverage="0" equalAverage="0" bottom="0" percent="0" rank="0" text="" dxfId="813">
      <formula>AND(#ref!=1,#ref!=1)</formula>
    </cfRule>
    <cfRule type="expression" priority="781" aboveAverage="0" equalAverage="0" bottom="0" percent="0" rank="0" text="" dxfId="814">
      <formula>#ref!=1</formula>
    </cfRule>
    <cfRule type="expression" priority="782" aboveAverage="0" equalAverage="0" bottom="0" percent="0" rank="0" text="" dxfId="815">
      <formula>#ref!=1</formula>
    </cfRule>
    <cfRule type="expression" priority="783" aboveAverage="0" equalAverage="0" bottom="0" percent="0" rank="0" text="" dxfId="816">
      <formula>AND($L92="X",OR($B92&lt;&gt;"",$C92&lt;&gt;""))</formula>
    </cfRule>
    <cfRule type="expression" priority="784" aboveAverage="0" equalAverage="0" bottom="0" percent="0" rank="0" text="" dxfId="817">
      <formula>AND(#ref!=1,#ref!=1)</formula>
    </cfRule>
    <cfRule type="expression" priority="785" aboveAverage="0" equalAverage="0" bottom="0" percent="0" rank="0" text="" dxfId="818">
      <formula>#ref!=1</formula>
    </cfRule>
    <cfRule type="expression" priority="786" aboveAverage="0" equalAverage="0" bottom="0" percent="0" rank="0" text="" dxfId="819">
      <formula>#ref!=1</formula>
    </cfRule>
    <cfRule type="expression" priority="787" aboveAverage="0" equalAverage="0" bottom="0" percent="0" rank="0" text="" dxfId="820">
      <formula>AND(NOT(ISBLANK($P92)),ISBLANK(#ref!),ISBLANK(#ref!))</formula>
    </cfRule>
    <cfRule type="expression" priority="788" aboveAverage="0" equalAverage="0" bottom="0" percent="0" rank="0" text="" dxfId="821">
      <formula>OR(#ref!="X",#ref!="X")</formula>
    </cfRule>
    <cfRule type="expression" priority="789" aboveAverage="0" equalAverage="0" bottom="0" percent="0" rank="0" text="" dxfId="822">
      <formula>AND(#ref!=1,#ref!=1)</formula>
    </cfRule>
    <cfRule type="expression" priority="790" aboveAverage="0" equalAverage="0" bottom="0" percent="0" rank="0" text="" dxfId="823">
      <formula>#ref!=1</formula>
    </cfRule>
    <cfRule type="expression" priority="791" aboveAverage="0" equalAverage="0" bottom="0" percent="0" rank="0" text="" dxfId="824">
      <formula>#ref!=1</formula>
    </cfRule>
  </conditionalFormatting>
  <conditionalFormatting sqref="D106:G106">
    <cfRule type="expression" priority="792" aboveAverage="0" equalAverage="0" bottom="0" percent="0" rank="0" text="" dxfId="825">
      <formula>AND(#ref!=1,#ref!=1)</formula>
    </cfRule>
    <cfRule type="expression" priority="793" aboveAverage="0" equalAverage="0" bottom="0" percent="0" rank="0" text="" dxfId="826">
      <formula>#ref!=1</formula>
    </cfRule>
    <cfRule type="expression" priority="794" aboveAverage="0" equalAverage="0" bottom="0" percent="0" rank="0" text="" dxfId="827">
      <formula>#ref!=1</formula>
    </cfRule>
    <cfRule type="expression" priority="795" aboveAverage="0" equalAverage="0" bottom="0" percent="0" rank="0" text="" dxfId="828">
      <formula>AND($L106="X",OR($B106&lt;&gt;"",$C106&lt;&gt;""))</formula>
    </cfRule>
    <cfRule type="expression" priority="796" aboveAverage="0" equalAverage="0" bottom="0" percent="0" rank="0" text="" dxfId="829">
      <formula>AND(#ref!=1,#ref!=1)</formula>
    </cfRule>
    <cfRule type="expression" priority="797" aboveAverage="0" equalAverage="0" bottom="0" percent="0" rank="0" text="" dxfId="830">
      <formula>#ref!=1</formula>
    </cfRule>
    <cfRule type="expression" priority="798" aboveAverage="0" equalAverage="0" bottom="0" percent="0" rank="0" text="" dxfId="831">
      <formula>#ref!=1</formula>
    </cfRule>
    <cfRule type="expression" priority="799" aboveAverage="0" equalAverage="0" bottom="0" percent="0" rank="0" text="" dxfId="832">
      <formula>AND($L106="X",OR($B106&lt;&gt;"",$C106&lt;&gt;""))</formula>
    </cfRule>
    <cfRule type="expression" priority="800" aboveAverage="0" equalAverage="0" bottom="0" percent="0" rank="0" text="" dxfId="833">
      <formula>AND(#ref!=1,#ref!=1)</formula>
    </cfRule>
    <cfRule type="expression" priority="801" aboveAverage="0" equalAverage="0" bottom="0" percent="0" rank="0" text="" dxfId="834">
      <formula>#ref!=1</formula>
    </cfRule>
    <cfRule type="expression" priority="802" aboveAverage="0" equalAverage="0" bottom="0" percent="0" rank="0" text="" dxfId="835">
      <formula>#ref!=1</formula>
    </cfRule>
    <cfRule type="expression" priority="803" aboveAverage="0" equalAverage="0" bottom="0" percent="0" rank="0" text="" dxfId="836">
      <formula>AND($L106="X",OR($B106&lt;&gt;"",$C106&lt;&gt;""))</formula>
    </cfRule>
    <cfRule type="expression" priority="804" aboveAverage="0" equalAverage="0" bottom="0" percent="0" rank="0" text="" dxfId="837">
      <formula>AND(#ref!=1,#ref!=1)</formula>
    </cfRule>
    <cfRule type="expression" priority="805" aboveAverage="0" equalAverage="0" bottom="0" percent="0" rank="0" text="" dxfId="838">
      <formula>#ref!=1</formula>
    </cfRule>
    <cfRule type="expression" priority="806" aboveAverage="0" equalAverage="0" bottom="0" percent="0" rank="0" text="" dxfId="839">
      <formula>#ref!=1</formula>
    </cfRule>
    <cfRule type="expression" priority="807" aboveAverage="0" equalAverage="0" bottom="0" percent="0" rank="0" text="" dxfId="840">
      <formula>AND($L106="X",OR($B106&lt;&gt;"",$C106&lt;&gt;""))</formula>
    </cfRule>
    <cfRule type="expression" priority="808" aboveAverage="0" equalAverage="0" bottom="0" percent="0" rank="0" text="" dxfId="841">
      <formula>AND(#ref!=1,#ref!=1)</formula>
    </cfRule>
    <cfRule type="expression" priority="809" aboveAverage="0" equalAverage="0" bottom="0" percent="0" rank="0" text="" dxfId="842">
      <formula>#ref!=1</formula>
    </cfRule>
    <cfRule type="expression" priority="810" aboveAverage="0" equalAverage="0" bottom="0" percent="0" rank="0" text="" dxfId="843">
      <formula>#ref!=1</formula>
    </cfRule>
    <cfRule type="expression" priority="811" aboveAverage="0" equalAverage="0" bottom="0" percent="0" rank="0" text="" dxfId="844">
      <formula>AND(#ref!=1,#ref!=1)</formula>
    </cfRule>
    <cfRule type="expression" priority="812" aboveAverage="0" equalAverage="0" bottom="0" percent="0" rank="0" text="" dxfId="845">
      <formula>#ref!=1</formula>
    </cfRule>
    <cfRule type="expression" priority="813" aboveAverage="0" equalAverage="0" bottom="0" percent="0" rank="0" text="" dxfId="846">
      <formula>AND(NOT(ISBLANK($P106)),ISBLANK(#ref!),ISBLANK(#ref!))</formula>
    </cfRule>
    <cfRule type="expression" priority="814" aboveAverage="0" equalAverage="0" bottom="0" percent="0" rank="0" text="" dxfId="847">
      <formula>OR(#ref!="X",#ref!="X")</formula>
    </cfRule>
  </conditionalFormatting>
  <conditionalFormatting sqref="D106:G107">
    <cfRule type="expression" priority="815" aboveAverage="0" equalAverage="0" bottom="0" percent="0" rank="0" text="" dxfId="848">
      <formula>#ref!=1</formula>
    </cfRule>
    <cfRule type="expression" priority="816" aboveAverage="0" equalAverage="0" bottom="0" percent="0" rank="0" text="" dxfId="849">
      <formula>AND($L106="X",OR($B106&lt;&gt;"",$C106&lt;&gt;""))</formula>
    </cfRule>
    <cfRule type="expression" priority="817" aboveAverage="0" equalAverage="0" bottom="0" percent="0" rank="0" text="" dxfId="850">
      <formula>AND(#ref!=1,#ref!=1)</formula>
    </cfRule>
    <cfRule type="expression" priority="818" aboveAverage="0" equalAverage="0" bottom="0" percent="0" rank="0" text="" dxfId="851">
      <formula>#ref!=1</formula>
    </cfRule>
    <cfRule type="expression" priority="819" aboveAverage="0" equalAverage="0" bottom="0" percent="0" rank="0" text="" dxfId="852">
      <formula>#ref!=1</formula>
    </cfRule>
    <cfRule type="expression" priority="820" aboveAverage="0" equalAverage="0" bottom="0" percent="0" rank="0" text="" dxfId="853">
      <formula>AND($L106="X",OR($B106&lt;&gt;"",$C106&lt;&gt;""))</formula>
    </cfRule>
    <cfRule type="expression" priority="821" aboveAverage="0" equalAverage="0" bottom="0" percent="0" rank="0" text="" dxfId="854">
      <formula>AND(#ref!=1,#ref!=1)</formula>
    </cfRule>
    <cfRule type="expression" priority="822" aboveAverage="0" equalAverage="0" bottom="0" percent="0" rank="0" text="" dxfId="855">
      <formula>#ref!=1</formula>
    </cfRule>
    <cfRule type="expression" priority="823" aboveAverage="0" equalAverage="0" bottom="0" percent="0" rank="0" text="" dxfId="856">
      <formula>#ref!=1</formula>
    </cfRule>
  </conditionalFormatting>
  <conditionalFormatting sqref="D106:G108 D157:G158 D182:G182">
    <cfRule type="expression" priority="824" aboveAverage="0" equalAverage="0" bottom="0" percent="0" rank="0" text="" dxfId="857">
      <formula>AND($L106="X",OR($B106&lt;&gt;"",$C106&lt;&gt;"",$D106&lt;&gt;"",$E106&lt;&gt;""))</formula>
    </cfRule>
    <cfRule type="expression" priority="825" aboveAverage="0" equalAverage="0" bottom="0" percent="0" rank="0" text="" dxfId="858">
      <formula>AND($L106="X",OR($B106&lt;&gt;"",#ref!&lt;&gt;"",$C106&lt;&gt;"",$D106&lt;&gt;""))</formula>
    </cfRule>
  </conditionalFormatting>
  <conditionalFormatting sqref="D107:G107">
    <cfRule type="expression" priority="826" aboveAverage="0" equalAverage="0" bottom="0" percent="0" rank="0" text="" dxfId="859">
      <formula>AND($L107="X",OR($B107&lt;&gt;"",$C107&lt;&gt;""))</formula>
    </cfRule>
    <cfRule type="expression" priority="827" aboveAverage="0" equalAverage="0" bottom="0" percent="0" rank="0" text="" dxfId="860">
      <formula>AND(#ref!=1,#ref!=1)</formula>
    </cfRule>
    <cfRule type="expression" priority="828" aboveAverage="0" equalAverage="0" bottom="0" percent="0" rank="0" text="" dxfId="861">
      <formula>#ref!=1</formula>
    </cfRule>
    <cfRule type="expression" priority="829" aboveAverage="0" equalAverage="0" bottom="0" percent="0" rank="0" text="" dxfId="862">
      <formula>#ref!=1</formula>
    </cfRule>
    <cfRule type="expression" priority="830" aboveAverage="0" equalAverage="0" bottom="0" percent="0" rank="0" text="" dxfId="863">
      <formula>AND($L107="X",OR($B107&lt;&gt;"",$C107&lt;&gt;""))</formula>
    </cfRule>
    <cfRule type="expression" priority="831" aboveAverage="0" equalAverage="0" bottom="0" percent="0" rank="0" text="" dxfId="864">
      <formula>AND(#ref!=1,#ref!=1)</formula>
    </cfRule>
    <cfRule type="expression" priority="832" aboveAverage="0" equalAverage="0" bottom="0" percent="0" rank="0" text="" dxfId="865">
      <formula>#ref!=1</formula>
    </cfRule>
    <cfRule type="expression" priority="833" aboveAverage="0" equalAverage="0" bottom="0" percent="0" rank="0" text="" dxfId="866">
      <formula>#ref!=1</formula>
    </cfRule>
    <cfRule type="expression" priority="834" aboveAverage="0" equalAverage="0" bottom="0" percent="0" rank="0" text="" dxfId="867">
      <formula>AND($L107="X",OR($B107&lt;&gt;"",$C107&lt;&gt;""))</formula>
    </cfRule>
    <cfRule type="expression" priority="835" aboveAverage="0" equalAverage="0" bottom="0" percent="0" rank="0" text="" dxfId="868">
      <formula>AND(#ref!=1,#ref!=1)</formula>
    </cfRule>
    <cfRule type="expression" priority="836" aboveAverage="0" equalAverage="0" bottom="0" percent="0" rank="0" text="" dxfId="869">
      <formula>#ref!=1</formula>
    </cfRule>
    <cfRule type="expression" priority="837" aboveAverage="0" equalAverage="0" bottom="0" percent="0" rank="0" text="" dxfId="870">
      <formula>#ref!=1</formula>
    </cfRule>
    <cfRule type="expression" priority="838" aboveAverage="0" equalAverage="0" bottom="0" percent="0" rank="0" text="" dxfId="871">
      <formula>AND($L107="X",OR($B107&lt;&gt;"",$C107&lt;&gt;""))</formula>
    </cfRule>
    <cfRule type="expression" priority="839" aboveAverage="0" equalAverage="0" bottom="0" percent="0" rank="0" text="" dxfId="872">
      <formula>AND(#ref!=1,#ref!=1)</formula>
    </cfRule>
    <cfRule type="expression" priority="840" aboveAverage="0" equalAverage="0" bottom="0" percent="0" rank="0" text="" dxfId="873">
      <formula>#ref!=1</formula>
    </cfRule>
    <cfRule type="expression" priority="841" aboveAverage="0" equalAverage="0" bottom="0" percent="0" rank="0" text="" dxfId="874">
      <formula>#ref!=1</formula>
    </cfRule>
    <cfRule type="expression" priority="842" aboveAverage="0" equalAverage="0" bottom="0" percent="0" rank="0" text="" dxfId="875">
      <formula>AND(NOT(ISBLANK($P107)),ISBLANK(#ref!),ISBLANK(#ref!))</formula>
    </cfRule>
    <cfRule type="expression" priority="843" aboveAverage="0" equalAverage="0" bottom="0" percent="0" rank="0" text="" dxfId="876">
      <formula>OR(#ref!="X",#ref!="X")</formula>
    </cfRule>
    <cfRule type="expression" priority="844" aboveAverage="0" equalAverage="0" bottom="0" percent="0" rank="0" text="" dxfId="877">
      <formula>AND(#ref!=1,#ref!=1)</formula>
    </cfRule>
    <cfRule type="expression" priority="845" aboveAverage="0" equalAverage="0" bottom="0" percent="0" rank="0" text="" dxfId="878">
      <formula>#ref!=1</formula>
    </cfRule>
    <cfRule type="expression" priority="846" aboveAverage="0" equalAverage="0" bottom="0" percent="0" rank="0" text="" dxfId="879">
      <formula>#ref!=1</formula>
    </cfRule>
    <cfRule type="expression" priority="847" aboveAverage="0" equalAverage="0" bottom="0" percent="0" rank="0" text="" dxfId="880">
      <formula>OR(#ref!="X",#ref!="X")</formula>
    </cfRule>
    <cfRule type="expression" priority="848" aboveAverage="0" equalAverage="0" bottom="0" percent="0" rank="0" text="" dxfId="881">
      <formula>AND(#ref!=1,#ref!=1)</formula>
    </cfRule>
    <cfRule type="expression" priority="849" aboveAverage="0" equalAverage="0" bottom="0" percent="0" rank="0" text="" dxfId="882">
      <formula>#ref!=1</formula>
    </cfRule>
  </conditionalFormatting>
  <conditionalFormatting sqref="D114:G114 D124:G124">
    <cfRule type="expression" priority="850" aboveAverage="0" equalAverage="0" bottom="0" percent="0" rank="0" text="" dxfId="883">
      <formula>#ref!=1</formula>
    </cfRule>
    <cfRule type="expression" priority="851" aboveAverage="0" equalAverage="0" bottom="0" percent="0" rank="0" text="" dxfId="884">
      <formula>AND($L114="X",OR($B114&lt;&gt;"",#ref!&lt;&gt;"",$C114&lt;&gt;"",$D114&lt;&gt;""))</formula>
    </cfRule>
    <cfRule type="expression" priority="852" aboveAverage="0" equalAverage="0" bottom="0" percent="0" rank="0" text="" dxfId="885">
      <formula>AND(#ref!=1,#ref!=1)</formula>
    </cfRule>
    <cfRule type="expression" priority="853" aboveAverage="0" equalAverage="0" bottom="0" percent="0" rank="0" text="" dxfId="886">
      <formula>#ref!=1</formula>
    </cfRule>
    <cfRule type="expression" priority="854" aboveAverage="0" equalAverage="0" bottom="0" percent="0" rank="0" text="" dxfId="887">
      <formula>#ref!=1</formula>
    </cfRule>
    <cfRule type="expression" priority="855" aboveAverage="0" equalAverage="0" bottom="0" percent="0" rank="0" text="" dxfId="888">
      <formula>AND($L114="X",OR($B114&lt;&gt;"",$C114&lt;&gt;""))</formula>
    </cfRule>
    <cfRule type="expression" priority="856" aboveAverage="0" equalAverage="0" bottom="0" percent="0" rank="0" text="" dxfId="889">
      <formula>AND(#ref!=1,#ref!=1)</formula>
    </cfRule>
    <cfRule type="expression" priority="857" aboveAverage="0" equalAverage="0" bottom="0" percent="0" rank="0" text="" dxfId="890">
      <formula>#ref!=1</formula>
    </cfRule>
    <cfRule type="expression" priority="858" aboveAverage="0" equalAverage="0" bottom="0" percent="0" rank="0" text="" dxfId="891">
      <formula>#ref!=1</formula>
    </cfRule>
    <cfRule type="expression" priority="859" aboveAverage="0" equalAverage="0" bottom="0" percent="0" rank="0" text="" dxfId="892">
      <formula>AND($L114="X",OR($B114&lt;&gt;"",$C114&lt;&gt;""))</formula>
    </cfRule>
    <cfRule type="expression" priority="860" aboveAverage="0" equalAverage="0" bottom="0" percent="0" rank="0" text="" dxfId="893">
      <formula>AND(#ref!=1,#ref!=1)</formula>
    </cfRule>
    <cfRule type="expression" priority="861" aboveAverage="0" equalAverage="0" bottom="0" percent="0" rank="0" text="" dxfId="894">
      <formula>#ref!=1</formula>
    </cfRule>
    <cfRule type="expression" priority="862" aboveAverage="0" equalAverage="0" bottom="0" percent="0" rank="0" text="" dxfId="895">
      <formula>#ref!=1</formula>
    </cfRule>
    <cfRule type="expression" priority="863" aboveAverage="0" equalAverage="0" bottom="0" percent="0" rank="0" text="" dxfId="896">
      <formula>AND($L114="X",OR($B114&lt;&gt;"",$C114&lt;&gt;""))</formula>
    </cfRule>
    <cfRule type="expression" priority="864" aboveAverage="0" equalAverage="0" bottom="0" percent="0" rank="0" text="" dxfId="897">
      <formula>AND(#ref!=1,#ref!=1)</formula>
    </cfRule>
    <cfRule type="expression" priority="865" aboveAverage="0" equalAverage="0" bottom="0" percent="0" rank="0" text="" dxfId="898">
      <formula>#ref!=1</formula>
    </cfRule>
    <cfRule type="expression" priority="866" aboveAverage="0" equalAverage="0" bottom="0" percent="0" rank="0" text="" dxfId="899">
      <formula>#ref!=1</formula>
    </cfRule>
    <cfRule type="expression" priority="867" aboveAverage="0" equalAverage="0" bottom="0" percent="0" rank="0" text="" dxfId="900">
      <formula>AND($L114="X",OR($B114&lt;&gt;"",$C114&lt;&gt;""))</formula>
    </cfRule>
    <cfRule type="expression" priority="868" aboveAverage="0" equalAverage="0" bottom="0" percent="0" rank="0" text="" dxfId="901">
      <formula>AND(#ref!=1,#ref!=1)</formula>
    </cfRule>
    <cfRule type="expression" priority="869" aboveAverage="0" equalAverage="0" bottom="0" percent="0" rank="0" text="" dxfId="902">
      <formula>#ref!=1</formula>
    </cfRule>
    <cfRule type="expression" priority="870" aboveAverage="0" equalAverage="0" bottom="0" percent="0" rank="0" text="" dxfId="903">
      <formula>#ref!=1</formula>
    </cfRule>
    <cfRule type="expression" priority="871" aboveAverage="0" equalAverage="0" bottom="0" percent="0" rank="0" text="" dxfId="904">
      <formula>AND($L114="X",OR($B114&lt;&gt;"",$C114&lt;&gt;""))</formula>
    </cfRule>
    <cfRule type="expression" priority="872" aboveAverage="0" equalAverage="0" bottom="0" percent="0" rank="0" text="" dxfId="905">
      <formula>AND(#ref!=1,#ref!=1)</formula>
    </cfRule>
    <cfRule type="expression" priority="873" aboveAverage="0" equalAverage="0" bottom="0" percent="0" rank="0" text="" dxfId="906">
      <formula>#ref!=1</formula>
    </cfRule>
    <cfRule type="expression" priority="874" aboveAverage="0" equalAverage="0" bottom="0" percent="0" rank="0" text="" dxfId="907">
      <formula>#ref!=1</formula>
    </cfRule>
    <cfRule type="expression" priority="875" aboveAverage="0" equalAverage="0" bottom="0" percent="0" rank="0" text="" dxfId="908">
      <formula>AND($L114="X",OR($B114&lt;&gt;"",$C114&lt;&gt;""))</formula>
    </cfRule>
    <cfRule type="expression" priority="876" aboveAverage="0" equalAverage="0" bottom="0" percent="0" rank="0" text="" dxfId="909">
      <formula>AND(#ref!=1,#ref!=1)</formula>
    </cfRule>
    <cfRule type="expression" priority="877" aboveAverage="0" equalAverage="0" bottom="0" percent="0" rank="0" text="" dxfId="910">
      <formula>#ref!=1</formula>
    </cfRule>
    <cfRule type="expression" priority="878" aboveAverage="0" equalAverage="0" bottom="0" percent="0" rank="0" text="" dxfId="911">
      <formula>#ref!=1</formula>
    </cfRule>
    <cfRule type="expression" priority="879" aboveAverage="0" equalAverage="0" bottom="0" percent="0" rank="0" text="" dxfId="912">
      <formula>AND(NOT(ISBLANK($P114)),ISBLANK(#ref!),ISBLANK(#ref!))</formula>
    </cfRule>
    <cfRule type="expression" priority="880" aboveAverage="0" equalAverage="0" bottom="0" percent="0" rank="0" text="" dxfId="913">
      <formula>OR(#ref!="X",#ref!="X")</formula>
    </cfRule>
    <cfRule type="expression" priority="881" aboveAverage="0" equalAverage="0" bottom="0" percent="0" rank="0" text="" dxfId="914">
      <formula>AND(#ref!=1,#ref!=1)</formula>
    </cfRule>
    <cfRule type="expression" priority="882" aboveAverage="0" equalAverage="0" bottom="0" percent="0" rank="0" text="" dxfId="915">
      <formula>#ref!=1</formula>
    </cfRule>
    <cfRule type="expression" priority="883" aboveAverage="0" equalAverage="0" bottom="0" percent="0" rank="0" text="" dxfId="916">
      <formula>#ref!=1</formula>
    </cfRule>
    <cfRule type="expression" priority="884" aboveAverage="0" equalAverage="0" bottom="0" percent="0" rank="0" text="" dxfId="917">
      <formula>OR(#ref!="X",#ref!="X")</formula>
    </cfRule>
    <cfRule type="expression" priority="885" aboveAverage="0" equalAverage="0" bottom="0" percent="0" rank="0" text="" dxfId="918">
      <formula>AND(#ref!=1,#ref!=1)</formula>
    </cfRule>
    <cfRule type="expression" priority="886" aboveAverage="0" equalAverage="0" bottom="0" percent="0" rank="0" text="" dxfId="919">
      <formula>#ref!=1</formula>
    </cfRule>
    <cfRule type="expression" priority="887" aboveAverage="0" equalAverage="0" bottom="0" percent="0" rank="0" text="" dxfId="920">
      <formula>AND($L114="X",OR($B114&lt;&gt;"",$C114&lt;&gt;"",$D114&lt;&gt;"",$E114&lt;&gt;""))</formula>
    </cfRule>
    <cfRule type="expression" priority="888" aboveAverage="0" equalAverage="0" bottom="0" percent="0" rank="0" text="" dxfId="921">
      <formula>AND($L114="X",OR($B114&lt;&gt;"",$C114&lt;&gt;"",$E114&lt;&gt;"",#ref!&lt;&gt;""))</formula>
    </cfRule>
    <cfRule type="expression" priority="889" aboveAverage="0" equalAverage="0" bottom="0" percent="0" rank="0" text="" dxfId="922">
      <formula>#ref!=1</formula>
    </cfRule>
    <cfRule type="expression" priority="890" aboveAverage="0" equalAverage="0" bottom="0" percent="0" rank="0" text="" dxfId="923">
      <formula>AND($L114="X",OR($B114&lt;&gt;"",$C114&lt;&gt;"",$D114&lt;&gt;""))</formula>
    </cfRule>
    <cfRule type="expression" priority="891" aboveAverage="0" equalAverage="0" bottom="0" percent="0" rank="0" text="" dxfId="924">
      <formula>AND(#ref!=1,#ref!=1)</formula>
    </cfRule>
  </conditionalFormatting>
  <conditionalFormatting sqref="D114:G114">
    <cfRule type="expression" priority="892" aboveAverage="0" equalAverage="0" bottom="0" percent="0" rank="0" text="" dxfId="925">
      <formula>AND($L114="X",OR($B114&lt;&gt;"",$C114&lt;&gt;"",$D114&lt;&gt;"",$E114&lt;&gt;""))</formula>
    </cfRule>
    <cfRule type="expression" priority="893" aboveAverage="0" equalAverage="0" bottom="0" percent="0" rank="0" text="" dxfId="926">
      <formula>AND($L114="X",OR($B114&lt;&gt;"",#ref!&lt;&gt;"",$C114&lt;&gt;"",$D114&lt;&gt;""))</formula>
    </cfRule>
    <cfRule type="expression" priority="894" aboveAverage="0" equalAverage="0" bottom="0" percent="0" rank="0" text="" dxfId="927">
      <formula>AND(#ref!=1,#ref!=1)</formula>
    </cfRule>
    <cfRule type="expression" priority="895" aboveAverage="0" equalAverage="0" bottom="0" percent="0" rank="0" text="" dxfId="928">
      <formula>#ref!=1</formula>
    </cfRule>
    <cfRule type="expression" priority="896" aboveAverage="0" equalAverage="0" bottom="0" percent="0" rank="0" text="" dxfId="929">
      <formula>#ref!=1</formula>
    </cfRule>
    <cfRule type="expression" priority="897" aboveAverage="0" equalAverage="0" bottom="0" percent="0" rank="0" text="" dxfId="930">
      <formula>AND($L114="X",OR($B114&lt;&gt;"",$C114&lt;&gt;""))</formula>
    </cfRule>
    <cfRule type="expression" priority="898" aboveAverage="0" equalAverage="0" bottom="0" percent="0" rank="0" text="" dxfId="931">
      <formula>AND(#ref!=1,#ref!=1)</formula>
    </cfRule>
    <cfRule type="expression" priority="899" aboveAverage="0" equalAverage="0" bottom="0" percent="0" rank="0" text="" dxfId="932">
      <formula>#ref!=1</formula>
    </cfRule>
    <cfRule type="expression" priority="900" aboveAverage="0" equalAverage="0" bottom="0" percent="0" rank="0" text="" dxfId="933">
      <formula>#ref!=1</formula>
    </cfRule>
    <cfRule type="expression" priority="901" aboveAverage="0" equalAverage="0" bottom="0" percent="0" rank="0" text="" dxfId="934">
      <formula>AND($L114="X",OR($B114&lt;&gt;"",$C114&lt;&gt;""))</formula>
    </cfRule>
    <cfRule type="expression" priority="902" aboveAverage="0" equalAverage="0" bottom="0" percent="0" rank="0" text="" dxfId="935">
      <formula>AND(#ref!=1,#ref!=1)</formula>
    </cfRule>
    <cfRule type="expression" priority="903" aboveAverage="0" equalAverage="0" bottom="0" percent="0" rank="0" text="" dxfId="936">
      <formula>#ref!=1</formula>
    </cfRule>
    <cfRule type="expression" priority="904" aboveAverage="0" equalAverage="0" bottom="0" percent="0" rank="0" text="" dxfId="937">
      <formula>#ref!=1</formula>
    </cfRule>
    <cfRule type="expression" priority="905" aboveAverage="0" equalAverage="0" bottom="0" percent="0" rank="0" text="" dxfId="938">
      <formula>AND($L114="X",OR($B114&lt;&gt;"",$C114&lt;&gt;""))</formula>
    </cfRule>
    <cfRule type="expression" priority="906" aboveAverage="0" equalAverage="0" bottom="0" percent="0" rank="0" text="" dxfId="939">
      <formula>AND(#ref!=1,#ref!=1)</formula>
    </cfRule>
    <cfRule type="expression" priority="907" aboveAverage="0" equalAverage="0" bottom="0" percent="0" rank="0" text="" dxfId="940">
      <formula>#ref!=1</formula>
    </cfRule>
    <cfRule type="expression" priority="908" aboveAverage="0" equalAverage="0" bottom="0" percent="0" rank="0" text="" dxfId="941">
      <formula>#ref!=1</formula>
    </cfRule>
    <cfRule type="expression" priority="909" aboveAverage="0" equalAverage="0" bottom="0" percent="0" rank="0" text="" dxfId="942">
      <formula>AND($L114="X",OR($B114&lt;&gt;"",$C114&lt;&gt;""))</formula>
    </cfRule>
    <cfRule type="expression" priority="910" aboveAverage="0" equalAverage="0" bottom="0" percent="0" rank="0" text="" dxfId="943">
      <formula>AND(#ref!=1,#ref!=1)</formula>
    </cfRule>
    <cfRule type="expression" priority="911" aboveAverage="0" equalAverage="0" bottom="0" percent="0" rank="0" text="" dxfId="944">
      <formula>#ref!=1</formula>
    </cfRule>
    <cfRule type="expression" priority="912" aboveAverage="0" equalAverage="0" bottom="0" percent="0" rank="0" text="" dxfId="945">
      <formula>#ref!=1</formula>
    </cfRule>
    <cfRule type="expression" priority="913" aboveAverage="0" equalAverage="0" bottom="0" percent="0" rank="0" text="" dxfId="946">
      <formula>AND($L114="X",OR($B114&lt;&gt;"",$C114&lt;&gt;""))</formula>
    </cfRule>
    <cfRule type="expression" priority="914" aboveAverage="0" equalAverage="0" bottom="0" percent="0" rank="0" text="" dxfId="947">
      <formula>AND(#ref!=1,#ref!=1)</formula>
    </cfRule>
    <cfRule type="expression" priority="915" aboveAverage="0" equalAverage="0" bottom="0" percent="0" rank="0" text="" dxfId="948">
      <formula>#ref!=1</formula>
    </cfRule>
    <cfRule type="expression" priority="916" aboveAverage="0" equalAverage="0" bottom="0" percent="0" rank="0" text="" dxfId="949">
      <formula>#ref!=1</formula>
    </cfRule>
    <cfRule type="expression" priority="917" aboveAverage="0" equalAverage="0" bottom="0" percent="0" rank="0" text="" dxfId="950">
      <formula>AND($L114="X",OR($B114&lt;&gt;"",$C114&lt;&gt;""))</formula>
    </cfRule>
    <cfRule type="expression" priority="918" aboveAverage="0" equalAverage="0" bottom="0" percent="0" rank="0" text="" dxfId="951">
      <formula>AND(#ref!=1,#ref!=1)</formula>
    </cfRule>
    <cfRule type="expression" priority="919" aboveAverage="0" equalAverage="0" bottom="0" percent="0" rank="0" text="" dxfId="952">
      <formula>#ref!=1</formula>
    </cfRule>
    <cfRule type="expression" priority="920" aboveAverage="0" equalAverage="0" bottom="0" percent="0" rank="0" text="" dxfId="953">
      <formula>#ref!=1</formula>
    </cfRule>
    <cfRule type="expression" priority="921" aboveAverage="0" equalAverage="0" bottom="0" percent="0" rank="0" text="" dxfId="954">
      <formula>AND(NOT(ISBLANK($Q114)),ISBLANK(#ref!),ISBLANK(#ref!))</formula>
    </cfRule>
    <cfRule type="expression" priority="922" aboveAverage="0" equalAverage="0" bottom="0" percent="0" rank="0" text="" dxfId="955">
      <formula>OR(#ref!="X",#ref!="X")</formula>
    </cfRule>
    <cfRule type="expression" priority="923" aboveAverage="0" equalAverage="0" bottom="0" percent="0" rank="0" text="" dxfId="956">
      <formula>AND(#ref!=1,#ref!=1)</formula>
    </cfRule>
    <cfRule type="expression" priority="924" aboveAverage="0" equalAverage="0" bottom="0" percent="0" rank="0" text="" dxfId="957">
      <formula>#ref!=1</formula>
    </cfRule>
    <cfRule type="expression" priority="925" aboveAverage="0" equalAverage="0" bottom="0" percent="0" rank="0" text="" dxfId="958">
      <formula>#ref!=1</formula>
    </cfRule>
    <cfRule type="expression" priority="926" aboveAverage="0" equalAverage="0" bottom="0" percent="0" rank="0" text="" dxfId="959">
      <formula>OR(#ref!="X",#ref!="X")</formula>
    </cfRule>
    <cfRule type="expression" priority="927" aboveAverage="0" equalAverage="0" bottom="0" percent="0" rank="0" text="" dxfId="960">
      <formula>AND(#ref!=1,#ref!=1)</formula>
    </cfRule>
    <cfRule type="expression" priority="928" aboveAverage="0" equalAverage="0" bottom="0" percent="0" rank="0" text="" dxfId="961">
      <formula>#ref!=1</formula>
    </cfRule>
    <cfRule type="expression" priority="929" aboveAverage="0" equalAverage="0" bottom="0" percent="0" rank="0" text="" dxfId="962">
      <formula>AND($L114="X",OR($B114&lt;&gt;"",$C114&lt;&gt;"",$D114&lt;&gt;"",$E114&lt;&gt;""))</formula>
    </cfRule>
    <cfRule type="expression" priority="930" aboveAverage="0" equalAverage="0" bottom="0" percent="0" rank="0" text="" dxfId="963">
      <formula>AND($L114="X",OR($B114&lt;&gt;"",$C114&lt;&gt;"",$E114&lt;&gt;"",#ref!&lt;&gt;""))</formula>
    </cfRule>
    <cfRule type="expression" priority="931" aboveAverage="0" equalAverage="0" bottom="0" percent="0" rank="0" text="" dxfId="964">
      <formula>#ref!=1</formula>
    </cfRule>
    <cfRule type="expression" priority="932" aboveAverage="0" equalAverage="0" bottom="0" percent="0" rank="0" text="" dxfId="965">
      <formula>AND($L114="X",OR($B114&lt;&gt;"",$C114&lt;&gt;"",$D114&lt;&gt;""))</formula>
    </cfRule>
    <cfRule type="expression" priority="933" aboveAverage="0" equalAverage="0" bottom="0" percent="0" rank="0" text="" dxfId="966">
      <formula>AND(#ref!=1,#ref!=1)</formula>
    </cfRule>
    <cfRule type="expression" priority="934" aboveAverage="0" equalAverage="0" bottom="0" percent="0" rank="0" text="" dxfId="967">
      <formula>#ref!=1</formula>
    </cfRule>
    <cfRule type="expression" priority="935" aboveAverage="0" equalAverage="0" bottom="0" percent="0" rank="0" text="" dxfId="968">
      <formula>AND($L114="X",$B114&lt;&gt;"")</formula>
    </cfRule>
    <cfRule type="expression" priority="936" aboveAverage="0" equalAverage="0" bottom="0" percent="0" rank="0" text="" dxfId="969">
      <formula>AND($L114="X",OR($B114&lt;&gt;"",$C114&lt;&gt;""))</formula>
    </cfRule>
    <cfRule type="expression" priority="937" aboveAverage="0" equalAverage="0" bottom="0" percent="0" rank="0" text="" dxfId="970">
      <formula>AND($L114="X",OR($B114&lt;&gt;"",$C114&lt;&gt;""))</formula>
    </cfRule>
  </conditionalFormatting>
  <conditionalFormatting sqref="D124:G124 D114:E114">
    <cfRule type="expression" priority="938" aboveAverage="0" equalAverage="0" bottom="0" percent="0" rank="0" text="" dxfId="971">
      <formula>AND($L114="X",OR($B114&lt;&gt;"",$C114&lt;&gt;"",$D114&lt;&gt;"",$E114&lt;&gt;""))</formula>
    </cfRule>
    <cfRule type="expression" priority="939" aboveAverage="0" equalAverage="0" bottom="0" percent="0" rank="0" text="" dxfId="972">
      <formula>AND($L114="X",OR($B114&lt;&gt;"",$C114&lt;&gt;"",$E114&lt;&gt;"",#ref!&lt;&gt;""))</formula>
    </cfRule>
  </conditionalFormatting>
  <conditionalFormatting sqref="D124:G124">
    <cfRule type="expression" priority="940" aboveAverage="0" equalAverage="0" bottom="0" percent="0" rank="0" text="" dxfId="973">
      <formula>AND($L124="X",OR($B124&lt;&gt;"",$C124&lt;&gt;"",$D124&lt;&gt;"",$E124&lt;&gt;""))</formula>
    </cfRule>
    <cfRule type="expression" priority="941" aboveAverage="0" equalAverage="0" bottom="0" percent="0" rank="0" text="" dxfId="974">
      <formula>AND($L124="X",OR($B124&lt;&gt;"",#ref!&lt;&gt;"",$C124&lt;&gt;"",$D124&lt;&gt;""))</formula>
    </cfRule>
    <cfRule type="expression" priority="942" aboveAverage="0" equalAverage="0" bottom="0" percent="0" rank="0" text="" dxfId="975">
      <formula>AND(#ref!=1,#ref!=1)</formula>
    </cfRule>
    <cfRule type="expression" priority="943" aboveAverage="0" equalAverage="0" bottom="0" percent="0" rank="0" text="" dxfId="976">
      <formula>#ref!=1</formula>
    </cfRule>
    <cfRule type="expression" priority="944" aboveAverage="0" equalAverage="0" bottom="0" percent="0" rank="0" text="" dxfId="977">
      <formula>#ref!=1</formula>
    </cfRule>
    <cfRule type="expression" priority="945" aboveAverage="0" equalAverage="0" bottom="0" percent="0" rank="0" text="" dxfId="978">
      <formula>AND($L124="X",OR($B124&lt;&gt;"",$C124&lt;&gt;""))</formula>
    </cfRule>
    <cfRule type="expression" priority="946" aboveAverage="0" equalAverage="0" bottom="0" percent="0" rank="0" text="" dxfId="979">
      <formula>AND(#ref!=1,#ref!=1)</formula>
    </cfRule>
    <cfRule type="expression" priority="947" aboveAverage="0" equalAverage="0" bottom="0" percent="0" rank="0" text="" dxfId="980">
      <formula>#ref!=1</formula>
    </cfRule>
    <cfRule type="expression" priority="948" aboveAverage="0" equalAverage="0" bottom="0" percent="0" rank="0" text="" dxfId="981">
      <formula>#ref!=1</formula>
    </cfRule>
    <cfRule type="expression" priority="949" aboveAverage="0" equalAverage="0" bottom="0" percent="0" rank="0" text="" dxfId="982">
      <formula>AND($L124="X",OR($B124&lt;&gt;"",$C124&lt;&gt;""))</formula>
    </cfRule>
    <cfRule type="expression" priority="950" aboveAverage="0" equalAverage="0" bottom="0" percent="0" rank="0" text="" dxfId="983">
      <formula>AND(#ref!=1,#ref!=1)</formula>
    </cfRule>
    <cfRule type="expression" priority="951" aboveAverage="0" equalAverage="0" bottom="0" percent="0" rank="0" text="" dxfId="984">
      <formula>#ref!=1</formula>
    </cfRule>
    <cfRule type="expression" priority="952" aboveAverage="0" equalAverage="0" bottom="0" percent="0" rank="0" text="" dxfId="985">
      <formula>#ref!=1</formula>
    </cfRule>
    <cfRule type="expression" priority="953" aboveAverage="0" equalAverage="0" bottom="0" percent="0" rank="0" text="" dxfId="986">
      <formula>AND($L124="X",OR($B124&lt;&gt;"",$C124&lt;&gt;""))</formula>
    </cfRule>
    <cfRule type="expression" priority="954" aboveAverage="0" equalAverage="0" bottom="0" percent="0" rank="0" text="" dxfId="987">
      <formula>AND(#ref!=1,#ref!=1)</formula>
    </cfRule>
    <cfRule type="expression" priority="955" aboveAverage="0" equalAverage="0" bottom="0" percent="0" rank="0" text="" dxfId="988">
      <formula>#ref!=1</formula>
    </cfRule>
    <cfRule type="expression" priority="956" aboveAverage="0" equalAverage="0" bottom="0" percent="0" rank="0" text="" dxfId="989">
      <formula>#ref!=1</formula>
    </cfRule>
    <cfRule type="expression" priority="957" aboveAverage="0" equalAverage="0" bottom="0" percent="0" rank="0" text="" dxfId="990">
      <formula>AND($L124="X",OR($B124&lt;&gt;"",$C124&lt;&gt;""))</formula>
    </cfRule>
    <cfRule type="expression" priority="958" aboveAverage="0" equalAverage="0" bottom="0" percent="0" rank="0" text="" dxfId="991">
      <formula>AND(#ref!=1,#ref!=1)</formula>
    </cfRule>
    <cfRule type="expression" priority="959" aboveAverage="0" equalAverage="0" bottom="0" percent="0" rank="0" text="" dxfId="992">
      <formula>#ref!=1</formula>
    </cfRule>
    <cfRule type="expression" priority="960" aboveAverage="0" equalAverage="0" bottom="0" percent="0" rank="0" text="" dxfId="993">
      <formula>#ref!=1</formula>
    </cfRule>
    <cfRule type="expression" priority="961" aboveAverage="0" equalAverage="0" bottom="0" percent="0" rank="0" text="" dxfId="994">
      <formula>AND($L124="X",OR($B124&lt;&gt;"",$C124&lt;&gt;""))</formula>
    </cfRule>
    <cfRule type="expression" priority="962" aboveAverage="0" equalAverage="0" bottom="0" percent="0" rank="0" text="" dxfId="995">
      <formula>AND(#ref!=1,#ref!=1)</formula>
    </cfRule>
    <cfRule type="expression" priority="963" aboveAverage="0" equalAverage="0" bottom="0" percent="0" rank="0" text="" dxfId="996">
      <formula>#ref!=1</formula>
    </cfRule>
    <cfRule type="expression" priority="964" aboveAverage="0" equalAverage="0" bottom="0" percent="0" rank="0" text="" dxfId="997">
      <formula>#ref!=1</formula>
    </cfRule>
    <cfRule type="expression" priority="965" aboveAverage="0" equalAverage="0" bottom="0" percent="0" rank="0" text="" dxfId="998">
      <formula>AND($L124="X",OR($B124&lt;&gt;"",$C124&lt;&gt;""))</formula>
    </cfRule>
    <cfRule type="expression" priority="966" aboveAverage="0" equalAverage="0" bottom="0" percent="0" rank="0" text="" dxfId="999">
      <formula>AND(#ref!=1,#ref!=1)</formula>
    </cfRule>
    <cfRule type="expression" priority="967" aboveAverage="0" equalAverage="0" bottom="0" percent="0" rank="0" text="" dxfId="1000">
      <formula>#ref!=1</formula>
    </cfRule>
    <cfRule type="expression" priority="968" aboveAverage="0" equalAverage="0" bottom="0" percent="0" rank="0" text="" dxfId="1001">
      <formula>#ref!=1</formula>
    </cfRule>
    <cfRule type="expression" priority="969" aboveAverage="0" equalAverage="0" bottom="0" percent="0" rank="0" text="" dxfId="1002">
      <formula>AND(NOT(ISBLANK($Q124)),ISBLANK(#ref!),ISBLANK(#ref!))</formula>
    </cfRule>
    <cfRule type="expression" priority="970" aboveAverage="0" equalAverage="0" bottom="0" percent="0" rank="0" text="" dxfId="1003">
      <formula>OR(#ref!="X",#ref!="X")</formula>
    </cfRule>
    <cfRule type="expression" priority="971" aboveAverage="0" equalAverage="0" bottom="0" percent="0" rank="0" text="" dxfId="1004">
      <formula>AND(#ref!=1,#ref!=1)</formula>
    </cfRule>
    <cfRule type="expression" priority="972" aboveAverage="0" equalAverage="0" bottom="0" percent="0" rank="0" text="" dxfId="1005">
      <formula>#ref!=1</formula>
    </cfRule>
    <cfRule type="expression" priority="973" aboveAverage="0" equalAverage="0" bottom="0" percent="0" rank="0" text="" dxfId="1006">
      <formula>#ref!=1</formula>
    </cfRule>
    <cfRule type="expression" priority="974" aboveAverage="0" equalAverage="0" bottom="0" percent="0" rank="0" text="" dxfId="1007">
      <formula>OR(#ref!="X",#ref!="X")</formula>
    </cfRule>
    <cfRule type="expression" priority="975" aboveAverage="0" equalAverage="0" bottom="0" percent="0" rank="0" text="" dxfId="1008">
      <formula>AND(#ref!=1,#ref!=1)</formula>
    </cfRule>
    <cfRule type="expression" priority="976" aboveAverage="0" equalAverage="0" bottom="0" percent="0" rank="0" text="" dxfId="1009">
      <formula>#ref!=1</formula>
    </cfRule>
    <cfRule type="expression" priority="977" aboveAverage="0" equalAverage="0" bottom="0" percent="0" rank="0" text="" dxfId="1010">
      <formula>AND($L124="X",OR($B124&lt;&gt;"",$C124&lt;&gt;"",$D124&lt;&gt;"",$E124&lt;&gt;""))</formula>
    </cfRule>
    <cfRule type="expression" priority="978" aboveAverage="0" equalAverage="0" bottom="0" percent="0" rank="0" text="" dxfId="1011">
      <formula>AND($L124="X",OR($B124&lt;&gt;"",$C124&lt;&gt;"",$E124&lt;&gt;"",#ref!&lt;&gt;""))</formula>
    </cfRule>
    <cfRule type="expression" priority="979" aboveAverage="0" equalAverage="0" bottom="0" percent="0" rank="0" text="" dxfId="1012">
      <formula>#ref!=1</formula>
    </cfRule>
    <cfRule type="expression" priority="980" aboveAverage="0" equalAverage="0" bottom="0" percent="0" rank="0" text="" dxfId="1013">
      <formula>AND($L124="X",OR($B124&lt;&gt;"",$C124&lt;&gt;"",$D124&lt;&gt;""))</formula>
    </cfRule>
    <cfRule type="expression" priority="981" aboveAverage="0" equalAverage="0" bottom="0" percent="0" rank="0" text="" dxfId="1014">
      <formula>AND(#ref!=1,#ref!=1)</formula>
    </cfRule>
    <cfRule type="expression" priority="982" aboveAverage="0" equalAverage="0" bottom="0" percent="0" rank="0" text="" dxfId="1015">
      <formula>#ref!=1</formula>
    </cfRule>
    <cfRule type="expression" priority="983" aboveAverage="0" equalAverage="0" bottom="0" percent="0" rank="0" text="" dxfId="1016">
      <formula>AND($L124="X",$B124&lt;&gt;"")</formula>
    </cfRule>
    <cfRule type="expression" priority="984" aboveAverage="0" equalAverage="0" bottom="0" percent="0" rank="0" text="" dxfId="1017">
      <formula>AND($L124="X",OR($B124&lt;&gt;"",$C124&lt;&gt;""))</formula>
    </cfRule>
  </conditionalFormatting>
  <conditionalFormatting sqref="D169:G169">
    <cfRule type="expression" priority="985" aboveAverage="0" equalAverage="0" bottom="0" percent="0" rank="0" text="" dxfId="1018">
      <formula>AND($L169="X",OR($B169&lt;&gt;"",$C169&lt;&gt;"",$D169&lt;&gt;"",$E169&lt;&gt;""))</formula>
    </cfRule>
    <cfRule type="expression" priority="986" aboveAverage="0" equalAverage="0" bottom="0" percent="0" rank="0" text="" dxfId="1019">
      <formula>AND($L169="X",OR($B169&lt;&gt;"",#ref!&lt;&gt;"",$C169&lt;&gt;"",$D169&lt;&gt;""))</formula>
    </cfRule>
    <cfRule type="expression" priority="987" aboveAverage="0" equalAverage="0" bottom="0" percent="0" rank="0" text="" dxfId="1020">
      <formula>AND(#ref!=1,#ref!=1)</formula>
    </cfRule>
    <cfRule type="expression" priority="988" aboveAverage="0" equalAverage="0" bottom="0" percent="0" rank="0" text="" dxfId="1021">
      <formula>#ref!=1</formula>
    </cfRule>
    <cfRule type="expression" priority="989" aboveAverage="0" equalAverage="0" bottom="0" percent="0" rank="0" text="" dxfId="1022">
      <formula>#ref!=1</formula>
    </cfRule>
    <cfRule type="expression" priority="990" aboveAverage="0" equalAverage="0" bottom="0" percent="0" rank="0" text="" dxfId="1023">
      <formula>AND($L169="X",OR($B169&lt;&gt;"",#ref!&lt;&gt;"",$C169&lt;&gt;""))</formula>
    </cfRule>
    <cfRule type="expression" priority="991" aboveAverage="0" equalAverage="0" bottom="0" percent="0" rank="0" text="" dxfId="1024">
      <formula>AND(#ref!=1,#ref!=1)</formula>
    </cfRule>
    <cfRule type="expression" priority="992" aboveAverage="0" equalAverage="0" bottom="0" percent="0" rank="0" text="" dxfId="1025">
      <formula>#ref!=1</formula>
    </cfRule>
    <cfRule type="expression" priority="993" aboveAverage="0" equalAverage="0" bottom="0" percent="0" rank="0" text="" dxfId="1026">
      <formula>#ref!=1</formula>
    </cfRule>
    <cfRule type="expression" priority="994" aboveAverage="0" equalAverage="0" bottom="0" percent="0" rank="0" text="" dxfId="1027">
      <formula>AND($L169="X",OR($B169&lt;&gt;"",$C169&lt;&gt;"",$D169&lt;&gt;""))</formula>
    </cfRule>
  </conditionalFormatting>
  <conditionalFormatting sqref="D197:G198">
    <cfRule type="expression" priority="995" aboveAverage="0" equalAverage="0" bottom="0" percent="0" rank="0" text="" dxfId="1028">
      <formula>AND($L197="X",OR($B197&lt;&gt;"",#ref!&lt;&gt;"",$C197&lt;&gt;""))</formula>
    </cfRule>
    <cfRule type="expression" priority="996" aboveAverage="0" equalAverage="0" bottom="0" percent="0" rank="0" text="" dxfId="1029">
      <formula>AND($L197="X",OR($B197&lt;&gt;"",$C197&lt;&gt;"",$D197&lt;&gt;"",$E197&lt;&gt;""))</formula>
    </cfRule>
    <cfRule type="expression" priority="997" aboveAverage="0" equalAverage="0" bottom="0" percent="0" rank="0" text="" dxfId="1030">
      <formula>AND($L197="X",OR($B197&lt;&gt;"",#ref!&lt;&gt;"",$C197&lt;&gt;"",$D197&lt;&gt;""))</formula>
    </cfRule>
  </conditionalFormatting>
  <conditionalFormatting sqref="E3">
    <cfRule type="dataBar" priority="998">
      <dataBar showValue="1" minLength="10" maxLength="90">
        <cfvo type="num" val="0"/>
        <cfvo type="num" val="1"/>
        <color rgb="FF63C384"/>
      </dataBar>
      <extLst>
        <ext xmlns:x14="http://schemas.microsoft.com/office/spreadsheetml/2009/9/main" uri="{B025F937-C7B1-47D3-B67F-A62EFF666E3E}">
          <x14:id>{3332E7C5-60DA-42CC-92F5-725BE8E673D4}</x14:id>
        </ext>
      </extLst>
    </cfRule>
  </conditionalFormatting>
  <conditionalFormatting sqref="E29 E162">
    <cfRule type="expression" priority="999" aboveAverage="0" equalAverage="0" bottom="0" percent="0" rank="0" text="" dxfId="1031">
      <formula>AND($L29="X",OR($B29&lt;&gt;"",#ref!&lt;&gt;"",$D29&lt;&gt;""))</formula>
    </cfRule>
  </conditionalFormatting>
  <conditionalFormatting sqref="E30">
    <cfRule type="expression" priority="1000" aboveAverage="0" equalAverage="0" bottom="0" percent="0" rank="0" text="" dxfId="1032">
      <formula>AND($L30="X",OR($B30&lt;&gt;"",$C30&lt;&gt;""))</formula>
    </cfRule>
  </conditionalFormatting>
  <conditionalFormatting sqref="E39:E40">
    <cfRule type="expression" priority="1001" aboveAverage="0" equalAverage="0" bottom="0" percent="0" rank="0" text="" dxfId="1033">
      <formula>AND($L39="X",OR($B39&lt;&gt;"",#ref!&lt;&gt;""))</formula>
    </cfRule>
  </conditionalFormatting>
  <conditionalFormatting sqref="E41:E42 D56 G56">
    <cfRule type="expression" priority="1002" aboveAverage="0" equalAverage="0" bottom="0" percent="0" rank="0" text="" dxfId="1034">
      <formula>AND($L41="X",OR($B41&lt;&gt;"",#ref!&lt;&gt;"",$C41&lt;&gt;""))</formula>
    </cfRule>
    <cfRule type="expression" priority="1003" aboveAverage="0" equalAverage="0" bottom="0" percent="0" rank="0" text="" dxfId="1035">
      <formula>AND($L41="X",OR($B41&lt;&gt;"",$C41&lt;&gt;"",$D41&lt;&gt;""))</formula>
    </cfRule>
    <cfRule type="expression" priority="1004" aboveAverage="0" equalAverage="0" bottom="0" percent="0" rank="0" text="" dxfId="1036">
      <formula>AND($L41="X",OR($B41&lt;&gt;"",$C41&lt;&gt;"",$D41&lt;&gt;"",$E41&lt;&gt;""))</formula>
    </cfRule>
    <cfRule type="expression" priority="1005" aboveAverage="0" equalAverage="0" bottom="0" percent="0" rank="0" text="" dxfId="1037">
      <formula>AND($L41="X",OR($B41&lt;&gt;"",$C41&lt;&gt;"",$E41&lt;&gt;"",#ref!&lt;&gt;""))</formula>
    </cfRule>
    <cfRule type="expression" priority="1006" aboveAverage="0" equalAverage="0" bottom="0" percent="0" rank="0" text="" dxfId="1038">
      <formula>#ref!=1</formula>
    </cfRule>
    <cfRule type="expression" priority="1007" aboveAverage="0" equalAverage="0" bottom="0" percent="0" rank="0" text="" dxfId="1039">
      <formula>AND($L41="X",OR($B41&lt;&gt;"",$C41&lt;&gt;"",$D41&lt;&gt;""))</formula>
    </cfRule>
    <cfRule type="expression" priority="1008" aboveAverage="0" equalAverage="0" bottom="0" percent="0" rank="0" text="" dxfId="1040">
      <formula>AND($L41="X",OR($B41&lt;&gt;"",$C41&lt;&gt;"",$D41&lt;&gt;"",$E41&lt;&gt;""))</formula>
    </cfRule>
    <cfRule type="expression" priority="1009" aboveAverage="0" equalAverage="0" bottom="0" percent="0" rank="0" text="" dxfId="1041">
      <formula>AND(#ref!=1,#ref!=1)</formula>
    </cfRule>
    <cfRule type="expression" priority="1010" aboveAverage="0" equalAverage="0" bottom="0" percent="0" rank="0" text="" dxfId="1042">
      <formula>#ref!=1</formula>
    </cfRule>
    <cfRule type="expression" priority="1011" aboveAverage="0" equalAverage="0" bottom="0" percent="0" rank="0" text="" dxfId="1043">
      <formula>#ref!=1</formula>
    </cfRule>
    <cfRule type="expression" priority="1012" aboveAverage="0" equalAverage="0" bottom="0" percent="0" rank="0" text="" dxfId="1044">
      <formula>AND($L41="X",OR($B41&lt;&gt;"",$C41&lt;&gt;"",$E41&lt;&gt;"",#ref!&lt;&gt;""))</formula>
    </cfRule>
    <cfRule type="expression" priority="1013" aboveAverage="0" equalAverage="0" bottom="0" percent="0" rank="0" text="" dxfId="1045">
      <formula>AND($L41="X",OR($B41&lt;&gt;"",$C41&lt;&gt;""))</formula>
    </cfRule>
    <cfRule type="expression" priority="1014" aboveAverage="0" equalAverage="0" bottom="0" percent="0" rank="0" text="" dxfId="1046">
      <formula>AND($L41="X",OR($B41&lt;&gt;"",$C41&lt;&gt;"",$D41&lt;&gt;"",$E41&lt;&gt;""))</formula>
    </cfRule>
    <cfRule type="expression" priority="1015" aboveAverage="0" equalAverage="0" bottom="0" percent="0" rank="0" text="" dxfId="1047">
      <formula>AND(#ref!=1,#ref!=1)</formula>
    </cfRule>
    <cfRule type="expression" priority="1016" aboveAverage="0" equalAverage="0" bottom="0" percent="0" rank="0" text="" dxfId="1048">
      <formula>#ref!=1</formula>
    </cfRule>
    <cfRule type="expression" priority="1017" aboveAverage="0" equalAverage="0" bottom="0" percent="0" rank="0" text="" dxfId="1049">
      <formula>#ref!=1</formula>
    </cfRule>
    <cfRule type="expression" priority="1018" aboveAverage="0" equalAverage="0" bottom="0" percent="0" rank="0" text="" dxfId="1050">
      <formula>AND($L41="X",OR($B41&lt;&gt;"",$C41&lt;&gt;"",$E41&lt;&gt;"",#ref!&lt;&gt;""))</formula>
    </cfRule>
    <cfRule type="expression" priority="1019" aboveAverage="0" equalAverage="0" bottom="0" percent="0" rank="0" text="" dxfId="1051">
      <formula>#ref!=1</formula>
    </cfRule>
    <cfRule type="expression" priority="1020" aboveAverage="0" equalAverage="0" bottom="0" percent="0" rank="0" text="" dxfId="1052">
      <formula>AND($L41="X",OR($B41&lt;&gt;"",$C41&lt;&gt;"",$D41&lt;&gt;""))</formula>
    </cfRule>
    <cfRule type="expression" priority="1021" aboveAverage="0" equalAverage="0" bottom="0" percent="0" rank="0" text="" dxfId="1053">
      <formula>AND($L41="X",OR($B41&lt;&gt;"",$C41&lt;&gt;"",$D41&lt;&gt;"",$E41&lt;&gt;""))</formula>
    </cfRule>
    <cfRule type="expression" priority="1022" aboveAverage="0" equalAverage="0" bottom="0" percent="0" rank="0" text="" dxfId="1054">
      <formula>AND(#ref!=1,#ref!=1)</formula>
    </cfRule>
    <cfRule type="expression" priority="1023" aboveAverage="0" equalAverage="0" bottom="0" percent="0" rank="0" text="" dxfId="1055">
      <formula>#ref!=1</formula>
    </cfRule>
    <cfRule type="expression" priority="1024" aboveAverage="0" equalAverage="0" bottom="0" percent="0" rank="0" text="" dxfId="1056">
      <formula>AND($L41="X",OR($B41&lt;&gt;"",$C41&lt;&gt;"",$E41&lt;&gt;"",#ref!&lt;&gt;""))</formula>
    </cfRule>
    <cfRule type="expression" priority="1025" aboveAverage="0" equalAverage="0" bottom="0" percent="0" rank="0" text="" dxfId="1057">
      <formula>AND($L41="X",OR($B41&lt;&gt;"",$C41&lt;&gt;""))</formula>
    </cfRule>
    <cfRule type="expression" priority="1026" aboveAverage="0" equalAverage="0" bottom="0" percent="0" rank="0" text="" dxfId="1058">
      <formula>AND($L41="X",$B41&lt;&gt;"")</formula>
    </cfRule>
    <cfRule type="expression" priority="1027" aboveAverage="0" equalAverage="0" bottom="0" percent="0" rank="0" text="" dxfId="1059">
      <formula>AND($L41="X",OR($B41&lt;&gt;"",$C41&lt;&gt;"",$D41&lt;&gt;""))</formula>
    </cfRule>
  </conditionalFormatting>
  <conditionalFormatting sqref="E48">
    <cfRule type="expression" priority="1028" aboveAverage="0" equalAverage="0" bottom="0" percent="0" rank="0" text="" dxfId="1060">
      <formula>AND($L48="X",OR($B48&lt;&gt;"",#ref!&lt;&gt;"",$C48&lt;&gt;""))</formula>
    </cfRule>
    <cfRule type="expression" priority="1029" aboveAverage="0" equalAverage="0" bottom="0" percent="0" rank="0" text="" dxfId="1061">
      <formula>AND($L48="X",OR($B48&lt;&gt;"",$C48&lt;&gt;"",$D48&lt;&gt;""))</formula>
    </cfRule>
    <cfRule type="expression" priority="1030" aboveAverage="0" equalAverage="0" bottom="0" percent="0" rank="0" text="" dxfId="1062">
      <formula>AND($L48="X",OR($B48&lt;&gt;"",$C48&lt;&gt;"",$D48&lt;&gt;"",$E48&lt;&gt;""))</formula>
    </cfRule>
    <cfRule type="expression" priority="1031" aboveAverage="0" equalAverage="0" bottom="0" percent="0" rank="0" text="" dxfId="1063">
      <formula>AND($L48="X",OR($B48&lt;&gt;"",$C48&lt;&gt;"",$E48&lt;&gt;"",#ref!&lt;&gt;""))</formula>
    </cfRule>
    <cfRule type="expression" priority="1032" aboveAverage="0" equalAverage="0" bottom="0" percent="0" rank="0" text="" dxfId="1064">
      <formula>#ref!=1</formula>
    </cfRule>
    <cfRule type="expression" priority="1033" aboveAverage="0" equalAverage="0" bottom="0" percent="0" rank="0" text="" dxfId="1065">
      <formula>AND($L48="X",OR($B48&lt;&gt;"",$C48&lt;&gt;"",$D48&lt;&gt;""))</formula>
    </cfRule>
    <cfRule type="expression" priority="1034" aboveAverage="0" equalAverage="0" bottom="0" percent="0" rank="0" text="" dxfId="1066">
      <formula>AND($L48="X",OR($B48&lt;&gt;"",$C48&lt;&gt;"",$D48&lt;&gt;"",$E48&lt;&gt;""))</formula>
    </cfRule>
    <cfRule type="expression" priority="1035" aboveAverage="0" equalAverage="0" bottom="0" percent="0" rank="0" text="" dxfId="1067">
      <formula>AND(#ref!=1,#ref!=1)</formula>
    </cfRule>
    <cfRule type="expression" priority="1036" aboveAverage="0" equalAverage="0" bottom="0" percent="0" rank="0" text="" dxfId="1068">
      <formula>#ref!=1</formula>
    </cfRule>
    <cfRule type="expression" priority="1037" aboveAverage="0" equalAverage="0" bottom="0" percent="0" rank="0" text="" dxfId="1069">
      <formula>#ref!=1</formula>
    </cfRule>
    <cfRule type="expression" priority="1038" aboveAverage="0" equalAverage="0" bottom="0" percent="0" rank="0" text="" dxfId="1070">
      <formula>AND($L48="X",OR($B48&lt;&gt;"",$C48&lt;&gt;"",$E48&lt;&gt;"",#ref!&lt;&gt;""))</formula>
    </cfRule>
    <cfRule type="expression" priority="1039" aboveAverage="0" equalAverage="0" bottom="0" percent="0" rank="0" text="" dxfId="1071">
      <formula>AND($L48="X",OR($B48&lt;&gt;"",$C48&lt;&gt;""))</formula>
    </cfRule>
    <cfRule type="expression" priority="1040" aboveAverage="0" equalAverage="0" bottom="0" percent="0" rank="0" text="" dxfId="1072">
      <formula>AND($L48="X",OR($B48&lt;&gt;"",$C48&lt;&gt;"",$D48&lt;&gt;"",$E48&lt;&gt;""))</formula>
    </cfRule>
    <cfRule type="expression" priority="1041" aboveAverage="0" equalAverage="0" bottom="0" percent="0" rank="0" text="" dxfId="1073">
      <formula>AND(#ref!=1,#ref!=1)</formula>
    </cfRule>
    <cfRule type="expression" priority="1042" aboveAverage="0" equalAverage="0" bottom="0" percent="0" rank="0" text="" dxfId="1074">
      <formula>#ref!=1</formula>
    </cfRule>
    <cfRule type="expression" priority="1043" aboveAverage="0" equalAverage="0" bottom="0" percent="0" rank="0" text="" dxfId="1075">
      <formula>#ref!=1</formula>
    </cfRule>
    <cfRule type="expression" priority="1044" aboveAverage="0" equalAverage="0" bottom="0" percent="0" rank="0" text="" dxfId="1076">
      <formula>AND($L48="X",OR($B48&lt;&gt;"",$C48&lt;&gt;"",$E48&lt;&gt;"",#ref!&lt;&gt;""))</formula>
    </cfRule>
    <cfRule type="expression" priority="1045" aboveAverage="0" equalAverage="0" bottom="0" percent="0" rank="0" text="" dxfId="1077">
      <formula>#ref!=1</formula>
    </cfRule>
    <cfRule type="expression" priority="1046" aboveAverage="0" equalAverage="0" bottom="0" percent="0" rank="0" text="" dxfId="1078">
      <formula>AND($L48="X",OR($B48&lt;&gt;"",$C48&lt;&gt;"",$D48&lt;&gt;""))</formula>
    </cfRule>
    <cfRule type="expression" priority="1047" aboveAverage="0" equalAverage="0" bottom="0" percent="0" rank="0" text="" dxfId="1079">
      <formula>AND($L48="X",OR($B48&lt;&gt;"",$C48&lt;&gt;"",$D48&lt;&gt;"",$E48&lt;&gt;""))</formula>
    </cfRule>
    <cfRule type="expression" priority="1048" aboveAverage="0" equalAverage="0" bottom="0" percent="0" rank="0" text="" dxfId="1080">
      <formula>AND(#ref!=1,#ref!=1)</formula>
    </cfRule>
    <cfRule type="expression" priority="1049" aboveAverage="0" equalAverage="0" bottom="0" percent="0" rank="0" text="" dxfId="1081">
      <formula>#ref!=1</formula>
    </cfRule>
    <cfRule type="expression" priority="1050" aboveAverage="0" equalAverage="0" bottom="0" percent="0" rank="0" text="" dxfId="1082">
      <formula>AND($L48="X",OR($B48&lt;&gt;"",$C48&lt;&gt;"",$E48&lt;&gt;"",#ref!&lt;&gt;""))</formula>
    </cfRule>
    <cfRule type="expression" priority="1051" aboveAverage="0" equalAverage="0" bottom="0" percent="0" rank="0" text="" dxfId="1083">
      <formula>AND($L48="X",OR($B48&lt;&gt;"",$C48&lt;&gt;""))</formula>
    </cfRule>
    <cfRule type="expression" priority="1052" aboveAverage="0" equalAverage="0" bottom="0" percent="0" rank="0" text="" dxfId="1084">
      <formula>AND($L48="X",$B48&lt;&gt;"")</formula>
    </cfRule>
    <cfRule type="expression" priority="1053" aboveAverage="0" equalAverage="0" bottom="0" percent="0" rank="0" text="" dxfId="1085">
      <formula>AND($L48="X",OR($B48&lt;&gt;"",$C48&lt;&gt;"",$D48&lt;&gt;""))</formula>
    </cfRule>
  </conditionalFormatting>
  <conditionalFormatting sqref="E52 E56 E66">
    <cfRule type="expression" priority="1054" aboveAverage="0" equalAverage="0" bottom="0" percent="0" rank="0" text="" dxfId="1086">
      <formula>AND($L52="X",OR($B52&lt;&gt;"",$C52&lt;&gt;"",$D52&lt;&gt;"",$E52&lt;&gt;""))</formula>
    </cfRule>
  </conditionalFormatting>
  <conditionalFormatting sqref="E68">
    <cfRule type="expression" priority="1055" aboveAverage="0" equalAverage="0" bottom="0" percent="0" rank="0" text="" dxfId="1087">
      <formula>AND($L68="X",OR($B68&lt;&gt;"",#ref!&lt;&gt;"",$C68&lt;&gt;""))</formula>
    </cfRule>
    <cfRule type="expression" priority="1056" aboveAverage="0" equalAverage="0" bottom="0" percent="0" rank="0" text="" dxfId="1088">
      <formula>AND($L68="X",OR($B68&lt;&gt;"",$C68&lt;&gt;"",$D68&lt;&gt;""))</formula>
    </cfRule>
    <cfRule type="expression" priority="1057" aboveAverage="0" equalAverage="0" bottom="0" percent="0" rank="0" text="" dxfId="1089">
      <formula>AND($L68="X",OR($B68&lt;&gt;"",$C68&lt;&gt;"",$D68&lt;&gt;"",$E68&lt;&gt;""))</formula>
    </cfRule>
    <cfRule type="expression" priority="1058" aboveAverage="0" equalAverage="0" bottom="0" percent="0" rank="0" text="" dxfId="1090">
      <formula>AND($L68="X",OR($B68&lt;&gt;"",$C68&lt;&gt;"",$E68&lt;&gt;"",#ref!&lt;&gt;""))</formula>
    </cfRule>
    <cfRule type="expression" priority="1059" aboveAverage="0" equalAverage="0" bottom="0" percent="0" rank="0" text="" dxfId="1091">
      <formula>#ref!=1</formula>
    </cfRule>
    <cfRule type="expression" priority="1060" aboveAverage="0" equalAverage="0" bottom="0" percent="0" rank="0" text="" dxfId="1092">
      <formula>AND($L68="X",OR($B68&lt;&gt;"",$C68&lt;&gt;"",$D68&lt;&gt;""))</formula>
    </cfRule>
    <cfRule type="expression" priority="1061" aboveAverage="0" equalAverage="0" bottom="0" percent="0" rank="0" text="" dxfId="1093">
      <formula>AND($L68="X",OR($B68&lt;&gt;"",$C68&lt;&gt;"",$D68&lt;&gt;"",$E68&lt;&gt;""))</formula>
    </cfRule>
    <cfRule type="expression" priority="1062" aboveAverage="0" equalAverage="0" bottom="0" percent="0" rank="0" text="" dxfId="1094">
      <formula>AND(#ref!=1,#ref!=1)</formula>
    </cfRule>
    <cfRule type="expression" priority="1063" aboveAverage="0" equalAverage="0" bottom="0" percent="0" rank="0" text="" dxfId="1095">
      <formula>#ref!=1</formula>
    </cfRule>
    <cfRule type="expression" priority="1064" aboveAverage="0" equalAverage="0" bottom="0" percent="0" rank="0" text="" dxfId="1096">
      <formula>#ref!=1</formula>
    </cfRule>
    <cfRule type="expression" priority="1065" aboveAverage="0" equalAverage="0" bottom="0" percent="0" rank="0" text="" dxfId="1097">
      <formula>AND($L68="X",OR($B68&lt;&gt;"",$C68&lt;&gt;"",$E68&lt;&gt;"",#ref!&lt;&gt;""))</formula>
    </cfRule>
    <cfRule type="expression" priority="1066" aboveAverage="0" equalAverage="0" bottom="0" percent="0" rank="0" text="" dxfId="1098">
      <formula>AND($L68="X",OR($B68&lt;&gt;"",$C68&lt;&gt;""))</formula>
    </cfRule>
    <cfRule type="expression" priority="1067" aboveAverage="0" equalAverage="0" bottom="0" percent="0" rank="0" text="" dxfId="1099">
      <formula>AND($L68="X",OR($B68&lt;&gt;"",$C68&lt;&gt;"",$D68&lt;&gt;"",$E68&lt;&gt;""))</formula>
    </cfRule>
    <cfRule type="expression" priority="1068" aboveAverage="0" equalAverage="0" bottom="0" percent="0" rank="0" text="" dxfId="1100">
      <formula>AND(#ref!=1,#ref!=1)</formula>
    </cfRule>
    <cfRule type="expression" priority="1069" aboveAverage="0" equalAverage="0" bottom="0" percent="0" rank="0" text="" dxfId="1101">
      <formula>#ref!=1</formula>
    </cfRule>
    <cfRule type="expression" priority="1070" aboveAverage="0" equalAverage="0" bottom="0" percent="0" rank="0" text="" dxfId="1102">
      <formula>#ref!=1</formula>
    </cfRule>
    <cfRule type="expression" priority="1071" aboveAverage="0" equalAverage="0" bottom="0" percent="0" rank="0" text="" dxfId="1103">
      <formula>AND($L68="X",OR($B68&lt;&gt;"",$C68&lt;&gt;"",$E68&lt;&gt;"",#ref!&lt;&gt;""))</formula>
    </cfRule>
    <cfRule type="expression" priority="1072" aboveAverage="0" equalAverage="0" bottom="0" percent="0" rank="0" text="" dxfId="1104">
      <formula>#ref!=1</formula>
    </cfRule>
    <cfRule type="expression" priority="1073" aboveAverage="0" equalAverage="0" bottom="0" percent="0" rank="0" text="" dxfId="1105">
      <formula>AND($L68="X",OR($B68&lt;&gt;"",$C68&lt;&gt;"",$D68&lt;&gt;""))</formula>
    </cfRule>
    <cfRule type="expression" priority="1074" aboveAverage="0" equalAverage="0" bottom="0" percent="0" rank="0" text="" dxfId="1106">
      <formula>AND($L68="X",OR($B68&lt;&gt;"",$C68&lt;&gt;"",$D68&lt;&gt;"",$E68&lt;&gt;""))</formula>
    </cfRule>
    <cfRule type="expression" priority="1075" aboveAverage="0" equalAverage="0" bottom="0" percent="0" rank="0" text="" dxfId="1107">
      <formula>AND(#ref!=1,#ref!=1)</formula>
    </cfRule>
    <cfRule type="expression" priority="1076" aboveAverage="0" equalAverage="0" bottom="0" percent="0" rank="0" text="" dxfId="1108">
      <formula>#ref!=1</formula>
    </cfRule>
    <cfRule type="expression" priority="1077" aboveAverage="0" equalAverage="0" bottom="0" percent="0" rank="0" text="" dxfId="1109">
      <formula>AND($L68="X",OR($B68&lt;&gt;"",$C68&lt;&gt;"",$E68&lt;&gt;"",#ref!&lt;&gt;""))</formula>
    </cfRule>
    <cfRule type="expression" priority="1078" aboveAverage="0" equalAverage="0" bottom="0" percent="0" rank="0" text="" dxfId="1110">
      <formula>AND($L68="X",OR($B68&lt;&gt;"",$C68&lt;&gt;""))</formula>
    </cfRule>
    <cfRule type="expression" priority="1079" aboveAverage="0" equalAverage="0" bottom="0" percent="0" rank="0" text="" dxfId="1111">
      <formula>AND($L68="X",$B68&lt;&gt;"")</formula>
    </cfRule>
    <cfRule type="expression" priority="1080" aboveAverage="0" equalAverage="0" bottom="0" percent="0" rank="0" text="" dxfId="1112">
      <formula>AND($L68="X",OR($B68&lt;&gt;"",$C68&lt;&gt;"",$D68&lt;&gt;""))</formula>
    </cfRule>
  </conditionalFormatting>
  <conditionalFormatting sqref="E79">
    <cfRule type="expression" priority="1081" aboveAverage="0" equalAverage="0" bottom="0" percent="0" rank="0" text="" dxfId="1113">
      <formula>AND($L79="X",OR($B79&lt;&gt;"",#ref!&lt;&gt;"",$C79&lt;&gt;""))</formula>
    </cfRule>
    <cfRule type="expression" priority="1082" aboveAverage="0" equalAverage="0" bottom="0" percent="0" rank="0" text="" dxfId="1114">
      <formula>AND($L79="X",OR($B79&lt;&gt;"",$C79&lt;&gt;"",$D79&lt;&gt;""))</formula>
    </cfRule>
    <cfRule type="expression" priority="1083" aboveAverage="0" equalAverage="0" bottom="0" percent="0" rank="0" text="" dxfId="1115">
      <formula>AND($L79="X",OR($B79&lt;&gt;"",$C79&lt;&gt;"",$D79&lt;&gt;"",$E79&lt;&gt;""))</formula>
    </cfRule>
    <cfRule type="expression" priority="1084" aboveAverage="0" equalAverage="0" bottom="0" percent="0" rank="0" text="" dxfId="1116">
      <formula>AND($L79="X",OR($B79&lt;&gt;"",$C79&lt;&gt;"",$E79&lt;&gt;"",#ref!&lt;&gt;""))</formula>
    </cfRule>
    <cfRule type="expression" priority="1085" aboveAverage="0" equalAverage="0" bottom="0" percent="0" rank="0" text="" dxfId="1117">
      <formula>#ref!=1</formula>
    </cfRule>
    <cfRule type="expression" priority="1086" aboveAverage="0" equalAverage="0" bottom="0" percent="0" rank="0" text="" dxfId="1118">
      <formula>AND($L79="X",OR($B79&lt;&gt;"",$C79&lt;&gt;"",$D79&lt;&gt;""))</formula>
    </cfRule>
    <cfRule type="expression" priority="1087" aboveAverage="0" equalAverage="0" bottom="0" percent="0" rank="0" text="" dxfId="1119">
      <formula>AND($L79="X",OR($B79&lt;&gt;"",$C79&lt;&gt;"",$D79&lt;&gt;"",$E79&lt;&gt;""))</formula>
    </cfRule>
    <cfRule type="expression" priority="1088" aboveAverage="0" equalAverage="0" bottom="0" percent="0" rank="0" text="" dxfId="1120">
      <formula>AND(#ref!=1,#ref!=1)</formula>
    </cfRule>
    <cfRule type="expression" priority="1089" aboveAverage="0" equalAverage="0" bottom="0" percent="0" rank="0" text="" dxfId="1121">
      <formula>#ref!=1</formula>
    </cfRule>
    <cfRule type="expression" priority="1090" aboveAverage="0" equalAverage="0" bottom="0" percent="0" rank="0" text="" dxfId="1122">
      <formula>#ref!=1</formula>
    </cfRule>
    <cfRule type="expression" priority="1091" aboveAverage="0" equalAverage="0" bottom="0" percent="0" rank="0" text="" dxfId="1123">
      <formula>AND($L79="X",OR($B79&lt;&gt;"",$C79&lt;&gt;"",$E79&lt;&gt;"",#ref!&lt;&gt;""))</formula>
    </cfRule>
    <cfRule type="expression" priority="1092" aboveAverage="0" equalAverage="0" bottom="0" percent="0" rank="0" text="" dxfId="1124">
      <formula>AND($L79="X",OR($B79&lt;&gt;"",$C79&lt;&gt;""))</formula>
    </cfRule>
    <cfRule type="expression" priority="1093" aboveAverage="0" equalAverage="0" bottom="0" percent="0" rank="0" text="" dxfId="1125">
      <formula>AND($L79="X",OR($B79&lt;&gt;"",$C79&lt;&gt;"",$D79&lt;&gt;"",$E79&lt;&gt;""))</formula>
    </cfRule>
    <cfRule type="expression" priority="1094" aboveAverage="0" equalAverage="0" bottom="0" percent="0" rank="0" text="" dxfId="1126">
      <formula>AND(#ref!=1,#ref!=1)</formula>
    </cfRule>
    <cfRule type="expression" priority="1095" aboveAverage="0" equalAverage="0" bottom="0" percent="0" rank="0" text="" dxfId="1127">
      <formula>#ref!=1</formula>
    </cfRule>
    <cfRule type="expression" priority="1096" aboveAverage="0" equalAverage="0" bottom="0" percent="0" rank="0" text="" dxfId="1128">
      <formula>#ref!=1</formula>
    </cfRule>
    <cfRule type="expression" priority="1097" aboveAverage="0" equalAverage="0" bottom="0" percent="0" rank="0" text="" dxfId="1129">
      <formula>AND($L79="X",OR($B79&lt;&gt;"",$C79&lt;&gt;"",$E79&lt;&gt;"",#ref!&lt;&gt;""))</formula>
    </cfRule>
    <cfRule type="expression" priority="1098" aboveAverage="0" equalAverage="0" bottom="0" percent="0" rank="0" text="" dxfId="1130">
      <formula>#ref!=1</formula>
    </cfRule>
    <cfRule type="expression" priority="1099" aboveAverage="0" equalAverage="0" bottom="0" percent="0" rank="0" text="" dxfId="1131">
      <formula>AND($L79="X",OR($B79&lt;&gt;"",$C79&lt;&gt;"",$D79&lt;&gt;""))</formula>
    </cfRule>
    <cfRule type="expression" priority="1100" aboveAverage="0" equalAverage="0" bottom="0" percent="0" rank="0" text="" dxfId="1132">
      <formula>AND($L79="X",OR($B79&lt;&gt;"",$C79&lt;&gt;"",$D79&lt;&gt;"",$E79&lt;&gt;""))</formula>
    </cfRule>
    <cfRule type="expression" priority="1101" aboveAverage="0" equalAverage="0" bottom="0" percent="0" rank="0" text="" dxfId="1133">
      <formula>AND(#ref!=1,#ref!=1)</formula>
    </cfRule>
    <cfRule type="expression" priority="1102" aboveAverage="0" equalAverage="0" bottom="0" percent="0" rank="0" text="" dxfId="1134">
      <formula>#ref!=1</formula>
    </cfRule>
    <cfRule type="expression" priority="1103" aboveAverage="0" equalAverage="0" bottom="0" percent="0" rank="0" text="" dxfId="1135">
      <formula>AND($L79="X",OR($B79&lt;&gt;"",$C79&lt;&gt;"",$E79&lt;&gt;"",#ref!&lt;&gt;""))</formula>
    </cfRule>
    <cfRule type="expression" priority="1104" aboveAverage="0" equalAverage="0" bottom="0" percent="0" rank="0" text="" dxfId="1136">
      <formula>AND($L79="X",OR($B79&lt;&gt;"",$C79&lt;&gt;""))</formula>
    </cfRule>
    <cfRule type="expression" priority="1105" aboveAverage="0" equalAverage="0" bottom="0" percent="0" rank="0" text="" dxfId="1137">
      <formula>AND($L79="X",$B79&lt;&gt;"")</formula>
    </cfRule>
  </conditionalFormatting>
  <conditionalFormatting sqref="E85 G89">
    <cfRule type="expression" priority="1106" aboveAverage="0" equalAverage="0" bottom="0" percent="0" rank="0" text="" dxfId="1138">
      <formula>AND($L85="X",OR($B85&lt;&gt;"",#ref!&lt;&gt;"",$C85&lt;&gt;"",$D85&lt;&gt;"",$F85&lt;&gt;""))</formula>
    </cfRule>
    <cfRule type="expression" priority="1107" aboveAverage="0" equalAverage="0" bottom="0" percent="0" rank="0" text="" dxfId="1139">
      <formula>AND($L85="X",OR($B85&lt;&gt;"",#ref!&lt;&gt;"",$C85&lt;&gt;"",$D85&lt;&gt;""))</formula>
    </cfRule>
    <cfRule type="expression" priority="1108" aboveAverage="0" equalAverage="0" bottom="0" percent="0" rank="0" text="" dxfId="1140">
      <formula>AND($L85="X",OR($B85&lt;&gt;"",$C85&lt;&gt;"",$D85&lt;&gt;"",$E85&lt;&gt;""))</formula>
    </cfRule>
  </conditionalFormatting>
  <conditionalFormatting sqref="E89">
    <cfRule type="expression" priority="1109" aboveAverage="0" equalAverage="0" bottom="0" percent="0" rank="0" text="" dxfId="1141">
      <formula>AND($L89="X",OR($B89&lt;&gt;"",#ref!&lt;&gt;"",$C89&lt;&gt;""))</formula>
    </cfRule>
    <cfRule type="expression" priority="1110" aboveAverage="0" equalAverage="0" bottom="0" percent="0" rank="0" text="" dxfId="1142">
      <formula>AND($L89="X",OR($B89&lt;&gt;"",$C89&lt;&gt;"",$D89&lt;&gt;""))</formula>
    </cfRule>
    <cfRule type="expression" priority="1111" aboveAverage="0" equalAverage="0" bottom="0" percent="0" rank="0" text="" dxfId="1143">
      <formula>AND($L89="X",OR($B89&lt;&gt;"",$C89&lt;&gt;"",$D89&lt;&gt;"",$E89&lt;&gt;""))</formula>
    </cfRule>
    <cfRule type="expression" priority="1112" aboveAverage="0" equalAverage="0" bottom="0" percent="0" rank="0" text="" dxfId="1144">
      <formula>AND($L89="X",OR($B89&lt;&gt;"",$C89&lt;&gt;"",$E89&lt;&gt;"",#ref!&lt;&gt;""))</formula>
    </cfRule>
    <cfRule type="expression" priority="1113" aboveAverage="0" equalAverage="0" bottom="0" percent="0" rank="0" text="" dxfId="1145">
      <formula>#ref!=1</formula>
    </cfRule>
    <cfRule type="expression" priority="1114" aboveAverage="0" equalAverage="0" bottom="0" percent="0" rank="0" text="" dxfId="1146">
      <formula>AND($L89="X",OR($B89&lt;&gt;"",$C89&lt;&gt;"",$D89&lt;&gt;""))</formula>
    </cfRule>
    <cfRule type="expression" priority="1115" aboveAverage="0" equalAverage="0" bottom="0" percent="0" rank="0" text="" dxfId="1147">
      <formula>AND($L89="X",OR($B89&lt;&gt;"",$C89&lt;&gt;"",$D89&lt;&gt;"",$E89&lt;&gt;""))</formula>
    </cfRule>
    <cfRule type="expression" priority="1116" aboveAverage="0" equalAverage="0" bottom="0" percent="0" rank="0" text="" dxfId="1148">
      <formula>AND(#ref!=1,#ref!=1)</formula>
    </cfRule>
    <cfRule type="expression" priority="1117" aboveAverage="0" equalAverage="0" bottom="0" percent="0" rank="0" text="" dxfId="1149">
      <formula>#ref!=1</formula>
    </cfRule>
    <cfRule type="expression" priority="1118" aboveAverage="0" equalAverage="0" bottom="0" percent="0" rank="0" text="" dxfId="1150">
      <formula>#ref!=1</formula>
    </cfRule>
    <cfRule type="expression" priority="1119" aboveAverage="0" equalAverage="0" bottom="0" percent="0" rank="0" text="" dxfId="1151">
      <formula>AND($L89="X",OR($B89&lt;&gt;"",$C89&lt;&gt;"",$E89&lt;&gt;"",#ref!&lt;&gt;""))</formula>
    </cfRule>
    <cfRule type="expression" priority="1120" aboveAverage="0" equalAverage="0" bottom="0" percent="0" rank="0" text="" dxfId="1152">
      <formula>AND($L89="X",OR($B89&lt;&gt;"",$C89&lt;&gt;""))</formula>
    </cfRule>
    <cfRule type="expression" priority="1121" aboveAverage="0" equalAverage="0" bottom="0" percent="0" rank="0" text="" dxfId="1153">
      <formula>AND($L89="X",OR($B89&lt;&gt;"",$C89&lt;&gt;"",$D89&lt;&gt;"",$E89&lt;&gt;""))</formula>
    </cfRule>
    <cfRule type="expression" priority="1122" aboveAverage="0" equalAverage="0" bottom="0" percent="0" rank="0" text="" dxfId="1154">
      <formula>AND(#ref!=1,#ref!=1)</formula>
    </cfRule>
    <cfRule type="expression" priority="1123" aboveAverage="0" equalAverage="0" bottom="0" percent="0" rank="0" text="" dxfId="1155">
      <formula>#ref!=1</formula>
    </cfRule>
    <cfRule type="expression" priority="1124" aboveAverage="0" equalAverage="0" bottom="0" percent="0" rank="0" text="" dxfId="1156">
      <formula>#ref!=1</formula>
    </cfRule>
    <cfRule type="expression" priority="1125" aboveAverage="0" equalAverage="0" bottom="0" percent="0" rank="0" text="" dxfId="1157">
      <formula>AND($L89="X",OR($B89&lt;&gt;"",$C89&lt;&gt;"",$E89&lt;&gt;"",#ref!&lt;&gt;""))</formula>
    </cfRule>
    <cfRule type="expression" priority="1126" aboveAverage="0" equalAverage="0" bottom="0" percent="0" rank="0" text="" dxfId="1158">
      <formula>#ref!=1</formula>
    </cfRule>
    <cfRule type="expression" priority="1127" aboveAverage="0" equalAverage="0" bottom="0" percent="0" rank="0" text="" dxfId="1159">
      <formula>AND($L89="X",OR($B89&lt;&gt;"",$C89&lt;&gt;"",$D89&lt;&gt;""))</formula>
    </cfRule>
    <cfRule type="expression" priority="1128" aboveAverage="0" equalAverage="0" bottom="0" percent="0" rank="0" text="" dxfId="1160">
      <formula>AND($L89="X",OR($B89&lt;&gt;"",$C89&lt;&gt;"",$D89&lt;&gt;"",$E89&lt;&gt;""))</formula>
    </cfRule>
    <cfRule type="expression" priority="1129" aboveAverage="0" equalAverage="0" bottom="0" percent="0" rank="0" text="" dxfId="1161">
      <formula>AND(#ref!=1,#ref!=1)</formula>
    </cfRule>
    <cfRule type="expression" priority="1130" aboveAverage="0" equalAverage="0" bottom="0" percent="0" rank="0" text="" dxfId="1162">
      <formula>#ref!=1</formula>
    </cfRule>
    <cfRule type="expression" priority="1131" aboveAverage="0" equalAverage="0" bottom="0" percent="0" rank="0" text="" dxfId="1163">
      <formula>AND($L89="X",OR($B89&lt;&gt;"",$C89&lt;&gt;"",$E89&lt;&gt;"",#ref!&lt;&gt;""))</formula>
    </cfRule>
    <cfRule type="expression" priority="1132" aboveAverage="0" equalAverage="0" bottom="0" percent="0" rank="0" text="" dxfId="1164">
      <formula>AND($L89="X",OR($B89&lt;&gt;"",$C89&lt;&gt;""))</formula>
    </cfRule>
  </conditionalFormatting>
  <conditionalFormatting sqref="E90:E91 E174">
    <cfRule type="expression" priority="1133" aboveAverage="0" equalAverage="0" bottom="0" percent="0" rank="0" text="" dxfId="1165">
      <formula>AND($L90="X",OR($B90&lt;&gt;"",$D90&lt;&gt;"",#ref!&lt;&gt;""))</formula>
    </cfRule>
  </conditionalFormatting>
  <conditionalFormatting sqref="E92">
    <cfRule type="expression" priority="1134" aboveAverage="0" equalAverage="0" bottom="0" percent="0" rank="0" text="" dxfId="1166">
      <formula>AND($L92="X",OR($B92&lt;&gt;"",#ref!&lt;&gt;"",$C92&lt;&gt;"",$D92&lt;&gt;""))</formula>
    </cfRule>
    <cfRule type="expression" priority="1135" aboveAverage="0" equalAverage="0" bottom="0" percent="0" rank="0" text="" dxfId="1167">
      <formula>AND($L92="X",OR($B92&lt;&gt;"",$C92&lt;&gt;"",$D92&lt;&gt;"",$E92&lt;&gt;""))</formula>
    </cfRule>
  </conditionalFormatting>
  <conditionalFormatting sqref="E93">
    <cfRule type="expression" priority="1136" aboveAverage="0" equalAverage="0" bottom="0" percent="0" rank="0" text="" dxfId="1168">
      <formula>AND($L93="X",OR($B93&lt;&gt;"",#ref!&lt;&gt;"",$C93&lt;&gt;""))</formula>
    </cfRule>
    <cfRule type="expression" priority="1137" aboveAverage="0" equalAverage="0" bottom="0" percent="0" rank="0" text="" dxfId="1169">
      <formula>AND($L93="X",OR($B93&lt;&gt;"",$C93&lt;&gt;"",$D93&lt;&gt;""))</formula>
    </cfRule>
    <cfRule type="expression" priority="1138" aboveAverage="0" equalAverage="0" bottom="0" percent="0" rank="0" text="" dxfId="1170">
      <formula>AND($L93="X",OR($B93&lt;&gt;"",$C93&lt;&gt;"",$D93&lt;&gt;"",$E93&lt;&gt;""))</formula>
    </cfRule>
    <cfRule type="expression" priority="1139" aboveAverage="0" equalAverage="0" bottom="0" percent="0" rank="0" text="" dxfId="1171">
      <formula>AND($L93="X",OR($B93&lt;&gt;"",$C93&lt;&gt;"",$E93&lt;&gt;"",#ref!&lt;&gt;""))</formula>
    </cfRule>
    <cfRule type="expression" priority="1140" aboveAverage="0" equalAverage="0" bottom="0" percent="0" rank="0" text="" dxfId="1172">
      <formula>#ref!=1</formula>
    </cfRule>
    <cfRule type="expression" priority="1141" aboveAverage="0" equalAverage="0" bottom="0" percent="0" rank="0" text="" dxfId="1173">
      <formula>AND($L93="X",OR($B93&lt;&gt;"",$C93&lt;&gt;"",$D93&lt;&gt;""))</formula>
    </cfRule>
    <cfRule type="expression" priority="1142" aboveAverage="0" equalAverage="0" bottom="0" percent="0" rank="0" text="" dxfId="1174">
      <formula>AND($L93="X",OR($B93&lt;&gt;"",$C93&lt;&gt;"",$D93&lt;&gt;"",$E93&lt;&gt;""))</formula>
    </cfRule>
    <cfRule type="expression" priority="1143" aboveAverage="0" equalAverage="0" bottom="0" percent="0" rank="0" text="" dxfId="1175">
      <formula>AND(#ref!=1,#ref!=1)</formula>
    </cfRule>
    <cfRule type="expression" priority="1144" aboveAverage="0" equalAverage="0" bottom="0" percent="0" rank="0" text="" dxfId="1176">
      <formula>#ref!=1</formula>
    </cfRule>
    <cfRule type="expression" priority="1145" aboveAverage="0" equalAverage="0" bottom="0" percent="0" rank="0" text="" dxfId="1177">
      <formula>#ref!=1</formula>
    </cfRule>
    <cfRule type="expression" priority="1146" aboveAverage="0" equalAverage="0" bottom="0" percent="0" rank="0" text="" dxfId="1178">
      <formula>AND($L93="X",OR($B93&lt;&gt;"",$C93&lt;&gt;"",$E93&lt;&gt;"",#ref!&lt;&gt;""))</formula>
    </cfRule>
    <cfRule type="expression" priority="1147" aboveAverage="0" equalAverage="0" bottom="0" percent="0" rank="0" text="" dxfId="1179">
      <formula>AND($L93="X",OR($B93&lt;&gt;"",$C93&lt;&gt;""))</formula>
    </cfRule>
    <cfRule type="expression" priority="1148" aboveAverage="0" equalAverage="0" bottom="0" percent="0" rank="0" text="" dxfId="1180">
      <formula>AND($L93="X",OR($B93&lt;&gt;"",$C93&lt;&gt;"",$D93&lt;&gt;"",$E93&lt;&gt;""))</formula>
    </cfRule>
    <cfRule type="expression" priority="1149" aboveAverage="0" equalAverage="0" bottom="0" percent="0" rank="0" text="" dxfId="1181">
      <formula>AND(#ref!=1,#ref!=1)</formula>
    </cfRule>
    <cfRule type="expression" priority="1150" aboveAverage="0" equalAverage="0" bottom="0" percent="0" rank="0" text="" dxfId="1182">
      <formula>#ref!=1</formula>
    </cfRule>
    <cfRule type="expression" priority="1151" aboveAverage="0" equalAverage="0" bottom="0" percent="0" rank="0" text="" dxfId="1183">
      <formula>#ref!=1</formula>
    </cfRule>
    <cfRule type="expression" priority="1152" aboveAverage="0" equalAverage="0" bottom="0" percent="0" rank="0" text="" dxfId="1184">
      <formula>AND($L93="X",OR($B93&lt;&gt;"",$C93&lt;&gt;"",$E93&lt;&gt;"",#ref!&lt;&gt;""))</formula>
    </cfRule>
    <cfRule type="expression" priority="1153" aboveAverage="0" equalAverage="0" bottom="0" percent="0" rank="0" text="" dxfId="1185">
      <formula>#ref!=1</formula>
    </cfRule>
    <cfRule type="expression" priority="1154" aboveAverage="0" equalAverage="0" bottom="0" percent="0" rank="0" text="" dxfId="1186">
      <formula>AND($L93="X",OR($B93&lt;&gt;"",$C93&lt;&gt;"",$D93&lt;&gt;"",$E93&lt;&gt;""))</formula>
    </cfRule>
    <cfRule type="expression" priority="1155" aboveAverage="0" equalAverage="0" bottom="0" percent="0" rank="0" text="" dxfId="1187">
      <formula>AND(#ref!=1,#ref!=1)</formula>
    </cfRule>
    <cfRule type="expression" priority="1156" aboveAverage="0" equalAverage="0" bottom="0" percent="0" rank="0" text="" dxfId="1188">
      <formula>#ref!=1</formula>
    </cfRule>
    <cfRule type="expression" priority="1157" aboveAverage="0" equalAverage="0" bottom="0" percent="0" rank="0" text="" dxfId="1189">
      <formula>AND($L93="X",OR($B93&lt;&gt;"",$C93&lt;&gt;"",$E93&lt;&gt;"",#ref!&lt;&gt;""))</formula>
    </cfRule>
  </conditionalFormatting>
  <conditionalFormatting sqref="E97">
    <cfRule type="expression" priority="1158" aboveAverage="0" equalAverage="0" bottom="0" percent="0" rank="0" text="" dxfId="1190">
      <formula>AND($L97="X",OR($B97&lt;&gt;"",#ref!&lt;&gt;"",$C97&lt;&gt;""))</formula>
    </cfRule>
    <cfRule type="expression" priority="1159" aboveAverage="0" equalAverage="0" bottom="0" percent="0" rank="0" text="" dxfId="1191">
      <formula>AND($L97="X",OR($B97&lt;&gt;"",$C97&lt;&gt;"",$D97&lt;&gt;""))</formula>
    </cfRule>
    <cfRule type="expression" priority="1160" aboveAverage="0" equalAverage="0" bottom="0" percent="0" rank="0" text="" dxfId="1192">
      <formula>AND($L97="X",OR($B97&lt;&gt;"",$C97&lt;&gt;"",$D97&lt;&gt;"",$E97&lt;&gt;""))</formula>
    </cfRule>
    <cfRule type="expression" priority="1161" aboveAverage="0" equalAverage="0" bottom="0" percent="0" rank="0" text="" dxfId="1193">
      <formula>AND($L97="X",OR($B97&lt;&gt;"",$C97&lt;&gt;"",$E97&lt;&gt;"",#ref!&lt;&gt;""))</formula>
    </cfRule>
    <cfRule type="expression" priority="1162" aboveAverage="0" equalAverage="0" bottom="0" percent="0" rank="0" text="" dxfId="1194">
      <formula>#ref!=1</formula>
    </cfRule>
    <cfRule type="expression" priority="1163" aboveAverage="0" equalAverage="0" bottom="0" percent="0" rank="0" text="" dxfId="1195">
      <formula>AND($L97="X",OR($B97&lt;&gt;"",$C97&lt;&gt;"",$D97&lt;&gt;""))</formula>
    </cfRule>
    <cfRule type="expression" priority="1164" aboveAverage="0" equalAverage="0" bottom="0" percent="0" rank="0" text="" dxfId="1196">
      <formula>AND($L97="X",OR($B97&lt;&gt;"",$C97&lt;&gt;"",$D97&lt;&gt;"",$E97&lt;&gt;""))</formula>
    </cfRule>
    <cfRule type="expression" priority="1165" aboveAverage="0" equalAverage="0" bottom="0" percent="0" rank="0" text="" dxfId="1197">
      <formula>AND(#ref!=1,#ref!=1)</formula>
    </cfRule>
    <cfRule type="expression" priority="1166" aboveAverage="0" equalAverage="0" bottom="0" percent="0" rank="0" text="" dxfId="1198">
      <formula>#ref!=1</formula>
    </cfRule>
    <cfRule type="expression" priority="1167" aboveAverage="0" equalAverage="0" bottom="0" percent="0" rank="0" text="" dxfId="1199">
      <formula>#ref!=1</formula>
    </cfRule>
    <cfRule type="expression" priority="1168" aboveAverage="0" equalAverage="0" bottom="0" percent="0" rank="0" text="" dxfId="1200">
      <formula>AND($L97="X",OR($B97&lt;&gt;"",$C97&lt;&gt;"",$E97&lt;&gt;"",#ref!&lt;&gt;""))</formula>
    </cfRule>
    <cfRule type="expression" priority="1169" aboveAverage="0" equalAverage="0" bottom="0" percent="0" rank="0" text="" dxfId="1201">
      <formula>AND($L97="X",OR($B97&lt;&gt;"",$C97&lt;&gt;""))</formula>
    </cfRule>
    <cfRule type="expression" priority="1170" aboveAverage="0" equalAverage="0" bottom="0" percent="0" rank="0" text="" dxfId="1202">
      <formula>AND($L97="X",OR($B97&lt;&gt;"",$C97&lt;&gt;"",$D97&lt;&gt;"",$E97&lt;&gt;""))</formula>
    </cfRule>
    <cfRule type="expression" priority="1171" aboveAverage="0" equalAverage="0" bottom="0" percent="0" rank="0" text="" dxfId="1203">
      <formula>AND(#ref!=1,#ref!=1)</formula>
    </cfRule>
    <cfRule type="expression" priority="1172" aboveAverage="0" equalAverage="0" bottom="0" percent="0" rank="0" text="" dxfId="1204">
      <formula>#ref!=1</formula>
    </cfRule>
    <cfRule type="expression" priority="1173" aboveAverage="0" equalAverage="0" bottom="0" percent="0" rank="0" text="" dxfId="1205">
      <formula>#ref!=1</formula>
    </cfRule>
    <cfRule type="expression" priority="1174" aboveAverage="0" equalAverage="0" bottom="0" percent="0" rank="0" text="" dxfId="1206">
      <formula>AND($L97="X",OR($B97&lt;&gt;"",$C97&lt;&gt;"",$E97&lt;&gt;"",#ref!&lt;&gt;""))</formula>
    </cfRule>
    <cfRule type="expression" priority="1175" aboveAverage="0" equalAverage="0" bottom="0" percent="0" rank="0" text="" dxfId="1207">
      <formula>#ref!=1</formula>
    </cfRule>
  </conditionalFormatting>
  <conditionalFormatting sqref="E102">
    <cfRule type="expression" priority="1176" aboveAverage="0" equalAverage="0" bottom="0" percent="0" rank="0" text="" dxfId="1208">
      <formula>AND($L102="X",OR($B102&lt;&gt;"",#ref!&lt;&gt;"",$C102&lt;&gt;""))</formula>
    </cfRule>
    <cfRule type="expression" priority="1177" aboveAverage="0" equalAverage="0" bottom="0" percent="0" rank="0" text="" dxfId="1209">
      <formula>AND($L102="X",OR($B102&lt;&gt;"",$C102&lt;&gt;"",$D102&lt;&gt;""))</formula>
    </cfRule>
    <cfRule type="expression" priority="1178" aboveAverage="0" equalAverage="0" bottom="0" percent="0" rank="0" text="" dxfId="1210">
      <formula>AND($L102="X",OR($B102&lt;&gt;"",$C102&lt;&gt;"",$D102&lt;&gt;"",$E102&lt;&gt;""))</formula>
    </cfRule>
    <cfRule type="expression" priority="1179" aboveAverage="0" equalAverage="0" bottom="0" percent="0" rank="0" text="" dxfId="1211">
      <formula>AND($L102="X",OR($B102&lt;&gt;"",$C102&lt;&gt;"",$E102&lt;&gt;"",#ref!&lt;&gt;""))</formula>
    </cfRule>
    <cfRule type="expression" priority="1180" aboveAverage="0" equalAverage="0" bottom="0" percent="0" rank="0" text="" dxfId="1212">
      <formula>#ref!=1</formula>
    </cfRule>
    <cfRule type="expression" priority="1181" aboveAverage="0" equalAverage="0" bottom="0" percent="0" rank="0" text="" dxfId="1213">
      <formula>AND($L102="X",OR($B102&lt;&gt;"",$C102&lt;&gt;"",$D102&lt;&gt;""))</formula>
    </cfRule>
    <cfRule type="expression" priority="1182" aboveAverage="0" equalAverage="0" bottom="0" percent="0" rank="0" text="" dxfId="1214">
      <formula>AND($L102="X",OR($B102&lt;&gt;"",$C102&lt;&gt;"",$D102&lt;&gt;"",$E102&lt;&gt;""))</formula>
    </cfRule>
    <cfRule type="expression" priority="1183" aboveAverage="0" equalAverage="0" bottom="0" percent="0" rank="0" text="" dxfId="1215">
      <formula>AND(#ref!=1,#ref!=1)</formula>
    </cfRule>
    <cfRule type="expression" priority="1184" aboveAverage="0" equalAverage="0" bottom="0" percent="0" rank="0" text="" dxfId="1216">
      <formula>#ref!=1</formula>
    </cfRule>
    <cfRule type="expression" priority="1185" aboveAverage="0" equalAverage="0" bottom="0" percent="0" rank="0" text="" dxfId="1217">
      <formula>#ref!=1</formula>
    </cfRule>
    <cfRule type="expression" priority="1186" aboveAverage="0" equalAverage="0" bottom="0" percent="0" rank="0" text="" dxfId="1218">
      <formula>AND($L102="X",OR($B102&lt;&gt;"",$C102&lt;&gt;"",$E102&lt;&gt;"",#ref!&lt;&gt;""))</formula>
    </cfRule>
    <cfRule type="expression" priority="1187" aboveAverage="0" equalAverage="0" bottom="0" percent="0" rank="0" text="" dxfId="1219">
      <formula>AND($L102="X",OR($B102&lt;&gt;"",$C102&lt;&gt;""))</formula>
    </cfRule>
  </conditionalFormatting>
  <conditionalFormatting sqref="E106:E108">
    <cfRule type="expression" priority="1188" aboveAverage="0" equalAverage="0" bottom="0" percent="0" rank="0" text="" dxfId="1220">
      <formula>AND($L106="X",OR($B106&lt;&gt;"",#ref!&lt;&gt;"",$C106&lt;&gt;"",$D106&lt;&gt;""))</formula>
    </cfRule>
    <cfRule type="expression" priority="1189" aboveAverage="0" equalAverage="0" bottom="0" percent="0" rank="0" text="" dxfId="1221">
      <formula>AND($L106="X",OR($B106&lt;&gt;"",$C106&lt;&gt;"",$D106&lt;&gt;"",$E106&lt;&gt;""))</formula>
    </cfRule>
  </conditionalFormatting>
  <conditionalFormatting sqref="E112">
    <cfRule type="expression" priority="1190" aboveAverage="0" equalAverage="0" bottom="0" percent="0" rank="0" text="" dxfId="1222">
      <formula>AND($L112="X",OR($B112&lt;&gt;"",#ref!&lt;&gt;"",$C112&lt;&gt;""))</formula>
    </cfRule>
    <cfRule type="expression" priority="1191" aboveAverage="0" equalAverage="0" bottom="0" percent="0" rank="0" text="" dxfId="1223">
      <formula>AND($L112="X",OR($B112&lt;&gt;"",$C112&lt;&gt;"",$D112&lt;&gt;""))</formula>
    </cfRule>
    <cfRule type="expression" priority="1192" aboveAverage="0" equalAverage="0" bottom="0" percent="0" rank="0" text="" dxfId="1224">
      <formula>AND($L112="X",OR($B112&lt;&gt;"",$C112&lt;&gt;"",$D112&lt;&gt;"",$E112&lt;&gt;""))</formula>
    </cfRule>
    <cfRule type="expression" priority="1193" aboveAverage="0" equalAverage="0" bottom="0" percent="0" rank="0" text="" dxfId="1225">
      <formula>AND($L112="X",OR($B112&lt;&gt;"",$C112&lt;&gt;"",$E112&lt;&gt;"",#ref!&lt;&gt;""))</formula>
    </cfRule>
    <cfRule type="expression" priority="1194" aboveAverage="0" equalAverage="0" bottom="0" percent="0" rank="0" text="" dxfId="1226">
      <formula>#ref!=1</formula>
    </cfRule>
    <cfRule type="expression" priority="1195" aboveAverage="0" equalAverage="0" bottom="0" percent="0" rank="0" text="" dxfId="1227">
      <formula>AND($L112="X",OR($B112&lt;&gt;"",$C112&lt;&gt;"",$D112&lt;&gt;"",$E112&lt;&gt;""))</formula>
    </cfRule>
    <cfRule type="expression" priority="1196" aboveAverage="0" equalAverage="0" bottom="0" percent="0" rank="0" text="" dxfId="1228">
      <formula>AND(#ref!=1,#ref!=1)</formula>
    </cfRule>
    <cfRule type="expression" priority="1197" aboveAverage="0" equalAverage="0" bottom="0" percent="0" rank="0" text="" dxfId="1229">
      <formula>#ref!=1</formula>
    </cfRule>
    <cfRule type="expression" priority="1198" aboveAverage="0" equalAverage="0" bottom="0" percent="0" rank="0" text="" dxfId="1230">
      <formula>#ref!=1</formula>
    </cfRule>
    <cfRule type="expression" priority="1199" aboveAverage="0" equalAverage="0" bottom="0" percent="0" rank="0" text="" dxfId="1231">
      <formula>AND($L112="X",OR($B112&lt;&gt;"",$C112&lt;&gt;"",$E112&lt;&gt;"",#ref!&lt;&gt;""))</formula>
    </cfRule>
  </conditionalFormatting>
  <conditionalFormatting sqref="E114">
    <cfRule type="expression" priority="1200" aboveAverage="0" equalAverage="0" bottom="0" percent="0" rank="0" text="" dxfId="1232">
      <formula>AND($L114="X",OR($B114&lt;&gt;"",#ref!&lt;&gt;"",$C114&lt;&gt;"",$D114&lt;&gt;""))</formula>
    </cfRule>
    <cfRule type="expression" priority="1201" aboveAverage="0" equalAverage="0" bottom="0" percent="0" rank="0" text="" dxfId="1233">
      <formula>AND($L114="X",OR($B114&lt;&gt;"",$C114&lt;&gt;"",$D114&lt;&gt;"",$E114&lt;&gt;""))</formula>
    </cfRule>
    <cfRule type="expression" priority="1202" aboveAverage="0" equalAverage="0" bottom="0" percent="0" rank="0" text="" dxfId="1234">
      <formula>AND($L114="X",OR($B114&lt;&gt;"",$C114&lt;&gt;"",$E114&lt;&gt;"",#ref!&lt;&gt;""))</formula>
    </cfRule>
    <cfRule type="expression" priority="1203" aboveAverage="0" equalAverage="0" bottom="0" percent="0" rank="0" text="" dxfId="1235">
      <formula>AND($L114="X",OR(#ref!&lt;&gt;"",$B114&lt;&gt;"",$C114&lt;&gt;""))</formula>
    </cfRule>
  </conditionalFormatting>
  <conditionalFormatting sqref="E122">
    <cfRule type="expression" priority="1204" aboveAverage="0" equalAverage="0" bottom="0" percent="0" rank="0" text="" dxfId="1236">
      <formula>AND($L122="X",OR($B122&lt;&gt;"",#ref!&lt;&gt;"",$C122&lt;&gt;"",$D122&lt;&gt;"",$F122&lt;&gt;""))</formula>
    </cfRule>
    <cfRule type="expression" priority="1205" aboveAverage="0" equalAverage="0" bottom="0" percent="0" rank="0" text="" dxfId="1237">
      <formula>AND($L122="X",OR($B122&lt;&gt;"",#ref!&lt;&gt;"",$C122&lt;&gt;"",$D122&lt;&gt;""))</formula>
    </cfRule>
    <cfRule type="expression" priority="1206" aboveAverage="0" equalAverage="0" bottom="0" percent="0" rank="0" text="" dxfId="1238">
      <formula>AND($L122="X",OR($B122&lt;&gt;"",$C122&lt;&gt;"",$D122&lt;&gt;"",$E122&lt;&gt;"",$F122&lt;&gt;""))</formula>
    </cfRule>
    <cfRule type="expression" priority="1207" aboveAverage="0" equalAverage="0" bottom="0" percent="0" rank="0" text="" dxfId="1239">
      <formula>AND($L122="X",OR($B122&lt;&gt;"",$C122&lt;&gt;"",$E122&lt;&gt;"",#ref!&lt;&gt;"",$F122&lt;&gt;""))</formula>
    </cfRule>
    <cfRule type="expression" priority="1208" aboveAverage="0" equalAverage="0" bottom="0" percent="0" rank="0" text="" dxfId="1240">
      <formula>AND($L122="X",OR($B122&lt;&gt;"",$C122&lt;&gt;"",$E122&lt;&gt;"",#ref!&lt;&gt;""))</formula>
    </cfRule>
    <cfRule type="expression" priority="1209" aboveAverage="0" equalAverage="0" bottom="0" percent="0" rank="0" text="" dxfId="1241">
      <formula>AND($L122="X",OR($B122&lt;&gt;"",$C122&lt;&gt;"",$D122&lt;&gt;"",$E122&lt;&gt;""))</formula>
    </cfRule>
  </conditionalFormatting>
  <conditionalFormatting sqref="E123">
    <cfRule type="expression" priority="1210" aboveAverage="0" equalAverage="0" bottom="0" percent="0" rank="0" text="" dxfId="1242">
      <formula>AND($L123="X",OR($B123&lt;&gt;"",$C123&lt;&gt;"",$D123&lt;&gt;"",$E123&lt;&gt;""))</formula>
    </cfRule>
    <cfRule type="expression" priority="1211" aboveAverage="0" equalAverage="0" bottom="0" percent="0" rank="0" text="" dxfId="1243">
      <formula>AND($L123="X",OR($B123&lt;&gt;"",$C123&lt;&gt;"",$E123&lt;&gt;"",#ref!&lt;&gt;""))</formula>
    </cfRule>
    <cfRule type="expression" priority="1212" aboveAverage="0" equalAverage="0" bottom="0" percent="0" rank="0" text="" dxfId="1244">
      <formula>#ref!=1</formula>
    </cfRule>
    <cfRule type="expression" priority="1213" aboveAverage="0" equalAverage="0" bottom="0" percent="0" rank="0" text="" dxfId="1245">
      <formula>AND($L123="X",OR($B123&lt;&gt;"",$C123&lt;&gt;"",$D123&lt;&gt;""))</formula>
    </cfRule>
  </conditionalFormatting>
  <conditionalFormatting sqref="E124">
    <cfRule type="expression" priority="1214" aboveAverage="0" equalAverage="0" bottom="0" percent="0" rank="0" text="" dxfId="1246">
      <formula>AND($L124="X",OR($B124&lt;&gt;"",#ref!&lt;&gt;"",$C124&lt;&gt;"",$D124&lt;&gt;""))</formula>
    </cfRule>
    <cfRule type="expression" priority="1215" aboveAverage="0" equalAverage="0" bottom="0" percent="0" rank="0" text="" dxfId="1247">
      <formula>AND($L124="X",OR($B124&lt;&gt;"",$C124&lt;&gt;"",$D124&lt;&gt;"",$E124&lt;&gt;""))</formula>
    </cfRule>
    <cfRule type="expression" priority="1216" aboveAverage="0" equalAverage="0" bottom="0" percent="0" rank="0" text="" dxfId="1248">
      <formula>AND($L124="X",OR($B124&lt;&gt;"",$C124&lt;&gt;"",$E124&lt;&gt;"",#ref!&lt;&gt;""))</formula>
    </cfRule>
  </conditionalFormatting>
  <conditionalFormatting sqref="E125">
    <cfRule type="expression" priority="1217" aboveAverage="0" equalAverage="0" bottom="0" percent="0" rank="0" text="" dxfId="1249">
      <formula>AND($L125="X",OR($B125&lt;&gt;"",#ref!&lt;&gt;"",$C125&lt;&gt;""))</formula>
    </cfRule>
    <cfRule type="expression" priority="1218" aboveAverage="0" equalAverage="0" bottom="0" percent="0" rank="0" text="" dxfId="1250">
      <formula>AND($L125="X",OR($B125&lt;&gt;"",$C125&lt;&gt;"",$D125&lt;&gt;""))</formula>
    </cfRule>
    <cfRule type="expression" priority="1219" aboveAverage="0" equalAverage="0" bottom="0" percent="0" rank="0" text="" dxfId="1251">
      <formula>AND($L125="X",OR($B125&lt;&gt;"",$C125&lt;&gt;"",$D125&lt;&gt;"",$E125&lt;&gt;""))</formula>
    </cfRule>
    <cfRule type="expression" priority="1220" aboveAverage="0" equalAverage="0" bottom="0" percent="0" rank="0" text="" dxfId="1252">
      <formula>AND($L125="X",OR($B125&lt;&gt;"",$C125&lt;&gt;"",$E125&lt;&gt;"",#ref!&lt;&gt;""))</formula>
    </cfRule>
    <cfRule type="expression" priority="1221" aboveAverage="0" equalAverage="0" bottom="0" percent="0" rank="0" text="" dxfId="1253">
      <formula>#ref!=1</formula>
    </cfRule>
  </conditionalFormatting>
  <conditionalFormatting sqref="E128 D157">
    <cfRule type="expression" priority="1222" aboveAverage="0" equalAverage="0" bottom="0" percent="0" rank="0" text="" dxfId="1254">
      <formula>AND($L128="X",OR($B128&lt;&gt;"",#ref!&lt;&gt;"",$C128&lt;&gt;""))</formula>
    </cfRule>
  </conditionalFormatting>
  <conditionalFormatting sqref="E129">
    <cfRule type="expression" priority="1223" aboveAverage="0" equalAverage="0" bottom="0" percent="0" rank="0" text="" dxfId="1255">
      <formula>AND($L129="X",OR($B129&lt;&gt;"",$C129&lt;&gt;""))</formula>
    </cfRule>
    <cfRule type="expression" priority="1224" aboveAverage="0" equalAverage="0" bottom="0" percent="0" rank="0" text="" dxfId="1256">
      <formula>AND(#ref!=1,#ref!=1)</formula>
    </cfRule>
    <cfRule type="expression" priority="1225" aboveAverage="0" equalAverage="0" bottom="0" percent="0" rank="0" text="" dxfId="1257">
      <formula>#ref!=1</formula>
    </cfRule>
  </conditionalFormatting>
  <conditionalFormatting sqref="E140">
    <cfRule type="expression" priority="1226" aboveAverage="0" equalAverage="0" bottom="0" percent="0" rank="0" text="" dxfId="1258">
      <formula>AND($L140="X",OR($B140&lt;&gt;"",$C140&lt;&gt;"",$D140&lt;&gt;"",$E140&lt;&gt;""))</formula>
    </cfRule>
    <cfRule type="expression" priority="1227" aboveAverage="0" equalAverage="0" bottom="0" percent="0" rank="0" text="" dxfId="1259">
      <formula>AND($L140="X",OR($B140&lt;&gt;"",#ref!&lt;&gt;"",$C140&lt;&gt;"",$D140&lt;&gt;""))</formula>
    </cfRule>
    <cfRule type="expression" priority="1228" aboveAverage="0" equalAverage="0" bottom="0" percent="0" rank="0" text="" dxfId="1260">
      <formula>AND(#ref!=1,#ref!=1)</formula>
    </cfRule>
    <cfRule type="expression" priority="1229" aboveAverage="0" equalAverage="0" bottom="0" percent="0" rank="0" text="" dxfId="1261">
      <formula>#ref!=1</formula>
    </cfRule>
    <cfRule type="expression" priority="1230" aboveAverage="0" equalAverage="0" bottom="0" percent="0" rank="0" text="" dxfId="1262">
      <formula>#ref!=1</formula>
    </cfRule>
    <cfRule type="expression" priority="1231" aboveAverage="0" equalAverage="0" bottom="0" percent="0" rank="0" text="" dxfId="1263">
      <formula>AND($L140="X",OR($B140&lt;&gt;"",$C140&lt;&gt;""))</formula>
    </cfRule>
    <cfRule type="expression" priority="1232" aboveAverage="0" equalAverage="0" bottom="0" percent="0" rank="0" text="" dxfId="1264">
      <formula>AND(#ref!=1,#ref!=1)</formula>
    </cfRule>
    <cfRule type="expression" priority="1233" aboveAverage="0" equalAverage="0" bottom="0" percent="0" rank="0" text="" dxfId="1265">
      <formula>#ref!=1</formula>
    </cfRule>
    <cfRule type="expression" priority="1234" aboveAverage="0" equalAverage="0" bottom="0" percent="0" rank="0" text="" dxfId="1266">
      <formula>#ref!=1</formula>
    </cfRule>
    <cfRule type="expression" priority="1235" aboveAverage="0" equalAverage="0" bottom="0" percent="0" rank="0" text="" dxfId="1267">
      <formula>AND($L140="X",OR($B140&lt;&gt;"",$C140&lt;&gt;""))</formula>
    </cfRule>
    <cfRule type="expression" priority="1236" aboveAverage="0" equalAverage="0" bottom="0" percent="0" rank="0" text="" dxfId="1268">
      <formula>AND(#ref!=1,#ref!=1)</formula>
    </cfRule>
    <cfRule type="expression" priority="1237" aboveAverage="0" equalAverage="0" bottom="0" percent="0" rank="0" text="" dxfId="1269">
      <formula>#ref!=1</formula>
    </cfRule>
    <cfRule type="expression" priority="1238" aboveAverage="0" equalAverage="0" bottom="0" percent="0" rank="0" text="" dxfId="1270">
      <formula>#ref!=1</formula>
    </cfRule>
    <cfRule type="expression" priority="1239" aboveAverage="0" equalAverage="0" bottom="0" percent="0" rank="0" text="" dxfId="1271">
      <formula>AND($L140="X",OR($B140&lt;&gt;"",$C140&lt;&gt;""))</formula>
    </cfRule>
    <cfRule type="expression" priority="1240" aboveAverage="0" equalAverage="0" bottom="0" percent="0" rank="0" text="" dxfId="1272">
      <formula>AND(#ref!=1,#ref!=1)</formula>
    </cfRule>
    <cfRule type="expression" priority="1241" aboveAverage="0" equalAverage="0" bottom="0" percent="0" rank="0" text="" dxfId="1273">
      <formula>#ref!=1</formula>
    </cfRule>
    <cfRule type="expression" priority="1242" aboveAverage="0" equalAverage="0" bottom="0" percent="0" rank="0" text="" dxfId="1274">
      <formula>#ref!=1</formula>
    </cfRule>
    <cfRule type="expression" priority="1243" aboveAverage="0" equalAverage="0" bottom="0" percent="0" rank="0" text="" dxfId="1275">
      <formula>AND($L140="X",OR($B140&lt;&gt;"",$C140&lt;&gt;""))</formula>
    </cfRule>
    <cfRule type="expression" priority="1244" aboveAverage="0" equalAverage="0" bottom="0" percent="0" rank="0" text="" dxfId="1276">
      <formula>AND(#ref!=1,#ref!=1)</formula>
    </cfRule>
    <cfRule type="expression" priority="1245" aboveAverage="0" equalAverage="0" bottom="0" percent="0" rank="0" text="" dxfId="1277">
      <formula>#ref!=1</formula>
    </cfRule>
    <cfRule type="expression" priority="1246" aboveAverage="0" equalAverage="0" bottom="0" percent="0" rank="0" text="" dxfId="1278">
      <formula>#ref!=1</formula>
    </cfRule>
    <cfRule type="expression" priority="1247" aboveAverage="0" equalAverage="0" bottom="0" percent="0" rank="0" text="" dxfId="1279">
      <formula>AND($L140="X",OR($B140&lt;&gt;"",$C140&lt;&gt;""))</formula>
    </cfRule>
    <cfRule type="expression" priority="1248" aboveAverage="0" equalAverage="0" bottom="0" percent="0" rank="0" text="" dxfId="1280">
      <formula>AND(#ref!=1,#ref!=1)</formula>
    </cfRule>
    <cfRule type="expression" priority="1249" aboveAverage="0" equalAverage="0" bottom="0" percent="0" rank="0" text="" dxfId="1281">
      <formula>#ref!=1</formula>
    </cfRule>
    <cfRule type="expression" priority="1250" aboveAverage="0" equalAverage="0" bottom="0" percent="0" rank="0" text="" dxfId="1282">
      <formula>#ref!=1</formula>
    </cfRule>
    <cfRule type="expression" priority="1251" aboveAverage="0" equalAverage="0" bottom="0" percent="0" rank="0" text="" dxfId="1283">
      <formula>AND($L140="X",OR($B140&lt;&gt;"",$C140&lt;&gt;""))</formula>
    </cfRule>
    <cfRule type="expression" priority="1252" aboveAverage="0" equalAverage="0" bottom="0" percent="0" rank="0" text="" dxfId="1284">
      <formula>AND(#ref!=1,#ref!=1)</formula>
    </cfRule>
    <cfRule type="expression" priority="1253" aboveAverage="0" equalAverage="0" bottom="0" percent="0" rank="0" text="" dxfId="1285">
      <formula>#ref!=1</formula>
    </cfRule>
    <cfRule type="expression" priority="1254" aboveAverage="0" equalAverage="0" bottom="0" percent="0" rank="0" text="" dxfId="1286">
      <formula>#ref!=1</formula>
    </cfRule>
    <cfRule type="expression" priority="1255" aboveAverage="0" equalAverage="0" bottom="0" percent="0" rank="0" text="" dxfId="1287">
      <formula>AND(NOT(ISBLANK($P140)),ISBLANK(#ref!),ISBLANK(#ref!))</formula>
    </cfRule>
    <cfRule type="expression" priority="1256" aboveAverage="0" equalAverage="0" bottom="0" percent="0" rank="0" text="" dxfId="1288">
      <formula>OR(#ref!="X",#ref!="X")</formula>
    </cfRule>
    <cfRule type="expression" priority="1257" aboveAverage="0" equalAverage="0" bottom="0" percent="0" rank="0" text="" dxfId="1289">
      <formula>AND(#ref!=1,#ref!=1)</formula>
    </cfRule>
    <cfRule type="expression" priority="1258" aboveAverage="0" equalAverage="0" bottom="0" percent="0" rank="0" text="" dxfId="1290">
      <formula>#ref!=1</formula>
    </cfRule>
    <cfRule type="expression" priority="1259" aboveAverage="0" equalAverage="0" bottom="0" percent="0" rank="0" text="" dxfId="1291">
      <formula>#ref!=1</formula>
    </cfRule>
    <cfRule type="expression" priority="1260" aboveAverage="0" equalAverage="0" bottom="0" percent="0" rank="0" text="" dxfId="1292">
      <formula>AND($L140="X",OR($B140&lt;&gt;"",$C140&lt;&gt;"",$D140&lt;&gt;""))</formula>
    </cfRule>
    <cfRule type="expression" priority="1261" aboveAverage="0" equalAverage="0" bottom="0" percent="0" rank="0" text="" dxfId="1293">
      <formula>OR(#ref!="X",#ref!="X")</formula>
    </cfRule>
    <cfRule type="expression" priority="1262" aboveAverage="0" equalAverage="0" bottom="0" percent="0" rank="0" text="" dxfId="1294">
      <formula>AND(#ref!=1,#ref!=1)</formula>
    </cfRule>
    <cfRule type="expression" priority="1263" aboveAverage="0" equalAverage="0" bottom="0" percent="0" rank="0" text="" dxfId="1295">
      <formula>AND($L140="X",OR($B140&lt;&gt;"",$C140&lt;&gt;"",$D140&lt;&gt;"",$E140&lt;&gt;""))</formula>
    </cfRule>
    <cfRule type="expression" priority="1264" aboveAverage="0" equalAverage="0" bottom="0" percent="0" rank="0" text="" dxfId="1296">
      <formula>AND($L140="X",OR($B140&lt;&gt;"",$C140&lt;&gt;"",$E140&lt;&gt;"",#ref!&lt;&gt;""))</formula>
    </cfRule>
    <cfRule type="expression" priority="1265" aboveAverage="0" equalAverage="0" bottom="0" percent="0" rank="0" text="" dxfId="1297">
      <formula>#ref!=1</formula>
    </cfRule>
  </conditionalFormatting>
  <conditionalFormatting sqref="E140:E141 E128:E133 E9:E28 F135:F136 E137 G138:G139 E143:E161 D157">
    <cfRule type="expression" priority="1266" aboveAverage="0" equalAverage="0" bottom="0" percent="0" rank="0" text="" dxfId="1298">
      <formula>AND($L9="X",OR($B9&lt;&gt;"",$C9&lt;&gt;"",$D9&lt;&gt;""))</formula>
    </cfRule>
  </conditionalFormatting>
  <conditionalFormatting sqref="E140:E141">
    <cfRule type="expression" priority="1267" aboveAverage="0" equalAverage="0" bottom="0" percent="0" rank="0" text="" dxfId="1299">
      <formula>OR(#ref!="X",#ref!="X")</formula>
    </cfRule>
    <cfRule type="expression" priority="1268" aboveAverage="0" equalAverage="0" bottom="0" percent="0" rank="0" text="" dxfId="1300">
      <formula>AND(#ref!=1,#ref!=1)</formula>
    </cfRule>
  </conditionalFormatting>
  <conditionalFormatting sqref="E141">
    <cfRule type="expression" priority="1269" aboveAverage="0" equalAverage="0" bottom="0" percent="0" rank="0" text="" dxfId="1301">
      <formula>AND($L141="X",OR($B141&lt;&gt;"",$C141&lt;&gt;"",$D141&lt;&gt;"",$E141&lt;&gt;""))</formula>
    </cfRule>
    <cfRule type="expression" priority="1270" aboveAverage="0" equalAverage="0" bottom="0" percent="0" rank="0" text="" dxfId="1302">
      <formula>AND($L141="X",OR($B141&lt;&gt;"",$C141&lt;&gt;"",$E141&lt;&gt;"",#ref!&lt;&gt;""))</formula>
    </cfRule>
    <cfRule type="expression" priority="1271" aboveAverage="0" equalAverage="0" bottom="0" percent="0" rank="0" text="" dxfId="1303">
      <formula>#ref!=1</formula>
    </cfRule>
  </conditionalFormatting>
  <conditionalFormatting sqref="E163:E165">
    <cfRule type="expression" priority="1272" aboveAverage="0" equalAverage="0" bottom="0" percent="0" rank="0" text="" dxfId="1304">
      <formula>OR(#ref!="X",#ref!="X")</formula>
    </cfRule>
    <cfRule type="expression" priority="1273" aboveAverage="0" equalAverage="0" bottom="0" percent="0" rank="0" text="" dxfId="1305">
      <formula>AND(#ref!=1,#ref!=1)</formula>
    </cfRule>
    <cfRule type="expression" priority="1274" aboveAverage="0" equalAverage="0" bottom="0" percent="0" rank="0" text="" dxfId="1306">
      <formula>#ref!=1</formula>
    </cfRule>
    <cfRule type="expression" priority="1275" aboveAverage="0" equalAverage="0" bottom="0" percent="0" rank="0" text="" dxfId="1307">
      <formula>#ref!=1</formula>
    </cfRule>
    <cfRule type="expression" priority="1276" aboveAverage="0" equalAverage="0" bottom="0" percent="0" rank="0" text="" dxfId="1308">
      <formula>AND(NOT(ISBLANK($P163)),ISBLANK(#ref!),ISBLANK(#ref!))</formula>
    </cfRule>
    <cfRule type="expression" priority="1277" aboveAverage="0" equalAverage="0" bottom="0" percent="0" rank="0" text="" dxfId="1309">
      <formula>AND($L163="X",OR(#ref!&lt;&gt;"",$B163&lt;&gt;"",$D163&lt;&gt;"",#ref!&lt;&gt;""))</formula>
    </cfRule>
  </conditionalFormatting>
  <conditionalFormatting sqref="E168">
    <cfRule type="expression" priority="1278" aboveAverage="0" equalAverage="0" bottom="0" percent="0" rank="0" text="" dxfId="1310">
      <formula>#ref!=1</formula>
    </cfRule>
    <cfRule type="expression" priority="1279" aboveAverage="0" equalAverage="0" bottom="0" percent="0" rank="0" text="" dxfId="1311">
      <formula>AND($L168="X",OR($B168&lt;&gt;"",$C168&lt;&gt;"",$D168&lt;&gt;"",$E168&lt;&gt;""))</formula>
    </cfRule>
    <cfRule type="expression" priority="1280" aboveAverage="0" equalAverage="0" bottom="0" percent="0" rank="0" text="" dxfId="1312">
      <formula>AND(#ref!=1,#ref!=1)</formula>
    </cfRule>
    <cfRule type="expression" priority="1281" aboveAverage="0" equalAverage="0" bottom="0" percent="0" rank="0" text="" dxfId="1313">
      <formula>#ref!=1</formula>
    </cfRule>
  </conditionalFormatting>
  <conditionalFormatting sqref="E174:E175">
    <cfRule type="expression" priority="1282" aboveAverage="0" equalAverage="0" bottom="0" percent="0" rank="0" text="" dxfId="1314">
      <formula>AND($L174="X",OR(#ref!&lt;&gt;"",$B174&lt;&gt;"",$D174&lt;&gt;""))</formula>
    </cfRule>
  </conditionalFormatting>
  <conditionalFormatting sqref="E177:E178">
    <cfRule type="expression" priority="1283" aboveAverage="0" equalAverage="0" bottom="0" percent="0" rank="0" text="" dxfId="1315">
      <formula>AND($L177="X",OR(#ref!&lt;&gt;"",$B177&lt;&gt;"",$C177&lt;&gt;""))</formula>
    </cfRule>
  </conditionalFormatting>
  <conditionalFormatting sqref="E179">
    <cfRule type="expression" priority="1284" aboveAverage="0" equalAverage="0" bottom="0" percent="0" rank="0" text="" dxfId="1316">
      <formula>AND($L179="X",OR($B179&lt;&gt;"",#ref!&lt;&gt;"",$C179&lt;&gt;"",$D179&lt;&gt;"",$F179&lt;&gt;""))</formula>
    </cfRule>
    <cfRule type="expression" priority="1285" aboveAverage="0" equalAverage="0" bottom="0" percent="0" rank="0" text="" dxfId="1317">
      <formula>AND($L179="X",OR($B179&lt;&gt;"",#ref!&lt;&gt;"",$C179&lt;&gt;"",$D179&lt;&gt;""))</formula>
    </cfRule>
  </conditionalFormatting>
  <conditionalFormatting sqref="E179:E181">
    <cfRule type="expression" priority="1286" aboveAverage="0" equalAverage="0" bottom="0" percent="0" rank="0" text="" dxfId="1318">
      <formula>AND(#ref!="X",OR(#ref!&lt;&gt;"",$B179&lt;&gt;"",$C179&lt;&gt;""))</formula>
    </cfRule>
  </conditionalFormatting>
  <conditionalFormatting sqref="E182">
    <cfRule type="expression" priority="1287" aboveAverage="0" equalAverage="0" bottom="0" percent="0" rank="0" text="" dxfId="1319">
      <formula>AND($L182="X",OR($B182&lt;&gt;"",#ref!&lt;&gt;"",$C182&lt;&gt;"",$D182&lt;&gt;""))</formula>
    </cfRule>
  </conditionalFormatting>
  <conditionalFormatting sqref="E188">
    <cfRule type="expression" priority="1288" aboveAverage="0" equalAverage="0" bottom="0" percent="0" rank="0" text="" dxfId="1320">
      <formula>AND($L188="X",OR($B188&lt;&gt;"",#ref!&lt;&gt;"",#ref!&lt;&gt;"",$C188&lt;&gt;""))</formula>
    </cfRule>
  </conditionalFormatting>
  <conditionalFormatting sqref="E189">
    <cfRule type="expression" priority="1289" aboveAverage="0" equalAverage="0" bottom="0" percent="0" rank="0" text="" dxfId="1321">
      <formula>AND($L189="X",OR($B189&lt;&gt;"",$C189&lt;&gt;"",#ref!&lt;&gt;""))</formula>
    </cfRule>
    <cfRule type="expression" priority="1290" aboveAverage="0" equalAverage="0" bottom="0" percent="0" rank="0" text="" dxfId="1322">
      <formula>AND($L189="X",OR($B189&lt;&gt;"",$C189&lt;&gt;"",$D189&lt;&gt;"",$E189&lt;&gt;""))</formula>
    </cfRule>
    <cfRule type="expression" priority="1291" aboveAverage="0" equalAverage="0" bottom="0" percent="0" rank="0" text="" dxfId="1323">
      <formula>AND($L189="X",OR($B189&lt;&gt;"",#ref!&lt;&gt;"",$C189&lt;&gt;"",$D189&lt;&gt;""))</formula>
    </cfRule>
    <cfRule type="expression" priority="1292" aboveAverage="0" equalAverage="0" bottom="0" percent="0" rank="0" text="" dxfId="1324">
      <formula>AND($L189="X",OR($B189&lt;&gt;"",#ref!&lt;&gt;"",$C189&lt;&gt;""))</formula>
    </cfRule>
  </conditionalFormatting>
  <conditionalFormatting sqref="E192">
    <cfRule type="expression" priority="1293" aboveAverage="0" equalAverage="0" bottom="0" percent="0" rank="0" text="" dxfId="1325">
      <formula>AND($L192="X",OR($B192&lt;&gt;"",$C192&lt;&gt;"",$D192&lt;&gt;""))</formula>
    </cfRule>
  </conditionalFormatting>
  <conditionalFormatting sqref="E18:F24 E30:E37 D34 E41:E88 E92:E93 E95:E125 F114:G114 D122 F122 F124:G125 F158 E166:E172 F167:G168 G173 E176 E194:E202">
    <cfRule type="expression" priority="1294" aboveAverage="0" equalAverage="0" bottom="0" percent="0" rank="0" text="" dxfId="1326">
      <formula>AND($L18="X",OR($B18&lt;&gt;"",$C18&lt;&gt;"",$D18&lt;&gt;""))</formula>
    </cfRule>
  </conditionalFormatting>
  <conditionalFormatting sqref="E18:F24 E30:F30 D34:E34">
    <cfRule type="expression" priority="1295" aboveAverage="0" equalAverage="0" bottom="0" percent="0" rank="0" text="" dxfId="1327">
      <formula>AND($L18="X",OR($B18&lt;&gt;"",#ref!&lt;&gt;"",$C18&lt;&gt;"",$D18&lt;&gt;""))</formula>
    </cfRule>
    <cfRule type="expression" priority="1296" aboveAverage="0" equalAverage="0" bottom="0" percent="0" rank="0" text="" dxfId="1328">
      <formula>AND($L18="X",OR($B18&lt;&gt;"",$C18&lt;&gt;"",$D18&lt;&gt;"",$E18&lt;&gt;""))</formula>
    </cfRule>
    <cfRule type="expression" priority="1297" aboveAverage="0" equalAverage="0" bottom="0" percent="0" rank="0" text="" dxfId="1329">
      <formula>AND($L18="X",OR($B18&lt;&gt;"",$C18&lt;&gt;""))</formula>
    </cfRule>
  </conditionalFormatting>
  <conditionalFormatting sqref="E30:F30 D34:E34">
    <cfRule type="expression" priority="1298" aboveAverage="0" equalAverage="0" bottom="0" percent="0" rank="0" text="" dxfId="1330">
      <formula>AND($L30="X",OR($B30&lt;&gt;"",$C30&lt;&gt;"",$D30&lt;&gt;""))</formula>
    </cfRule>
  </conditionalFormatting>
  <conditionalFormatting sqref="E114:F114">
    <cfRule type="expression" priority="1299" aboveAverage="0" equalAverage="0" bottom="0" percent="0" rank="0" text="" dxfId="1331">
      <formula>AND($L114="X",OR($B114&lt;&gt;"",#ref!&lt;&gt;"",$C114&lt;&gt;""))</formula>
    </cfRule>
    <cfRule type="expression" priority="1300" aboveAverage="0" equalAverage="0" bottom="0" percent="0" rank="0" text="" dxfId="1332">
      <formula>AND($L114="X",OR($B114&lt;&gt;"",$C114&lt;&gt;""))</formula>
    </cfRule>
    <cfRule type="expression" priority="1301" aboveAverage="0" equalAverage="0" bottom="0" percent="0" rank="0" text="" dxfId="1333">
      <formula>AND($L114="X",OR($B114&lt;&gt;"",$C114&lt;&gt;"",$D114&lt;&gt;""))</formula>
    </cfRule>
  </conditionalFormatting>
  <conditionalFormatting sqref="E122:F122">
    <cfRule type="expression" priority="1302" aboveAverage="0" equalAverage="0" bottom="0" percent="0" rank="0" text="" dxfId="1334">
      <formula>AND($L122="X",OR($B122&lt;&gt;"",$C122&lt;&gt;"",$D122&lt;&gt;"",$E122&lt;&gt;""))</formula>
    </cfRule>
    <cfRule type="expression" priority="1303" aboveAverage="0" equalAverage="0" bottom="0" percent="0" rank="0" text="" dxfId="1335">
      <formula>AND($L122="X",OR($B122&lt;&gt;"",$C122&lt;&gt;"",$E122&lt;&gt;"",#ref!&lt;&gt;""))</formula>
    </cfRule>
    <cfRule type="expression" priority="1304" aboveAverage="0" equalAverage="0" bottom="0" percent="0" rank="0" text="" dxfId="1336">
      <formula>#ref!=1</formula>
    </cfRule>
    <cfRule type="expression" priority="1305" aboveAverage="0" equalAverage="0" bottom="0" percent="0" rank="0" text="" dxfId="1337">
      <formula>AND($L122="X",OR($B122&lt;&gt;"",$C122&lt;&gt;"",$D122&lt;&gt;""))</formula>
    </cfRule>
    <cfRule type="expression" priority="1306" aboveAverage="0" equalAverage="0" bottom="0" percent="0" rank="0" text="" dxfId="1338">
      <formula>AND(#ref!=1,#ref!=1)</formula>
    </cfRule>
    <cfRule type="expression" priority="1307" aboveAverage="0" equalAverage="0" bottom="0" percent="0" rank="0" text="" dxfId="1339">
      <formula>#ref!=1</formula>
    </cfRule>
    <cfRule type="expression" priority="1308" aboveAverage="0" equalAverage="0" bottom="0" percent="0" rank="0" text="" dxfId="1340">
      <formula>AND($L122="X",OR($B122&lt;&gt;"",$C122&lt;&gt;"",$D122&lt;&gt;"",$E122&lt;&gt;"",$F122&lt;&gt;""))</formula>
    </cfRule>
  </conditionalFormatting>
  <conditionalFormatting sqref="E140:F140 F141 F128:F133 F9:F28 G129 F134:G134 F137 E142 F143:F161 E157">
    <cfRule type="expression" priority="1309" aboveAverage="0" equalAverage="0" bottom="0" percent="0" rank="0" text="" dxfId="1341">
      <formula>AND($L9="X",OR($B9&lt;&gt;"",$C9&lt;&gt;"",$D9&lt;&gt;"",$E9&lt;&gt;""))</formula>
    </cfRule>
  </conditionalFormatting>
  <conditionalFormatting sqref="E172:F172 E176:F176">
    <cfRule type="expression" priority="1310" aboveAverage="0" equalAverage="0" bottom="0" percent="0" rank="0" text="" dxfId="134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priority="1311" aboveAverage="0" equalAverage="0" bottom="0" percent="0" rank="0" text="" dxfId="1343">
      <formula>AND($L18="X",OR($B18&lt;&gt;"",#ref!&lt;&gt;"",$C18&lt;&gt;""))</formula>
    </cfRule>
  </conditionalFormatting>
  <conditionalFormatting sqref="E79:G79 D30:G30 E42:G42 D52:G52">
    <cfRule type="expression" priority="1312" aboveAverage="0" equalAverage="0" bottom="0" percent="0" rank="0" text="" dxfId="1344">
      <formula>AND($L30="X",OR($B30&lt;&gt;"",$C30&lt;&gt;"",$D30&lt;&gt;"",$E30&lt;&gt;""))</formula>
    </cfRule>
    <cfRule type="expression" priority="1313" aboveAverage="0" equalAverage="0" bottom="0" percent="0" rank="0" text="" dxfId="1345">
      <formula>AND($L30="X",OR($B30&lt;&gt;"",#ref!&lt;&gt;"",$C30&lt;&gt;"",$D30&lt;&gt;""))</formula>
    </cfRule>
  </conditionalFormatting>
  <conditionalFormatting sqref="E93:G93 E97:G97 E102:G102 E112:G112">
    <cfRule type="expression" priority="1314" aboveAverage="0" equalAverage="0" bottom="0" percent="0" rank="0" text="" dxfId="1346">
      <formula>AND(#ref!=1,#ref!=1)</formula>
    </cfRule>
    <cfRule type="expression" priority="1315" aboveAverage="0" equalAverage="0" bottom="0" percent="0" rank="0" text="" dxfId="1347">
      <formula>#ref!=1</formula>
    </cfRule>
    <cfRule type="expression" priority="1316" aboveAverage="0" equalAverage="0" bottom="0" percent="0" rank="0" text="" dxfId="1348">
      <formula>#ref!=1</formula>
    </cfRule>
    <cfRule type="expression" priority="1317" aboveAverage="0" equalAverage="0" bottom="0" percent="0" rank="0" text="" dxfId="1349">
      <formula>AND($L93="X",OR($B93&lt;&gt;"",$C93&lt;&gt;""))</formula>
    </cfRule>
    <cfRule type="expression" priority="1318" aboveAverage="0" equalAverage="0" bottom="0" percent="0" rank="0" text="" dxfId="1350">
      <formula>AND(#ref!=1,#ref!=1)</formula>
    </cfRule>
    <cfRule type="expression" priority="1319" aboveAverage="0" equalAverage="0" bottom="0" percent="0" rank="0" text="" dxfId="1351">
      <formula>#ref!=1</formula>
    </cfRule>
    <cfRule type="expression" priority="1320" aboveAverage="0" equalAverage="0" bottom="0" percent="0" rank="0" text="" dxfId="1352">
      <formula>#ref!=1</formula>
    </cfRule>
    <cfRule type="expression" priority="1321" aboveAverage="0" equalAverage="0" bottom="0" percent="0" rank="0" text="" dxfId="1353">
      <formula>AND($L93="X",OR($B93&lt;&gt;"",$C93&lt;&gt;""))</formula>
    </cfRule>
    <cfRule type="expression" priority="1322" aboveAverage="0" equalAverage="0" bottom="0" percent="0" rank="0" text="" dxfId="1354">
      <formula>AND(#ref!=1,#ref!=1)</formula>
    </cfRule>
    <cfRule type="expression" priority="1323" aboveAverage="0" equalAverage="0" bottom="0" percent="0" rank="0" text="" dxfId="1355">
      <formula>#ref!=1</formula>
    </cfRule>
    <cfRule type="expression" priority="1324" aboveAverage="0" equalAverage="0" bottom="0" percent="0" rank="0" text="" dxfId="1356">
      <formula>#ref!=1</formula>
    </cfRule>
    <cfRule type="expression" priority="1325" aboveAverage="0" equalAverage="0" bottom="0" percent="0" rank="0" text="" dxfId="1357">
      <formula>AND($L93="X",OR($B93&lt;&gt;"",$C93&lt;&gt;""))</formula>
    </cfRule>
    <cfRule type="expression" priority="1326" aboveAverage="0" equalAverage="0" bottom="0" percent="0" rank="0" text="" dxfId="1358">
      <formula>AND(#ref!=1,#ref!=1)</formula>
    </cfRule>
    <cfRule type="expression" priority="1327" aboveAverage="0" equalAverage="0" bottom="0" percent="0" rank="0" text="" dxfId="1359">
      <formula>#ref!=1</formula>
    </cfRule>
    <cfRule type="expression" priority="1328" aboveAverage="0" equalAverage="0" bottom="0" percent="0" rank="0" text="" dxfId="1360">
      <formula>#ref!=1</formula>
    </cfRule>
    <cfRule type="expression" priority="1329" aboveAverage="0" equalAverage="0" bottom="0" percent="0" rank="0" text="" dxfId="1361">
      <formula>AND($L93="X",OR($B93&lt;&gt;"",$C93&lt;&gt;""))</formula>
    </cfRule>
    <cfRule type="expression" priority="1330" aboveAverage="0" equalAverage="0" bottom="0" percent="0" rank="0" text="" dxfId="1362">
      <formula>AND(#ref!=1,#ref!=1)</formula>
    </cfRule>
    <cfRule type="expression" priority="1331" aboveAverage="0" equalAverage="0" bottom="0" percent="0" rank="0" text="" dxfId="1363">
      <formula>#ref!=1</formula>
    </cfRule>
    <cfRule type="expression" priority="1332" aboveAverage="0" equalAverage="0" bottom="0" percent="0" rank="0" text="" dxfId="1364">
      <formula>#ref!=1</formula>
    </cfRule>
    <cfRule type="expression" priority="1333" aboveAverage="0" equalAverage="0" bottom="0" percent="0" rank="0" text="" dxfId="1365">
      <formula>AND($L93="X",OR($B93&lt;&gt;"",$C93&lt;&gt;""))</formula>
    </cfRule>
    <cfRule type="expression" priority="1334" aboveAverage="0" equalAverage="0" bottom="0" percent="0" rank="0" text="" dxfId="1366">
      <formula>AND(#ref!=1,#ref!=1)</formula>
    </cfRule>
    <cfRule type="expression" priority="1335" aboveAverage="0" equalAverage="0" bottom="0" percent="0" rank="0" text="" dxfId="1367">
      <formula>#ref!=1</formula>
    </cfRule>
    <cfRule type="expression" priority="1336" aboveAverage="0" equalAverage="0" bottom="0" percent="0" rank="0" text="" dxfId="1368">
      <formula>#ref!=1</formula>
    </cfRule>
    <cfRule type="expression" priority="1337" aboveAverage="0" equalAverage="0" bottom="0" percent="0" rank="0" text="" dxfId="1369">
      <formula>AND($L93="X",OR($B93&lt;&gt;"",$C93&lt;&gt;""))</formula>
    </cfRule>
    <cfRule type="expression" priority="1338" aboveAverage="0" equalAverage="0" bottom="0" percent="0" rank="0" text="" dxfId="1370">
      <formula>AND(#ref!=1,#ref!=1)</formula>
    </cfRule>
    <cfRule type="expression" priority="1339" aboveAverage="0" equalAverage="0" bottom="0" percent="0" rank="0" text="" dxfId="1371">
      <formula>#ref!=1</formula>
    </cfRule>
    <cfRule type="expression" priority="1340" aboveAverage="0" equalAverage="0" bottom="0" percent="0" rank="0" text="" dxfId="1372">
      <formula>#ref!=1</formula>
    </cfRule>
    <cfRule type="expression" priority="1341" aboveAverage="0" equalAverage="0" bottom="0" percent="0" rank="0" text="" dxfId="1373">
      <formula>AND(NOT(ISBLANK($P93)),ISBLANK(#ref!),ISBLANK(#ref!))</formula>
    </cfRule>
    <cfRule type="expression" priority="1342" aboveAverage="0" equalAverage="0" bottom="0" percent="0" rank="0" text="" dxfId="1374">
      <formula>OR(#ref!="X",#ref!="X")</formula>
    </cfRule>
    <cfRule type="expression" priority="1343" aboveAverage="0" equalAverage="0" bottom="0" percent="0" rank="0" text="" dxfId="1375">
      <formula>AND(#ref!=1,#ref!=1)</formula>
    </cfRule>
    <cfRule type="expression" priority="1344" aboveAverage="0" equalAverage="0" bottom="0" percent="0" rank="0" text="" dxfId="1376">
      <formula>#ref!=1</formula>
    </cfRule>
    <cfRule type="expression" priority="1345" aboveAverage="0" equalAverage="0" bottom="0" percent="0" rank="0" text="" dxfId="1377">
      <formula>#ref!=1</formula>
    </cfRule>
    <cfRule type="expression" priority="1346" aboveAverage="0" equalAverage="0" bottom="0" percent="0" rank="0" text="" dxfId="1378">
      <formula>OR(#ref!="X",#ref!="X")</formula>
    </cfRule>
    <cfRule type="expression" priority="1347" aboveAverage="0" equalAverage="0" bottom="0" percent="0" rank="0" text="" dxfId="1379">
      <formula>AND(#ref!=1,#ref!=1)</formula>
    </cfRule>
    <cfRule type="expression" priority="1348" aboveAverage="0" equalAverage="0" bottom="0" percent="0" rank="0" text="" dxfId="1380">
      <formula>#ref!=1</formula>
    </cfRule>
  </conditionalFormatting>
  <conditionalFormatting sqref="E112:G112 E102:G102 E97:G97 E93:G93">
    <cfRule type="expression" priority="1349" aboveAverage="0" equalAverage="0" bottom="0" percent="0" rank="0" text="" dxfId="1381">
      <formula>AND($L93="X",OR($B93&lt;&gt;"",$C93&lt;&gt;"",$D93&lt;&gt;"",$E93&lt;&gt;""))</formula>
    </cfRule>
    <cfRule type="expression" priority="1350" aboveAverage="0" equalAverage="0" bottom="0" percent="0" rank="0" text="" dxfId="1382">
      <formula>AND($L93="X",OR($B93&lt;&gt;"",#ref!&lt;&gt;"",$C93&lt;&gt;"",$D93&lt;&gt;""))</formula>
    </cfRule>
  </conditionalFormatting>
  <conditionalFormatting sqref="E125:G125">
    <cfRule type="expression" priority="1351" aboveAverage="0" equalAverage="0" bottom="0" percent="0" rank="0" text="" dxfId="1383">
      <formula>AND($L125="X",OR($B125&lt;&gt;"",$C125&lt;&gt;"",$D125&lt;&gt;"",$E125&lt;&gt;""))</formula>
    </cfRule>
    <cfRule type="expression" priority="1352" aboveAverage="0" equalAverage="0" bottom="0" percent="0" rank="0" text="" dxfId="1384">
      <formula>AND($L125="X",OR($B125&lt;&gt;"",#ref!&lt;&gt;"",$C125&lt;&gt;"",$D125&lt;&gt;""))</formula>
    </cfRule>
    <cfRule type="expression" priority="1353" aboveAverage="0" equalAverage="0" bottom="0" percent="0" rank="0" text="" dxfId="1385">
      <formula>AND(#ref!=1,#ref!=1)</formula>
    </cfRule>
    <cfRule type="expression" priority="1354" aboveAverage="0" equalAverage="0" bottom="0" percent="0" rank="0" text="" dxfId="1386">
      <formula>#ref!=1</formula>
    </cfRule>
    <cfRule type="expression" priority="1355" aboveAverage="0" equalAverage="0" bottom="0" percent="0" rank="0" text="" dxfId="1387">
      <formula>#ref!=1</formula>
    </cfRule>
    <cfRule type="expression" priority="1356" aboveAverage="0" equalAverage="0" bottom="0" percent="0" rank="0" text="" dxfId="1388">
      <formula>AND($L125="X",OR($B125&lt;&gt;"",$C125&lt;&gt;""))</formula>
    </cfRule>
    <cfRule type="expression" priority="1357" aboveAverage="0" equalAverage="0" bottom="0" percent="0" rank="0" text="" dxfId="1389">
      <formula>AND(#ref!=1,#ref!=1)</formula>
    </cfRule>
    <cfRule type="expression" priority="1358" aboveAverage="0" equalAverage="0" bottom="0" percent="0" rank="0" text="" dxfId="1390">
      <formula>#ref!=1</formula>
    </cfRule>
    <cfRule type="expression" priority="1359" aboveAverage="0" equalAverage="0" bottom="0" percent="0" rank="0" text="" dxfId="1391">
      <formula>#ref!=1</formula>
    </cfRule>
    <cfRule type="expression" priority="1360" aboveAverage="0" equalAverage="0" bottom="0" percent="0" rank="0" text="" dxfId="1392">
      <formula>AND($L125="X",OR($B125&lt;&gt;"",$C125&lt;&gt;""))</formula>
    </cfRule>
    <cfRule type="expression" priority="1361" aboveAverage="0" equalAverage="0" bottom="0" percent="0" rank="0" text="" dxfId="1393">
      <formula>AND(#ref!=1,#ref!=1)</formula>
    </cfRule>
    <cfRule type="expression" priority="1362" aboveAverage="0" equalAverage="0" bottom="0" percent="0" rank="0" text="" dxfId="1394">
      <formula>#ref!=1</formula>
    </cfRule>
    <cfRule type="expression" priority="1363" aboveAverage="0" equalAverage="0" bottom="0" percent="0" rank="0" text="" dxfId="1395">
      <formula>#ref!=1</formula>
    </cfRule>
    <cfRule type="expression" priority="1364" aboveAverage="0" equalAverage="0" bottom="0" percent="0" rank="0" text="" dxfId="1396">
      <formula>AND($L125="X",OR($B125&lt;&gt;"",$C125&lt;&gt;""))</formula>
    </cfRule>
    <cfRule type="expression" priority="1365" aboveAverage="0" equalAverage="0" bottom="0" percent="0" rank="0" text="" dxfId="1397">
      <formula>AND(#ref!=1,#ref!=1)</formula>
    </cfRule>
    <cfRule type="expression" priority="1366" aboveAverage="0" equalAverage="0" bottom="0" percent="0" rank="0" text="" dxfId="1398">
      <formula>#ref!=1</formula>
    </cfRule>
    <cfRule type="expression" priority="1367" aboveAverage="0" equalAverage="0" bottom="0" percent="0" rank="0" text="" dxfId="1399">
      <formula>#ref!=1</formula>
    </cfRule>
    <cfRule type="expression" priority="1368" aboveAverage="0" equalAverage="0" bottom="0" percent="0" rank="0" text="" dxfId="1400">
      <formula>AND($L125="X",OR($B125&lt;&gt;"",$C125&lt;&gt;""))</formula>
    </cfRule>
    <cfRule type="expression" priority="1369" aboveAverage="0" equalAverage="0" bottom="0" percent="0" rank="0" text="" dxfId="1401">
      <formula>AND(#ref!=1,#ref!=1)</formula>
    </cfRule>
    <cfRule type="expression" priority="1370" aboveAverage="0" equalAverage="0" bottom="0" percent="0" rank="0" text="" dxfId="1402">
      <formula>#ref!=1</formula>
    </cfRule>
    <cfRule type="expression" priority="1371" aboveAverage="0" equalAverage="0" bottom="0" percent="0" rank="0" text="" dxfId="1403">
      <formula>#ref!=1</formula>
    </cfRule>
    <cfRule type="expression" priority="1372" aboveAverage="0" equalAverage="0" bottom="0" percent="0" rank="0" text="" dxfId="1404">
      <formula>AND($L125="X",OR($B125&lt;&gt;"",$C125&lt;&gt;""))</formula>
    </cfRule>
    <cfRule type="expression" priority="1373" aboveAverage="0" equalAverage="0" bottom="0" percent="0" rank="0" text="" dxfId="1405">
      <formula>AND(#ref!=1,#ref!=1)</formula>
    </cfRule>
    <cfRule type="expression" priority="1374" aboveAverage="0" equalAverage="0" bottom="0" percent="0" rank="0" text="" dxfId="1406">
      <formula>#ref!=1</formula>
    </cfRule>
    <cfRule type="expression" priority="1375" aboveAverage="0" equalAverage="0" bottom="0" percent="0" rank="0" text="" dxfId="1407">
      <formula>#ref!=1</formula>
    </cfRule>
    <cfRule type="expression" priority="1376" aboveAverage="0" equalAverage="0" bottom="0" percent="0" rank="0" text="" dxfId="1408">
      <formula>AND($L125="X",OR($B125&lt;&gt;"",$C125&lt;&gt;""))</formula>
    </cfRule>
    <cfRule type="expression" priority="1377" aboveAverage="0" equalAverage="0" bottom="0" percent="0" rank="0" text="" dxfId="1409">
      <formula>AND(#ref!=1,#ref!=1)</formula>
    </cfRule>
    <cfRule type="expression" priority="1378" aboveAverage="0" equalAverage="0" bottom="0" percent="0" rank="0" text="" dxfId="1410">
      <formula>#ref!=1</formula>
    </cfRule>
    <cfRule type="expression" priority="1379" aboveAverage="0" equalAverage="0" bottom="0" percent="0" rank="0" text="" dxfId="1411">
      <formula>#ref!=1</formula>
    </cfRule>
    <cfRule type="expression" priority="1380" aboveAverage="0" equalAverage="0" bottom="0" percent="0" rank="0" text="" dxfId="1412">
      <formula>AND(NOT(ISBLANK($P125)),ISBLANK(#ref!),ISBLANK(#ref!))</formula>
    </cfRule>
    <cfRule type="expression" priority="1381" aboveAverage="0" equalAverage="0" bottom="0" percent="0" rank="0" text="" dxfId="1413">
      <formula>OR(#ref!="X",#ref!="X")</formula>
    </cfRule>
    <cfRule type="expression" priority="1382" aboveAverage="0" equalAverage="0" bottom="0" percent="0" rank="0" text="" dxfId="1414">
      <formula>AND(#ref!=1,#ref!=1)</formula>
    </cfRule>
    <cfRule type="expression" priority="1383" aboveAverage="0" equalAverage="0" bottom="0" percent="0" rank="0" text="" dxfId="1415">
      <formula>#ref!=1</formula>
    </cfRule>
    <cfRule type="expression" priority="1384" aboveAverage="0" equalAverage="0" bottom="0" percent="0" rank="0" text="" dxfId="1416">
      <formula>#ref!=1</formula>
    </cfRule>
    <cfRule type="expression" priority="1385" aboveAverage="0" equalAverage="0" bottom="0" percent="0" rank="0" text="" dxfId="1417">
      <formula>AND($L125="X",OR($B125&lt;&gt;"",$C125&lt;&gt;"",$D125&lt;&gt;"",$E125&lt;&gt;""))</formula>
    </cfRule>
    <cfRule type="expression" priority="1386" aboveAverage="0" equalAverage="0" bottom="0" percent="0" rank="0" text="" dxfId="1418">
      <formula>AND($L125="X",OR($B125&lt;&gt;"",$C125&lt;&gt;"",$E125&lt;&gt;"",#ref!&lt;&gt;""))</formula>
    </cfRule>
    <cfRule type="expression" priority="1387" aboveAverage="0" equalAverage="0" bottom="0" percent="0" rank="0" text="" dxfId="1419">
      <formula>#ref!=1</formula>
    </cfRule>
    <cfRule type="expression" priority="1388" aboveAverage="0" equalAverage="0" bottom="0" percent="0" rank="0" text="" dxfId="1420">
      <formula>AND($L125="X",OR($B125&lt;&gt;"",$C125&lt;&gt;"",$D125&lt;&gt;""))</formula>
    </cfRule>
    <cfRule type="expression" priority="1389" aboveAverage="0" equalAverage="0" bottom="0" percent="0" rank="0" text="" dxfId="1421">
      <formula>AND(#ref!=1,#ref!=1)</formula>
    </cfRule>
    <cfRule type="expression" priority="1390" aboveAverage="0" equalAverage="0" bottom="0" percent="0" rank="0" text="" dxfId="1422">
      <formula>#ref!=1</formula>
    </cfRule>
    <cfRule type="expression" priority="1391" aboveAverage="0" equalAverage="0" bottom="0" percent="0" rank="0" text="" dxfId="1423">
      <formula>AND($L125="X",$B125&lt;&gt;"")</formula>
    </cfRule>
    <cfRule type="expression" priority="1392" aboveAverage="0" equalAverage="0" bottom="0" percent="0" rank="0" text="" dxfId="1424">
      <formula>AND($L125="X",OR($B125&lt;&gt;"",$C125&lt;&gt;""))</formula>
    </cfRule>
  </conditionalFormatting>
  <conditionalFormatting sqref="E125:G127 E141:G141">
    <cfRule type="expression" priority="1393" aboveAverage="0" equalAverage="0" bottom="0" percent="0" rank="0" text="" dxfId="1425">
      <formula>OR(#ref!="X",#ref!="X")</formula>
    </cfRule>
    <cfRule type="expression" priority="1394" aboveAverage="0" equalAverage="0" bottom="0" percent="0" rank="0" text="" dxfId="1426">
      <formula>AND(#ref!=1,#ref!=1)</formula>
    </cfRule>
  </conditionalFormatting>
  <conditionalFormatting sqref="E128:G128 D142:G142">
    <cfRule type="expression" priority="1395" aboveAverage="0" equalAverage="0" bottom="0" percent="0" rank="0" text="" dxfId="1427">
      <formula>AND($L128="X",OR($B128&lt;&gt;"",$C128&lt;&gt;"",$D128&lt;&gt;"",$E128&lt;&gt;""))</formula>
    </cfRule>
    <cfRule type="expression" priority="1396" aboveAverage="0" equalAverage="0" bottom="0" percent="0" rank="0" text="" dxfId="1428">
      <formula>AND($L128="X",OR($B128&lt;&gt;"",#ref!&lt;&gt;"",$C128&lt;&gt;"",$D128&lt;&gt;""))</formula>
    </cfRule>
    <cfRule type="expression" priority="1397" aboveAverage="0" equalAverage="0" bottom="0" percent="0" rank="0" text="" dxfId="1429">
      <formula>AND(#ref!=1,#ref!=1)</formula>
    </cfRule>
    <cfRule type="expression" priority="1398" aboveAverage="0" equalAverage="0" bottom="0" percent="0" rank="0" text="" dxfId="1430">
      <formula>#ref!=1</formula>
    </cfRule>
    <cfRule type="expression" priority="1399" aboveAverage="0" equalAverage="0" bottom="0" percent="0" rank="0" text="" dxfId="1431">
      <formula>#ref!=1</formula>
    </cfRule>
    <cfRule type="expression" priority="1400" aboveAverage="0" equalAverage="0" bottom="0" percent="0" rank="0" text="" dxfId="1432">
      <formula>AND($L128="X",OR($B128&lt;&gt;"",$C128&lt;&gt;""))</formula>
    </cfRule>
    <cfRule type="expression" priority="1401" aboveAverage="0" equalAverage="0" bottom="0" percent="0" rank="0" text="" dxfId="1433">
      <formula>AND(#ref!=1,#ref!=1)</formula>
    </cfRule>
    <cfRule type="expression" priority="1402" aboveAverage="0" equalAverage="0" bottom="0" percent="0" rank="0" text="" dxfId="1434">
      <formula>#ref!=1</formula>
    </cfRule>
    <cfRule type="expression" priority="1403" aboveAverage="0" equalAverage="0" bottom="0" percent="0" rank="0" text="" dxfId="1435">
      <formula>#ref!=1</formula>
    </cfRule>
    <cfRule type="expression" priority="1404" aboveAverage="0" equalAverage="0" bottom="0" percent="0" rank="0" text="" dxfId="1436">
      <formula>AND($L128="X",OR($B128&lt;&gt;"",$C128&lt;&gt;""))</formula>
    </cfRule>
    <cfRule type="expression" priority="1405" aboveAverage="0" equalAverage="0" bottom="0" percent="0" rank="0" text="" dxfId="1437">
      <formula>AND(#ref!=1,#ref!=1)</formula>
    </cfRule>
    <cfRule type="expression" priority="1406" aboveAverage="0" equalAverage="0" bottom="0" percent="0" rank="0" text="" dxfId="1438">
      <formula>#ref!=1</formula>
    </cfRule>
    <cfRule type="expression" priority="1407" aboveAverage="0" equalAverage="0" bottom="0" percent="0" rank="0" text="" dxfId="1439">
      <formula>#ref!=1</formula>
    </cfRule>
    <cfRule type="expression" priority="1408" aboveAverage="0" equalAverage="0" bottom="0" percent="0" rank="0" text="" dxfId="1440">
      <formula>AND($L128="X",OR($B128&lt;&gt;"",$C128&lt;&gt;""))</formula>
    </cfRule>
    <cfRule type="expression" priority="1409" aboveAverage="0" equalAverage="0" bottom="0" percent="0" rank="0" text="" dxfId="1441">
      <formula>AND(#ref!=1,#ref!=1)</formula>
    </cfRule>
    <cfRule type="expression" priority="1410" aboveAverage="0" equalAverage="0" bottom="0" percent="0" rank="0" text="" dxfId="1442">
      <formula>#ref!=1</formula>
    </cfRule>
    <cfRule type="expression" priority="1411" aboveAverage="0" equalAverage="0" bottom="0" percent="0" rank="0" text="" dxfId="1443">
      <formula>#ref!=1</formula>
    </cfRule>
    <cfRule type="expression" priority="1412" aboveAverage="0" equalAverage="0" bottom="0" percent="0" rank="0" text="" dxfId="1444">
      <formula>AND($L128="X",OR($B128&lt;&gt;"",$C128&lt;&gt;""))</formula>
    </cfRule>
    <cfRule type="expression" priority="1413" aboveAverage="0" equalAverage="0" bottom="0" percent="0" rank="0" text="" dxfId="1445">
      <formula>AND(#ref!=1,#ref!=1)</formula>
    </cfRule>
    <cfRule type="expression" priority="1414" aboveAverage="0" equalAverage="0" bottom="0" percent="0" rank="0" text="" dxfId="1446">
      <formula>#ref!=1</formula>
    </cfRule>
    <cfRule type="expression" priority="1415" aboveAverage="0" equalAverage="0" bottom="0" percent="0" rank="0" text="" dxfId="1447">
      <formula>#ref!=1</formula>
    </cfRule>
    <cfRule type="expression" priority="1416" aboveAverage="0" equalAverage="0" bottom="0" percent="0" rank="0" text="" dxfId="1448">
      <formula>AND($L128="X",OR($B128&lt;&gt;"",$C128&lt;&gt;""))</formula>
    </cfRule>
    <cfRule type="expression" priority="1417" aboveAverage="0" equalAverage="0" bottom="0" percent="0" rank="0" text="" dxfId="1449">
      <formula>AND(#ref!=1,#ref!=1)</formula>
    </cfRule>
    <cfRule type="expression" priority="1418" aboveAverage="0" equalAverage="0" bottom="0" percent="0" rank="0" text="" dxfId="1450">
      <formula>#ref!=1</formula>
    </cfRule>
    <cfRule type="expression" priority="1419" aboveAverage="0" equalAverage="0" bottom="0" percent="0" rank="0" text="" dxfId="1451">
      <formula>#ref!=1</formula>
    </cfRule>
    <cfRule type="expression" priority="1420" aboveAverage="0" equalAverage="0" bottom="0" percent="0" rank="0" text="" dxfId="1452">
      <formula>AND($L128="X",OR($B128&lt;&gt;"",$C128&lt;&gt;""))</formula>
    </cfRule>
    <cfRule type="expression" priority="1421" aboveAverage="0" equalAverage="0" bottom="0" percent="0" rank="0" text="" dxfId="1453">
      <formula>AND(#ref!=1,#ref!=1)</formula>
    </cfRule>
    <cfRule type="expression" priority="1422" aboveAverage="0" equalAverage="0" bottom="0" percent="0" rank="0" text="" dxfId="1454">
      <formula>#ref!=1</formula>
    </cfRule>
    <cfRule type="expression" priority="1423" aboveAverage="0" equalAverage="0" bottom="0" percent="0" rank="0" text="" dxfId="1455">
      <formula>#ref!=1</formula>
    </cfRule>
    <cfRule type="expression" priority="1424" aboveAverage="0" equalAverage="0" bottom="0" percent="0" rank="0" text="" dxfId="1456">
      <formula>AND(NOT(ISBLANK($P128)),ISBLANK(#ref!),ISBLANK(#ref!))</formula>
    </cfRule>
  </conditionalFormatting>
  <conditionalFormatting sqref="E140:G140">
    <cfRule type="expression" priority="1425" aboveAverage="0" equalAverage="0" bottom="0" percent="0" rank="0" text="" dxfId="1457">
      <formula>AND($L140="X",OR($B140&lt;&gt;"",$C140&lt;&gt;""))</formula>
    </cfRule>
    <cfRule type="expression" priority="1426" aboveAverage="0" equalAverage="0" bottom="0" percent="0" rank="0" text="" dxfId="1458">
      <formula>AND(#ref!=1,#ref!=1)</formula>
    </cfRule>
    <cfRule type="expression" priority="1427" aboveAverage="0" equalAverage="0" bottom="0" percent="0" rank="0" text="" dxfId="1459">
      <formula>#ref!=1</formula>
    </cfRule>
    <cfRule type="expression" priority="1428" aboveAverage="0" equalAverage="0" bottom="0" percent="0" rank="0" text="" dxfId="1460">
      <formula>#ref!=1</formula>
    </cfRule>
    <cfRule type="expression" priority="1429" aboveAverage="0" equalAverage="0" bottom="0" percent="0" rank="0" text="" dxfId="1461">
      <formula>AND($L140="X",OR($B140&lt;&gt;"",$C140&lt;&gt;""))</formula>
    </cfRule>
    <cfRule type="expression" priority="1430" aboveAverage="0" equalAverage="0" bottom="0" percent="0" rank="0" text="" dxfId="1462">
      <formula>AND(#ref!=1,#ref!=1)</formula>
    </cfRule>
    <cfRule type="expression" priority="1431" aboveAverage="0" equalAverage="0" bottom="0" percent="0" rank="0" text="" dxfId="1463">
      <formula>#ref!=1</formula>
    </cfRule>
    <cfRule type="expression" priority="1432" aboveAverage="0" equalAverage="0" bottom="0" percent="0" rank="0" text="" dxfId="1464">
      <formula>#ref!=1</formula>
    </cfRule>
    <cfRule type="expression" priority="1433" aboveAverage="0" equalAverage="0" bottom="0" percent="0" rank="0" text="" dxfId="1465">
      <formula>AND($L140="X",OR($B140&lt;&gt;"",$C140&lt;&gt;""))</formula>
    </cfRule>
    <cfRule type="expression" priority="1434" aboveAverage="0" equalAverage="0" bottom="0" percent="0" rank="0" text="" dxfId="1466">
      <formula>AND(#ref!=1,#ref!=1)</formula>
    </cfRule>
    <cfRule type="expression" priority="1435" aboveAverage="0" equalAverage="0" bottom="0" percent="0" rank="0" text="" dxfId="1467">
      <formula>#ref!=1</formula>
    </cfRule>
    <cfRule type="expression" priority="1436" aboveAverage="0" equalAverage="0" bottom="0" percent="0" rank="0" text="" dxfId="1468">
      <formula>#ref!=1</formula>
    </cfRule>
    <cfRule type="expression" priority="1437" aboveAverage="0" equalAverage="0" bottom="0" percent="0" rank="0" text="" dxfId="1469">
      <formula>AND($L140="X",OR($B140&lt;&gt;"",$C140&lt;&gt;""))</formula>
    </cfRule>
    <cfRule type="expression" priority="1438" aboveAverage="0" equalAverage="0" bottom="0" percent="0" rank="0" text="" dxfId="1470">
      <formula>AND(#ref!=1,#ref!=1)</formula>
    </cfRule>
    <cfRule type="expression" priority="1439" aboveAverage="0" equalAverage="0" bottom="0" percent="0" rank="0" text="" dxfId="1471">
      <formula>#ref!=1</formula>
    </cfRule>
    <cfRule type="expression" priority="1440" aboveAverage="0" equalAverage="0" bottom="0" percent="0" rank="0" text="" dxfId="1472">
      <formula>#ref!=1</formula>
    </cfRule>
    <cfRule type="expression" priority="1441" aboveAverage="0" equalAverage="0" bottom="0" percent="0" rank="0" text="" dxfId="1473">
      <formula>AND($L140="X",OR($B140&lt;&gt;"",$C140&lt;&gt;""))</formula>
    </cfRule>
    <cfRule type="expression" priority="1442" aboveAverage="0" equalAverage="0" bottom="0" percent="0" rank="0" text="" dxfId="1474">
      <formula>AND(#ref!=1,#ref!=1)</formula>
    </cfRule>
    <cfRule type="expression" priority="1443" aboveAverage="0" equalAverage="0" bottom="0" percent="0" rank="0" text="" dxfId="1475">
      <formula>#ref!=1</formula>
    </cfRule>
    <cfRule type="expression" priority="1444" aboveAverage="0" equalAverage="0" bottom="0" percent="0" rank="0" text="" dxfId="1476">
      <formula>#ref!=1</formula>
    </cfRule>
    <cfRule type="expression" priority="1445" aboveAverage="0" equalAverage="0" bottom="0" percent="0" rank="0" text="" dxfId="1477">
      <formula>AND($L140="X",OR($B140&lt;&gt;"",$C140&lt;&gt;""))</formula>
    </cfRule>
    <cfRule type="expression" priority="1446" aboveAverage="0" equalAverage="0" bottom="0" percent="0" rank="0" text="" dxfId="1478">
      <formula>AND(#ref!=1,#ref!=1)</formula>
    </cfRule>
    <cfRule type="expression" priority="1447" aboveAverage="0" equalAverage="0" bottom="0" percent="0" rank="0" text="" dxfId="1479">
      <formula>#ref!=1</formula>
    </cfRule>
    <cfRule type="expression" priority="1448" aboveAverage="0" equalAverage="0" bottom="0" percent="0" rank="0" text="" dxfId="1480">
      <formula>#ref!=1</formula>
    </cfRule>
    <cfRule type="expression" priority="1449" aboveAverage="0" equalAverage="0" bottom="0" percent="0" rank="0" text="" dxfId="1481">
      <formula>AND(NOT(ISBLANK($P140)),ISBLANK(#ref!),ISBLANK(#ref!))</formula>
    </cfRule>
    <cfRule type="expression" priority="1450" aboveAverage="0" equalAverage="0" bottom="0" percent="0" rank="0" text="" dxfId="1482">
      <formula>OR(#ref!="X",#ref!="X")</formula>
    </cfRule>
  </conditionalFormatting>
  <conditionalFormatting sqref="E140:G141 E156:G156">
    <cfRule type="expression" priority="1451" aboveAverage="0" equalAverage="0" bottom="0" percent="0" rank="0" text="" dxfId="1483">
      <formula>AND($L140="X",OR($B140&lt;&gt;"",$C140&lt;&gt;"",$D140&lt;&gt;"",$E140&lt;&gt;""))</formula>
    </cfRule>
    <cfRule type="expression" priority="1452" aboveAverage="0" equalAverage="0" bottom="0" percent="0" rank="0" text="" dxfId="1484">
      <formula>AND($L140="X",OR($B140&lt;&gt;"",#ref!&lt;&gt;"",$C140&lt;&gt;"",$D140&lt;&gt;""))</formula>
    </cfRule>
    <cfRule type="expression" priority="1453" aboveAverage="0" equalAverage="0" bottom="0" percent="0" rank="0" text="" dxfId="1485">
      <formula>AND(#ref!=1,#ref!=1)</formula>
    </cfRule>
    <cfRule type="expression" priority="1454" aboveAverage="0" equalAverage="0" bottom="0" percent="0" rank="0" text="" dxfId="1486">
      <formula>#ref!=1</formula>
    </cfRule>
    <cfRule type="expression" priority="1455" aboveAverage="0" equalAverage="0" bottom="0" percent="0" rank="0" text="" dxfId="1487">
      <formula>#ref!=1</formula>
    </cfRule>
  </conditionalFormatting>
  <conditionalFormatting sqref="E140:G141 F128:G129 G138:G139 D179:F179">
    <cfRule type="expression" priority="1456" aboveAverage="0" equalAverage="0" bottom="0" percent="0" rank="0" text="" dxfId="1488">
      <formula>AND($L128="X",OR($B128&lt;&gt;"",#ref!&lt;&gt;"",$C128&lt;&gt;""))</formula>
    </cfRule>
  </conditionalFormatting>
  <conditionalFormatting sqref="E140:G141">
    <cfRule type="expression" priority="1457" aboveAverage="0" equalAverage="0" bottom="0" percent="0" rank="0" text="" dxfId="1489">
      <formula>OR(#ref!="X",#ref!="X")</formula>
    </cfRule>
    <cfRule type="expression" priority="1458" aboveAverage="0" equalAverage="0" bottom="0" percent="0" rank="0" text="" dxfId="1490">
      <formula>AND(#ref!=1,#ref!=1)</formula>
    </cfRule>
    <cfRule type="expression" priority="1459" aboveAverage="0" equalAverage="0" bottom="0" percent="0" rank="0" text="" dxfId="1491">
      <formula>AND(#ref!=1,#ref!=1)</formula>
    </cfRule>
    <cfRule type="expression" priority="1460" aboveAverage="0" equalAverage="0" bottom="0" percent="0" rank="0" text="" dxfId="1492">
      <formula>#ref!=1</formula>
    </cfRule>
    <cfRule type="expression" priority="1461" aboveAverage="0" equalAverage="0" bottom="0" percent="0" rank="0" text="" dxfId="1493">
      <formula>#ref!=1</formula>
    </cfRule>
  </conditionalFormatting>
  <conditionalFormatting sqref="E141:G141">
    <cfRule type="expression" priority="1462" aboveAverage="0" equalAverage="0" bottom="0" percent="0" rank="0" text="" dxfId="1494">
      <formula>AND($L141="X",OR($B141&lt;&gt;"",$C141&lt;&gt;""))</formula>
    </cfRule>
    <cfRule type="expression" priority="1463" aboveAverage="0" equalAverage="0" bottom="0" percent="0" rank="0" text="" dxfId="1495">
      <formula>AND(#ref!=1,#ref!=1)</formula>
    </cfRule>
    <cfRule type="expression" priority="1464" aboveAverage="0" equalAverage="0" bottom="0" percent="0" rank="0" text="" dxfId="1496">
      <formula>#ref!=1</formula>
    </cfRule>
    <cfRule type="expression" priority="1465" aboveAverage="0" equalAverage="0" bottom="0" percent="0" rank="0" text="" dxfId="1497">
      <formula>#ref!=1</formula>
    </cfRule>
    <cfRule type="expression" priority="1466" aboveAverage="0" equalAverage="0" bottom="0" percent="0" rank="0" text="" dxfId="1498">
      <formula>AND($L141="X",OR($B141&lt;&gt;"",$C141&lt;&gt;""))</formula>
    </cfRule>
    <cfRule type="expression" priority="1467" aboveAverage="0" equalAverage="0" bottom="0" percent="0" rank="0" text="" dxfId="1499">
      <formula>AND(#ref!=1,#ref!=1)</formula>
    </cfRule>
    <cfRule type="expression" priority="1468" aboveAverage="0" equalAverage="0" bottom="0" percent="0" rank="0" text="" dxfId="1500">
      <formula>#ref!=1</formula>
    </cfRule>
    <cfRule type="expression" priority="1469" aboveAverage="0" equalAverage="0" bottom="0" percent="0" rank="0" text="" dxfId="1501">
      <formula>#ref!=1</formula>
    </cfRule>
    <cfRule type="expression" priority="1470" aboveAverage="0" equalAverage="0" bottom="0" percent="0" rank="0" text="" dxfId="1502">
      <formula>AND($L141="X",OR($B141&lt;&gt;"",$C141&lt;&gt;""))</formula>
    </cfRule>
    <cfRule type="expression" priority="1471" aboveAverage="0" equalAverage="0" bottom="0" percent="0" rank="0" text="" dxfId="1503">
      <formula>AND(#ref!=1,#ref!=1)</formula>
    </cfRule>
    <cfRule type="expression" priority="1472" aboveAverage="0" equalAverage="0" bottom="0" percent="0" rank="0" text="" dxfId="1504">
      <formula>#ref!=1</formula>
    </cfRule>
    <cfRule type="expression" priority="1473" aboveAverage="0" equalAverage="0" bottom="0" percent="0" rank="0" text="" dxfId="1505">
      <formula>#ref!=1</formula>
    </cfRule>
    <cfRule type="expression" priority="1474" aboveAverage="0" equalAverage="0" bottom="0" percent="0" rank="0" text="" dxfId="1506">
      <formula>AND($L141="X",OR($B141&lt;&gt;"",$C141&lt;&gt;""))</formula>
    </cfRule>
    <cfRule type="expression" priority="1475" aboveAverage="0" equalAverage="0" bottom="0" percent="0" rank="0" text="" dxfId="1507">
      <formula>AND(#ref!=1,#ref!=1)</formula>
    </cfRule>
    <cfRule type="expression" priority="1476" aboveAverage="0" equalAverage="0" bottom="0" percent="0" rank="0" text="" dxfId="1508">
      <formula>#ref!=1</formula>
    </cfRule>
    <cfRule type="expression" priority="1477" aboveAverage="0" equalAverage="0" bottom="0" percent="0" rank="0" text="" dxfId="1509">
      <formula>#ref!=1</formula>
    </cfRule>
    <cfRule type="expression" priority="1478" aboveAverage="0" equalAverage="0" bottom="0" percent="0" rank="0" text="" dxfId="1510">
      <formula>AND($L141="X",OR($B141&lt;&gt;"",$C141&lt;&gt;""))</formula>
    </cfRule>
    <cfRule type="expression" priority="1479" aboveAverage="0" equalAverage="0" bottom="0" percent="0" rank="0" text="" dxfId="1511">
      <formula>AND(#ref!=1,#ref!=1)</formula>
    </cfRule>
    <cfRule type="expression" priority="1480" aboveAverage="0" equalAverage="0" bottom="0" percent="0" rank="0" text="" dxfId="1512">
      <formula>#ref!=1</formula>
    </cfRule>
    <cfRule type="expression" priority="1481" aboveAverage="0" equalAverage="0" bottom="0" percent="0" rank="0" text="" dxfId="1513">
      <formula>#ref!=1</formula>
    </cfRule>
    <cfRule type="expression" priority="1482" aboveAverage="0" equalAverage="0" bottom="0" percent="0" rank="0" text="" dxfId="1514">
      <formula>AND($L141="X",OR($B141&lt;&gt;"",$C141&lt;&gt;""))</formula>
    </cfRule>
    <cfRule type="expression" priority="1483" aboveAverage="0" equalAverage="0" bottom="0" percent="0" rank="0" text="" dxfId="1515">
      <formula>AND(#ref!=1,#ref!=1)</formula>
    </cfRule>
    <cfRule type="expression" priority="1484" aboveAverage="0" equalAverage="0" bottom="0" percent="0" rank="0" text="" dxfId="1516">
      <formula>#ref!=1</formula>
    </cfRule>
    <cfRule type="expression" priority="1485" aboveAverage="0" equalAverage="0" bottom="0" percent="0" rank="0" text="" dxfId="1517">
      <formula>#ref!=1</formula>
    </cfRule>
    <cfRule type="expression" priority="1486" aboveAverage="0" equalAverage="0" bottom="0" percent="0" rank="0" text="" dxfId="1518">
      <formula>AND(NOT(ISBLANK($P141)),ISBLANK(#ref!),ISBLANK(#ref!))</formula>
    </cfRule>
    <cfRule type="expression" priority="1487" aboveAverage="0" equalAverage="0" bottom="0" percent="0" rank="0" text="" dxfId="1519">
      <formula>OR(#ref!="X",#ref!="X")</formula>
    </cfRule>
  </conditionalFormatting>
  <conditionalFormatting sqref="E143:G143">
    <cfRule type="expression" priority="1488" aboveAverage="0" equalAverage="0" bottom="0" percent="0" rank="0" text="" dxfId="1520">
      <formula>AND($L143="X",OR($B143&lt;&gt;"",$C143&lt;&gt;"",$D143&lt;&gt;"",$E143&lt;&gt;""))</formula>
    </cfRule>
    <cfRule type="expression" priority="1489" aboveAverage="0" equalAverage="0" bottom="0" percent="0" rank="0" text="" dxfId="1521">
      <formula>AND($L143="X",OR($B143&lt;&gt;"",#ref!&lt;&gt;"",$C143&lt;&gt;"",$D143&lt;&gt;""))</formula>
    </cfRule>
    <cfRule type="expression" priority="1490" aboveAverage="0" equalAverage="0" bottom="0" percent="0" rank="0" text="" dxfId="1522">
      <formula>AND(#ref!=1,#ref!=1)</formula>
    </cfRule>
    <cfRule type="expression" priority="1491" aboveAverage="0" equalAverage="0" bottom="0" percent="0" rank="0" text="" dxfId="1523">
      <formula>#ref!=1</formula>
    </cfRule>
    <cfRule type="expression" priority="1492" aboveAverage="0" equalAverage="0" bottom="0" percent="0" rank="0" text="" dxfId="1524">
      <formula>#ref!=1</formula>
    </cfRule>
    <cfRule type="expression" priority="1493" aboveAverage="0" equalAverage="0" bottom="0" percent="0" rank="0" text="" dxfId="1525">
      <formula>AND($L143="X",OR($B143&lt;&gt;"",$C143&lt;&gt;""))</formula>
    </cfRule>
    <cfRule type="expression" priority="1494" aboveAverage="0" equalAverage="0" bottom="0" percent="0" rank="0" text="" dxfId="1526">
      <formula>AND(#ref!=1,#ref!=1)</formula>
    </cfRule>
    <cfRule type="expression" priority="1495" aboveAverage="0" equalAverage="0" bottom="0" percent="0" rank="0" text="" dxfId="1527">
      <formula>#ref!=1</formula>
    </cfRule>
    <cfRule type="expression" priority="1496" aboveAverage="0" equalAverage="0" bottom="0" percent="0" rank="0" text="" dxfId="1528">
      <formula>#ref!=1</formula>
    </cfRule>
    <cfRule type="expression" priority="1497" aboveAverage="0" equalAverage="0" bottom="0" percent="0" rank="0" text="" dxfId="1529">
      <formula>AND($L143="X",OR($B143&lt;&gt;"",$C143&lt;&gt;""))</formula>
    </cfRule>
    <cfRule type="expression" priority="1498" aboveAverage="0" equalAverage="0" bottom="0" percent="0" rank="0" text="" dxfId="1530">
      <formula>AND(#ref!=1,#ref!=1)</formula>
    </cfRule>
    <cfRule type="expression" priority="1499" aboveAverage="0" equalAverage="0" bottom="0" percent="0" rank="0" text="" dxfId="1531">
      <formula>#ref!=1</formula>
    </cfRule>
    <cfRule type="expression" priority="1500" aboveAverage="0" equalAverage="0" bottom="0" percent="0" rank="0" text="" dxfId="1532">
      <formula>#ref!=1</formula>
    </cfRule>
    <cfRule type="expression" priority="1501" aboveAverage="0" equalAverage="0" bottom="0" percent="0" rank="0" text="" dxfId="1533">
      <formula>AND($L143="X",OR($B143&lt;&gt;"",$C143&lt;&gt;""))</formula>
    </cfRule>
    <cfRule type="expression" priority="1502" aboveAverage="0" equalAverage="0" bottom="0" percent="0" rank="0" text="" dxfId="1534">
      <formula>AND(#ref!=1,#ref!=1)</formula>
    </cfRule>
    <cfRule type="expression" priority="1503" aboveAverage="0" equalAverage="0" bottom="0" percent="0" rank="0" text="" dxfId="1535">
      <formula>#ref!=1</formula>
    </cfRule>
    <cfRule type="expression" priority="1504" aboveAverage="0" equalAverage="0" bottom="0" percent="0" rank="0" text="" dxfId="1536">
      <formula>#ref!=1</formula>
    </cfRule>
    <cfRule type="expression" priority="1505" aboveAverage="0" equalAverage="0" bottom="0" percent="0" rank="0" text="" dxfId="1537">
      <formula>AND($L143="X",OR($B143&lt;&gt;"",$C143&lt;&gt;""))</formula>
    </cfRule>
    <cfRule type="expression" priority="1506" aboveAverage="0" equalAverage="0" bottom="0" percent="0" rank="0" text="" dxfId="1538">
      <formula>AND(#ref!=1,#ref!=1)</formula>
    </cfRule>
    <cfRule type="expression" priority="1507" aboveAverage="0" equalAverage="0" bottom="0" percent="0" rank="0" text="" dxfId="1539">
      <formula>#ref!=1</formula>
    </cfRule>
    <cfRule type="expression" priority="1508" aboveAverage="0" equalAverage="0" bottom="0" percent="0" rank="0" text="" dxfId="1540">
      <formula>#ref!=1</formula>
    </cfRule>
    <cfRule type="expression" priority="1509" aboveAverage="0" equalAverage="0" bottom="0" percent="0" rank="0" text="" dxfId="1541">
      <formula>AND($L143="X",OR($B143&lt;&gt;"",$C143&lt;&gt;""))</formula>
    </cfRule>
    <cfRule type="expression" priority="1510" aboveAverage="0" equalAverage="0" bottom="0" percent="0" rank="0" text="" dxfId="1542">
      <formula>AND(#ref!=1,#ref!=1)</formula>
    </cfRule>
    <cfRule type="expression" priority="1511" aboveAverage="0" equalAverage="0" bottom="0" percent="0" rank="0" text="" dxfId="1543">
      <formula>#ref!=1</formula>
    </cfRule>
    <cfRule type="expression" priority="1512" aboveAverage="0" equalAverage="0" bottom="0" percent="0" rank="0" text="" dxfId="1544">
      <formula>#ref!=1</formula>
    </cfRule>
    <cfRule type="expression" priority="1513" aboveAverage="0" equalAverage="0" bottom="0" percent="0" rank="0" text="" dxfId="1545">
      <formula>AND($L143="X",OR($B143&lt;&gt;"",$C143&lt;&gt;""))</formula>
    </cfRule>
    <cfRule type="expression" priority="1514" aboveAverage="0" equalAverage="0" bottom="0" percent="0" rank="0" text="" dxfId="1546">
      <formula>AND(#ref!=1,#ref!=1)</formula>
    </cfRule>
    <cfRule type="expression" priority="1515" aboveAverage="0" equalAverage="0" bottom="0" percent="0" rank="0" text="" dxfId="1547">
      <formula>#ref!=1</formula>
    </cfRule>
    <cfRule type="expression" priority="1516" aboveAverage="0" equalAverage="0" bottom="0" percent="0" rank="0" text="" dxfId="1548">
      <formula>#ref!=1</formula>
    </cfRule>
  </conditionalFormatting>
  <conditionalFormatting sqref="E146:G146">
    <cfRule type="expression" priority="1517" aboveAverage="0" equalAverage="0" bottom="0" percent="0" rank="0" text="" dxfId="1549">
      <formula>AND($L146="X",OR($B146&lt;&gt;"",$C146&lt;&gt;"",$D146&lt;&gt;"",$E146&lt;&gt;""))</formula>
    </cfRule>
    <cfRule type="expression" priority="1518" aboveAverage="0" equalAverage="0" bottom="0" percent="0" rank="0" text="" dxfId="1550">
      <formula>AND($L146="X",OR($B146&lt;&gt;"",#ref!&lt;&gt;"",$C146&lt;&gt;"",$D146&lt;&gt;""))</formula>
    </cfRule>
    <cfRule type="expression" priority="1519" aboveAverage="0" equalAverage="0" bottom="0" percent="0" rank="0" text="" dxfId="1551">
      <formula>AND(#ref!=1,#ref!=1)</formula>
    </cfRule>
    <cfRule type="expression" priority="1520" aboveAverage="0" equalAverage="0" bottom="0" percent="0" rank="0" text="" dxfId="1552">
      <formula>#ref!=1</formula>
    </cfRule>
    <cfRule type="expression" priority="1521" aboveAverage="0" equalAverage="0" bottom="0" percent="0" rank="0" text="" dxfId="1553">
      <formula>#ref!=1</formula>
    </cfRule>
    <cfRule type="expression" priority="1522" aboveAverage="0" equalAverage="0" bottom="0" percent="0" rank="0" text="" dxfId="1554">
      <formula>AND($L146="X",OR($B146&lt;&gt;"",$C146&lt;&gt;""))</formula>
    </cfRule>
    <cfRule type="expression" priority="1523" aboveAverage="0" equalAverage="0" bottom="0" percent="0" rank="0" text="" dxfId="1555">
      <formula>AND(#ref!=1,#ref!=1)</formula>
    </cfRule>
    <cfRule type="expression" priority="1524" aboveAverage="0" equalAverage="0" bottom="0" percent="0" rank="0" text="" dxfId="1556">
      <formula>#ref!=1</formula>
    </cfRule>
    <cfRule type="expression" priority="1525" aboveAverage="0" equalAverage="0" bottom="0" percent="0" rank="0" text="" dxfId="1557">
      <formula>#ref!=1</formula>
    </cfRule>
    <cfRule type="expression" priority="1526" aboveAverage="0" equalAverage="0" bottom="0" percent="0" rank="0" text="" dxfId="1558">
      <formula>AND($L146="X",OR($B146&lt;&gt;"",$C146&lt;&gt;""))</formula>
    </cfRule>
    <cfRule type="expression" priority="1527" aboveAverage="0" equalAverage="0" bottom="0" percent="0" rank="0" text="" dxfId="1559">
      <formula>AND(#ref!=1,#ref!=1)</formula>
    </cfRule>
    <cfRule type="expression" priority="1528" aboveAverage="0" equalAverage="0" bottom="0" percent="0" rank="0" text="" dxfId="1560">
      <formula>#ref!=1</formula>
    </cfRule>
    <cfRule type="expression" priority="1529" aboveAverage="0" equalAverage="0" bottom="0" percent="0" rank="0" text="" dxfId="1561">
      <formula>#ref!=1</formula>
    </cfRule>
    <cfRule type="expression" priority="1530" aboveAverage="0" equalAverage="0" bottom="0" percent="0" rank="0" text="" dxfId="1562">
      <formula>AND($L146="X",OR($B146&lt;&gt;"",$C146&lt;&gt;""))</formula>
    </cfRule>
    <cfRule type="expression" priority="1531" aboveAverage="0" equalAverage="0" bottom="0" percent="0" rank="0" text="" dxfId="1563">
      <formula>AND(#ref!=1,#ref!=1)</formula>
    </cfRule>
    <cfRule type="expression" priority="1532" aboveAverage="0" equalAverage="0" bottom="0" percent="0" rank="0" text="" dxfId="1564">
      <formula>#ref!=1</formula>
    </cfRule>
    <cfRule type="expression" priority="1533" aboveAverage="0" equalAverage="0" bottom="0" percent="0" rank="0" text="" dxfId="1565">
      <formula>#ref!=1</formula>
    </cfRule>
    <cfRule type="expression" priority="1534" aboveAverage="0" equalAverage="0" bottom="0" percent="0" rank="0" text="" dxfId="1566">
      <formula>AND($L146="X",OR($B146&lt;&gt;"",$C146&lt;&gt;""))</formula>
    </cfRule>
    <cfRule type="expression" priority="1535" aboveAverage="0" equalAverage="0" bottom="0" percent="0" rank="0" text="" dxfId="1567">
      <formula>AND(#ref!=1,#ref!=1)</formula>
    </cfRule>
    <cfRule type="expression" priority="1536" aboveAverage="0" equalAverage="0" bottom="0" percent="0" rank="0" text="" dxfId="1568">
      <formula>#ref!=1</formula>
    </cfRule>
    <cfRule type="expression" priority="1537" aboveAverage="0" equalAverage="0" bottom="0" percent="0" rank="0" text="" dxfId="1569">
      <formula>#ref!=1</formula>
    </cfRule>
  </conditionalFormatting>
  <conditionalFormatting sqref="E149:G149">
    <cfRule type="expression" priority="1538" aboveAverage="0" equalAverage="0" bottom="0" percent="0" rank="0" text="" dxfId="1570">
      <formula>AND($L149="X",OR($B149&lt;&gt;"",$C149&lt;&gt;"",$D149&lt;&gt;"",$E149&lt;&gt;""))</formula>
    </cfRule>
    <cfRule type="expression" priority="1539" aboveAverage="0" equalAverage="0" bottom="0" percent="0" rank="0" text="" dxfId="1571">
      <formula>AND($L149="X",OR($B149&lt;&gt;"",#ref!&lt;&gt;"",$C149&lt;&gt;"",$D149&lt;&gt;""))</formula>
    </cfRule>
    <cfRule type="expression" priority="1540" aboveAverage="0" equalAverage="0" bottom="0" percent="0" rank="0" text="" dxfId="1572">
      <formula>AND(#ref!=1,#ref!=1)</formula>
    </cfRule>
    <cfRule type="expression" priority="1541" aboveAverage="0" equalAverage="0" bottom="0" percent="0" rank="0" text="" dxfId="1573">
      <formula>#ref!=1</formula>
    </cfRule>
    <cfRule type="expression" priority="1542" aboveAverage="0" equalAverage="0" bottom="0" percent="0" rank="0" text="" dxfId="1574">
      <formula>#ref!=1</formula>
    </cfRule>
    <cfRule type="expression" priority="1543" aboveAverage="0" equalAverage="0" bottom="0" percent="0" rank="0" text="" dxfId="1575">
      <formula>AND($L149="X",OR($B149&lt;&gt;"",$C149&lt;&gt;""))</formula>
    </cfRule>
    <cfRule type="expression" priority="1544" aboveAverage="0" equalAverage="0" bottom="0" percent="0" rank="0" text="" dxfId="1576">
      <formula>AND(#ref!=1,#ref!=1)</formula>
    </cfRule>
    <cfRule type="expression" priority="1545" aboveAverage="0" equalAverage="0" bottom="0" percent="0" rank="0" text="" dxfId="1577">
      <formula>#ref!=1</formula>
    </cfRule>
    <cfRule type="expression" priority="1546" aboveAverage="0" equalAverage="0" bottom="0" percent="0" rank="0" text="" dxfId="1578">
      <formula>#ref!=1</formula>
    </cfRule>
    <cfRule type="expression" priority="1547" aboveAverage="0" equalAverage="0" bottom="0" percent="0" rank="0" text="" dxfId="1579">
      <formula>AND($L149="X",OR($B149&lt;&gt;"",$C149&lt;&gt;""))</formula>
    </cfRule>
    <cfRule type="expression" priority="1548" aboveAverage="0" equalAverage="0" bottom="0" percent="0" rank="0" text="" dxfId="1580">
      <formula>AND(#ref!=1,#ref!=1)</formula>
    </cfRule>
    <cfRule type="expression" priority="1549" aboveAverage="0" equalAverage="0" bottom="0" percent="0" rank="0" text="" dxfId="1581">
      <formula>#ref!=1</formula>
    </cfRule>
    <cfRule type="expression" priority="1550" aboveAverage="0" equalAverage="0" bottom="0" percent="0" rank="0" text="" dxfId="1582">
      <formula>#ref!=1</formula>
    </cfRule>
  </conditionalFormatting>
  <conditionalFormatting sqref="E167:G168">
    <cfRule type="expression" priority="1551" aboveAverage="0" equalAverage="0" bottom="0" percent="0" rank="0" text="" dxfId="1583">
      <formula>AND($L167="X",OR($B167&lt;&gt;"",$C167&lt;&gt;"",$D167&lt;&gt;"",$E167&lt;&gt;""))</formula>
    </cfRule>
    <cfRule type="expression" priority="1552" aboveAverage="0" equalAverage="0" bottom="0" percent="0" rank="0" text="" dxfId="1584">
      <formula>AND($L167="X",OR($B167&lt;&gt;"",#ref!&lt;&gt;"",$C167&lt;&gt;"",$D167&lt;&gt;""))</formula>
    </cfRule>
    <cfRule type="expression" priority="1553" aboveAverage="0" equalAverage="0" bottom="0" percent="0" rank="0" text="" dxfId="1585">
      <formula>AND(#ref!=1,#ref!=1)</formula>
    </cfRule>
    <cfRule type="expression" priority="1554" aboveAverage="0" equalAverage="0" bottom="0" percent="0" rank="0" text="" dxfId="1586">
      <formula>#ref!=1</formula>
    </cfRule>
    <cfRule type="expression" priority="1555" aboveAverage="0" equalAverage="0" bottom="0" percent="0" rank="0" text="" dxfId="1587">
      <formula>#ref!=1</formula>
    </cfRule>
    <cfRule type="expression" priority="1556" aboveAverage="0" equalAverage="0" bottom="0" percent="0" rank="0" text="" dxfId="1588">
      <formula>AND($L167="X",OR($B167&lt;&gt;"",#ref!&lt;&gt;"",$C167&lt;&gt;""))</formula>
    </cfRule>
    <cfRule type="expression" priority="1557" aboveAverage="0" equalAverage="0" bottom="0" percent="0" rank="0" text="" dxfId="1589">
      <formula>AND(#ref!=1,#ref!=1)</formula>
    </cfRule>
    <cfRule type="expression" priority="1558" aboveAverage="0" equalAverage="0" bottom="0" percent="0" rank="0" text="" dxfId="1590">
      <formula>#ref!=1</formula>
    </cfRule>
    <cfRule type="expression" priority="1559" aboveAverage="0" equalAverage="0" bottom="0" percent="0" rank="0" text="" dxfId="1591">
      <formula>#ref!=1</formula>
    </cfRule>
  </conditionalFormatting>
  <conditionalFormatting sqref="E173:G173">
    <cfRule type="expression" priority="1560" aboveAverage="0" equalAverage="0" bottom="0" percent="0" rank="0" text="" dxfId="1592">
      <formula>AND($L173="X",OR($B173&lt;&gt;"",$C173&lt;&gt;"",$D173&lt;&gt;"",$E173&lt;&gt;""))</formula>
    </cfRule>
    <cfRule type="expression" priority="1561" aboveAverage="0" equalAverage="0" bottom="0" percent="0" rank="0" text="" dxfId="1593">
      <formula>AND($L173="X",OR($B173&lt;&gt;"",#ref!&lt;&gt;"",$C173&lt;&gt;"",$D173&lt;&gt;""))</formula>
    </cfRule>
    <cfRule type="expression" priority="1562" aboveAverage="0" equalAverage="0" bottom="0" percent="0" rank="0" text="" dxfId="1594">
      <formula>AND($L173="X",OR($B173&lt;&gt;"",#ref!&lt;&gt;"",$C173&lt;&gt;""))</formula>
    </cfRule>
    <cfRule type="expression" priority="1563" aboveAverage="0" equalAverage="0" bottom="0" percent="0" rank="0" text="" dxfId="1595">
      <formula>AND($L173="X",OR($B173&lt;&gt;"",$C173&lt;&gt;""))</formula>
    </cfRule>
  </conditionalFormatting>
  <conditionalFormatting sqref="F1">
    <cfRule type="dataBar" priority="1564">
      <dataBar showValue="1" minLength="10" maxLength="90">
        <cfvo type="num" val="0"/>
        <cfvo type="num" val="1"/>
        <color rgb="FF63C384"/>
      </dataBar>
      <extLst>
        <ext xmlns:x14="http://schemas.microsoft.com/office/spreadsheetml/2009/9/main" uri="{B025F937-C7B1-47D3-B67F-A62EFF666E3E}">
          <x14:id>{654A4519-4519-4959-98A4-5FDA65314DCB}</x14:id>
        </ext>
      </extLst>
    </cfRule>
  </conditionalFormatting>
  <conditionalFormatting sqref="F29 F162">
    <cfRule type="expression" priority="1565" aboveAverage="0" equalAverage="0" bottom="0" percent="0" rank="0" text="" dxfId="1596">
      <formula>AND($L29="X",OR($B29&lt;&gt;"",#ref!&lt;&gt;"",$D29&lt;&gt;"",$E29&lt;&gt;""))</formula>
    </cfRule>
  </conditionalFormatting>
  <conditionalFormatting sqref="F30">
    <cfRule type="expression" priority="1566" aboveAverage="0" equalAverage="0" bottom="0" percent="0" rank="0" text="" dxfId="1597">
      <formula>AND($L30="X",OR($B30&lt;&gt;"",$C30&lt;&gt;"",$D30&lt;&gt;""))</formula>
    </cfRule>
  </conditionalFormatting>
  <conditionalFormatting sqref="F39:F40">
    <cfRule type="expression" priority="1567" aboveAverage="0" equalAverage="0" bottom="0" percent="0" rank="0" text="" dxfId="1598">
      <formula>AND($L39="X",OR($B39&lt;&gt;"",#ref!&lt;&gt;"",$D39&lt;&gt;"",#ref!&lt;&gt;""))</formula>
    </cfRule>
  </conditionalFormatting>
  <conditionalFormatting sqref="F41:F42 F48 E52 E56 E66 F68">
    <cfRule type="expression" priority="1568" aboveAverage="0" equalAverage="0" bottom="0" percent="0" rank="0" text="" dxfId="1599">
      <formula>AND($L41="X",OR($B41&lt;&gt;"",#ref!&lt;&gt;"",$C41&lt;&gt;"",$D41&lt;&gt;""))</formula>
    </cfRule>
    <cfRule type="expression" priority="1569" aboveAverage="0" equalAverage="0" bottom="0" percent="0" rank="0" text="" dxfId="1600">
      <formula>AND($L41="X",OR($B41&lt;&gt;"",$C41&lt;&gt;""))</formula>
    </cfRule>
  </conditionalFormatting>
  <conditionalFormatting sqref="F41:F42 F48 F68">
    <cfRule type="expression" priority="1570" aboveAverage="0" equalAverage="0" bottom="0" percent="0" rank="0" text="" dxfId="1601">
      <formula>AND($L41="X",OR($B41&lt;&gt;"",$C41&lt;&gt;"",$D41&lt;&gt;""))</formula>
    </cfRule>
  </conditionalFormatting>
  <conditionalFormatting sqref="F69">
    <cfRule type="expression" priority="1571" aboveAverage="0" equalAverage="0" bottom="0" percent="0" rank="0" text="" dxfId="1602">
      <formula>AND($L69="X",OR($B69&lt;&gt;"",#ref!&lt;&gt;"",$C69&lt;&gt;""))</formula>
    </cfRule>
    <cfRule type="expression" priority="1572" aboveAverage="0" equalAverage="0" bottom="0" percent="0" rank="0" text="" dxfId="1603">
      <formula>AND($L69="X",OR($B69&lt;&gt;"",$C69&lt;&gt;"",$D69&lt;&gt;""))</formula>
    </cfRule>
    <cfRule type="expression" priority="1573" aboveAverage="0" equalAverage="0" bottom="0" percent="0" rank="0" text="" dxfId="1604">
      <formula>AND($L69="X",OR($B69&lt;&gt;"",$C69&lt;&gt;"",$D69&lt;&gt;"",$E69&lt;&gt;""))</formula>
    </cfRule>
    <cfRule type="expression" priority="1574" aboveAverage="0" equalAverage="0" bottom="0" percent="0" rank="0" text="" dxfId="1605">
      <formula>AND($L69="X",OR($B69&lt;&gt;"",$C69&lt;&gt;"",$E69&lt;&gt;"",#ref!&lt;&gt;""))</formula>
    </cfRule>
    <cfRule type="expression" priority="1575" aboveAverage="0" equalAverage="0" bottom="0" percent="0" rank="0" text="" dxfId="1606">
      <formula>#ref!=1</formula>
    </cfRule>
    <cfRule type="expression" priority="1576" aboveAverage="0" equalAverage="0" bottom="0" percent="0" rank="0" text="" dxfId="1607">
      <formula>AND($L69="X",OR($B69&lt;&gt;"",$C69&lt;&gt;"",$D69&lt;&gt;""))</formula>
    </cfRule>
    <cfRule type="expression" priority="1577" aboveAverage="0" equalAverage="0" bottom="0" percent="0" rank="0" text="" dxfId="1608">
      <formula>AND($L69="X",OR($B69&lt;&gt;"",$C69&lt;&gt;"",$D69&lt;&gt;"",$E69&lt;&gt;""))</formula>
    </cfRule>
    <cfRule type="expression" priority="1578" aboveAverage="0" equalAverage="0" bottom="0" percent="0" rank="0" text="" dxfId="1609">
      <formula>AND(#ref!=1,#ref!=1)</formula>
    </cfRule>
    <cfRule type="expression" priority="1579" aboveAverage="0" equalAverage="0" bottom="0" percent="0" rank="0" text="" dxfId="1610">
      <formula>#ref!=1</formula>
    </cfRule>
    <cfRule type="expression" priority="1580" aboveAverage="0" equalAverage="0" bottom="0" percent="0" rank="0" text="" dxfId="1611">
      <formula>#ref!=1</formula>
    </cfRule>
    <cfRule type="expression" priority="1581" aboveAverage="0" equalAverage="0" bottom="0" percent="0" rank="0" text="" dxfId="1612">
      <formula>AND($L69="X",OR($B69&lt;&gt;"",$C69&lt;&gt;"",$E69&lt;&gt;"",#ref!&lt;&gt;""))</formula>
    </cfRule>
    <cfRule type="expression" priority="1582" aboveAverage="0" equalAverage="0" bottom="0" percent="0" rank="0" text="" dxfId="1613">
      <formula>AND($L69="X",OR($B69&lt;&gt;"",$C69&lt;&gt;""))</formula>
    </cfRule>
    <cfRule type="expression" priority="1583" aboveAverage="0" equalAverage="0" bottom="0" percent="0" rank="0" text="" dxfId="1614">
      <formula>AND($L69="X",OR($B69&lt;&gt;"",$C69&lt;&gt;"",$D69&lt;&gt;"",$E69&lt;&gt;""))</formula>
    </cfRule>
    <cfRule type="expression" priority="1584" aboveAverage="0" equalAverage="0" bottom="0" percent="0" rank="0" text="" dxfId="1615">
      <formula>AND(#ref!=1,#ref!=1)</formula>
    </cfRule>
    <cfRule type="expression" priority="1585" aboveAverage="0" equalAverage="0" bottom="0" percent="0" rank="0" text="" dxfId="1616">
      <formula>#ref!=1</formula>
    </cfRule>
    <cfRule type="expression" priority="1586" aboveAverage="0" equalAverage="0" bottom="0" percent="0" rank="0" text="" dxfId="1617">
      <formula>#ref!=1</formula>
    </cfRule>
    <cfRule type="expression" priority="1587" aboveAverage="0" equalAverage="0" bottom="0" percent="0" rank="0" text="" dxfId="1618">
      <formula>AND($L69="X",OR($B69&lt;&gt;"",$C69&lt;&gt;"",$E69&lt;&gt;"",#ref!&lt;&gt;""))</formula>
    </cfRule>
    <cfRule type="expression" priority="1588" aboveAverage="0" equalAverage="0" bottom="0" percent="0" rank="0" text="" dxfId="1619">
      <formula>#ref!=1</formula>
    </cfRule>
    <cfRule type="expression" priority="1589" aboveAverage="0" equalAverage="0" bottom="0" percent="0" rank="0" text="" dxfId="1620">
      <formula>AND($L69="X",OR($B69&lt;&gt;"",$C69&lt;&gt;"",$D69&lt;&gt;""))</formula>
    </cfRule>
    <cfRule type="expression" priority="1590" aboveAverage="0" equalAverage="0" bottom="0" percent="0" rank="0" text="" dxfId="1621">
      <formula>AND($L69="X",OR($B69&lt;&gt;"",$C69&lt;&gt;"",$D69&lt;&gt;"",$E69&lt;&gt;""))</formula>
    </cfRule>
    <cfRule type="expression" priority="1591" aboveAverage="0" equalAverage="0" bottom="0" percent="0" rank="0" text="" dxfId="1622">
      <formula>AND(#ref!=1,#ref!=1)</formula>
    </cfRule>
    <cfRule type="expression" priority="1592" aboveAverage="0" equalAverage="0" bottom="0" percent="0" rank="0" text="" dxfId="1623">
      <formula>#ref!=1</formula>
    </cfRule>
    <cfRule type="expression" priority="1593" aboveAverage="0" equalAverage="0" bottom="0" percent="0" rank="0" text="" dxfId="1624">
      <formula>AND($L69="X",OR($B69&lt;&gt;"",$C69&lt;&gt;"",$E69&lt;&gt;"",#ref!&lt;&gt;""))</formula>
    </cfRule>
    <cfRule type="expression" priority="1594" aboveAverage="0" equalAverage="0" bottom="0" percent="0" rank="0" text="" dxfId="1625">
      <formula>AND($L69="X",OR($B69&lt;&gt;"",$C69&lt;&gt;""))</formula>
    </cfRule>
    <cfRule type="expression" priority="1595" aboveAverage="0" equalAverage="0" bottom="0" percent="0" rank="0" text="" dxfId="1626">
      <formula>AND($L69="X",$B69&lt;&gt;"")</formula>
    </cfRule>
    <cfRule type="expression" priority="1596" aboveAverage="0" equalAverage="0" bottom="0" percent="0" rank="0" text="" dxfId="1627">
      <formula>AND($L69="X",OR($B69&lt;&gt;"",$C69&lt;&gt;"",$D69&lt;&gt;""))</formula>
    </cfRule>
  </conditionalFormatting>
  <conditionalFormatting sqref="F70:F89 D85">
    <cfRule type="expression" priority="1597" aboveAverage="0" equalAverage="0" bottom="0" percent="0" rank="0" text="" dxfId="1628">
      <formula>AND($L70="X",OR($B70&lt;&gt;"",$C70&lt;&gt;"",$D70&lt;&gt;"",$E70&lt;&gt;""))</formula>
    </cfRule>
  </conditionalFormatting>
  <conditionalFormatting sqref="F79">
    <cfRule type="expression" priority="1598" aboveAverage="0" equalAverage="0" bottom="0" percent="0" rank="0" text="" dxfId="1629">
      <formula>AND($L79="X",OR($B79&lt;&gt;"",#ref!&lt;&gt;"",$C79&lt;&gt;"",$D79&lt;&gt;""))</formula>
    </cfRule>
    <cfRule type="expression" priority="1599" aboveAverage="0" equalAverage="0" bottom="0" percent="0" rank="0" text="" dxfId="1630">
      <formula>AND($L79="X",OR($B79&lt;&gt;"",$C79&lt;&gt;"",$D79&lt;&gt;""))</formula>
    </cfRule>
    <cfRule type="expression" priority="1600" aboveAverage="0" equalAverage="0" bottom="0" percent="0" rank="0" text="" dxfId="1631">
      <formula>AND($L79="X",OR($B79&lt;&gt;"",$C79&lt;&gt;""))</formula>
    </cfRule>
  </conditionalFormatting>
  <conditionalFormatting sqref="F90:F91 F174">
    <cfRule type="expression" priority="1601" aboveAverage="0" equalAverage="0" bottom="0" percent="0" rank="0" text="" dxfId="1632">
      <formula>AND($L90="X",OR($B90&lt;&gt;"",$D90&lt;&gt;"",#ref!&lt;&gt;"",$E90&lt;&gt;""))</formula>
    </cfRule>
  </conditionalFormatting>
  <conditionalFormatting sqref="F92">
    <cfRule type="expression" priority="1602" aboveAverage="0" equalAverage="0" bottom="0" percent="0" rank="0" text="" dxfId="1633">
      <formula>AND($L92="X",OR($B92&lt;&gt;"",#ref!&lt;&gt;"",$C92&lt;&gt;"",$D92&lt;&gt;"",$F92&lt;&gt;""))</formula>
    </cfRule>
    <cfRule type="expression" priority="1603" aboveAverage="0" equalAverage="0" bottom="0" percent="0" rank="0" text="" dxfId="1634">
      <formula>AND($L92="X",OR($B92&lt;&gt;"",$C92&lt;&gt;"",$D92&lt;&gt;"",$E92&lt;&gt;"",$F92&lt;&gt;""))</formula>
    </cfRule>
  </conditionalFormatting>
  <conditionalFormatting sqref="F92:F93">
    <cfRule type="expression" priority="1604" aboveAverage="0" equalAverage="0" bottom="0" percent="0" rank="0" text="" dxfId="1635">
      <formula>AND($L92="X",OR($B92&lt;&gt;"",#ref!&lt;&gt;"",$C92&lt;&gt;"",$D92&lt;&gt;""))</formula>
    </cfRule>
  </conditionalFormatting>
  <conditionalFormatting sqref="F93 F97 F102">
    <cfRule type="expression" priority="1605" aboveAverage="0" equalAverage="0" bottom="0" percent="0" rank="0" text="" dxfId="1636">
      <formula>AND($L93="X",OR($B93&lt;&gt;"",$C93&lt;&gt;"",$D93&lt;&gt;""))</formula>
    </cfRule>
  </conditionalFormatting>
  <conditionalFormatting sqref="F94 F134:G134 F137">
    <cfRule type="expression" priority="1606" aboveAverage="0" equalAverage="0" bottom="0" percent="0" rank="0" text="" dxfId="1637">
      <formula>AND($L94="X",OR($B94&lt;&gt;"",$C94&lt;&gt;"",$E94&lt;&gt;"",#ref!&lt;&gt;""))</formula>
    </cfRule>
  </conditionalFormatting>
  <conditionalFormatting sqref="F97 F102">
    <cfRule type="expression" priority="1607" aboveAverage="0" equalAverage="0" bottom="0" percent="0" rank="0" text="" dxfId="1638">
      <formula>AND($L97="X",OR($B97&lt;&gt;"",#ref!&lt;&gt;"",$C97&lt;&gt;"",$D97&lt;&gt;""))</formula>
    </cfRule>
  </conditionalFormatting>
  <conditionalFormatting sqref="F106:F108">
    <cfRule type="expression" priority="1608" aboveAverage="0" equalAverage="0" bottom="0" percent="0" rank="0" text="" dxfId="1639">
      <formula>AND($L106="X",OR($B106&lt;&gt;"",#ref!&lt;&gt;"",$C106&lt;&gt;"",$D106&lt;&gt;"",$F106&lt;&gt;""))</formula>
    </cfRule>
    <cfRule type="expression" priority="1609" aboveAverage="0" equalAverage="0" bottom="0" percent="0" rank="0" text="" dxfId="1640">
      <formula>AND($L106="X",OR($B106&lt;&gt;"",#ref!&lt;&gt;"",$C106&lt;&gt;"",$D106&lt;&gt;""))</formula>
    </cfRule>
    <cfRule type="expression" priority="1610" aboveAverage="0" equalAverage="0" bottom="0" percent="0" rank="0" text="" dxfId="1641">
      <formula>AND($L106="X",OR($B106&lt;&gt;"",$C106&lt;&gt;"",$D106&lt;&gt;"",$E106&lt;&gt;"",$F106&lt;&gt;""))</formula>
    </cfRule>
  </conditionalFormatting>
  <conditionalFormatting sqref="F112 F124:F125 F128 E142 E157">
    <cfRule type="expression" priority="1611" aboveAverage="0" equalAverage="0" bottom="0" percent="0" rank="0" text="" dxfId="1642">
      <formula>AND($L112="X",OR($B112&lt;&gt;"",#ref!&lt;&gt;"",$C112&lt;&gt;"",$D112&lt;&gt;""))</formula>
    </cfRule>
  </conditionalFormatting>
  <conditionalFormatting sqref="F114">
    <cfRule type="expression" priority="1612" aboveAverage="0" equalAverage="0" bottom="0" percent="0" rank="0" text="" dxfId="1643">
      <formula>AND($L114="X",OR($B114&lt;&gt;"",#ref!&lt;&gt;"",$C114&lt;&gt;"",$D114&lt;&gt;"",$F114&lt;&gt;""))</formula>
    </cfRule>
    <cfRule type="expression" priority="1613" aboveAverage="0" equalAverage="0" bottom="0" percent="0" rank="0" text="" dxfId="1644">
      <formula>AND($L114="X",OR($B114&lt;&gt;"",#ref!&lt;&gt;"",$C114&lt;&gt;"",$D114&lt;&gt;""))</formula>
    </cfRule>
    <cfRule type="expression" priority="1614" aboveAverage="0" equalAverage="0" bottom="0" percent="0" rank="0" text="" dxfId="1645">
      <formula>AND($L114="X",OR($B114&lt;&gt;"",$C114&lt;&gt;"",$D114&lt;&gt;"",$E114&lt;&gt;"",$F114&lt;&gt;""))</formula>
    </cfRule>
    <cfRule type="expression" priority="1615" aboveAverage="0" equalAverage="0" bottom="0" percent="0" rank="0" text="" dxfId="1646">
      <formula>AND($L114="X",OR($B114&lt;&gt;"",$C114&lt;&gt;"",$E114&lt;&gt;"",#ref!&lt;&gt;"",$F114&lt;&gt;""))</formula>
    </cfRule>
    <cfRule type="expression" priority="1616" aboveAverage="0" equalAverage="0" bottom="0" percent="0" rank="0" text="" dxfId="1647">
      <formula>AND($L114="X",OR($B114&lt;&gt;"",$C114&lt;&gt;"",$E114&lt;&gt;"",#ref!&lt;&gt;""))</formula>
    </cfRule>
    <cfRule type="expression" priority="1617" aboveAverage="0" equalAverage="0" bottom="0" percent="0" rank="0" text="" dxfId="1648">
      <formula>AND($L114="X",OR(#ref!&lt;&gt;"",$B114&lt;&gt;"",$C114&lt;&gt;"",$E114&lt;&gt;""))</formula>
    </cfRule>
  </conditionalFormatting>
  <conditionalFormatting sqref="F124">
    <cfRule type="expression" priority="1618" aboveAverage="0" equalAverage="0" bottom="0" percent="0" rank="0" text="" dxfId="1649">
      <formula>AND($L124="X",OR($B124&lt;&gt;"",#ref!&lt;&gt;"",$C124&lt;&gt;"",$D124&lt;&gt;"",$F124&lt;&gt;""))</formula>
    </cfRule>
    <cfRule type="expression" priority="1619" aboveAverage="0" equalAverage="0" bottom="0" percent="0" rank="0" text="" dxfId="1650">
      <formula>AND($L124="X",OR($B124&lt;&gt;"",$C124&lt;&gt;"",$E124&lt;&gt;"",#ref!&lt;&gt;"",$F124&lt;&gt;""))</formula>
    </cfRule>
  </conditionalFormatting>
  <conditionalFormatting sqref="F124:F127">
    <cfRule type="expression" priority="1620" aboveAverage="0" equalAverage="0" bottom="0" percent="0" rank="0" text="" dxfId="1651">
      <formula>AND($L124="X",OR($B124&lt;&gt;"",$C124&lt;&gt;"",$E124&lt;&gt;"",#ref!&lt;&gt;""))</formula>
    </cfRule>
  </conditionalFormatting>
  <conditionalFormatting sqref="F130:F132">
    <cfRule type="expression" priority="1621" aboveAverage="0" equalAverage="0" bottom="0" percent="0" rank="0" text="" dxfId="1652">
      <formula>AND($L130="X",OR($B130&lt;&gt;"",$C130&lt;&gt;"",$D130&lt;&gt;""))</formula>
    </cfRule>
  </conditionalFormatting>
  <conditionalFormatting sqref="F138:F139">
    <cfRule type="expression" priority="1622" aboveAverage="0" equalAverage="0" bottom="0" percent="0" rank="0" text="" dxfId="1653">
      <formula>AND($L138="X",$B138&lt;&gt;"")</formula>
    </cfRule>
    <cfRule type="expression" priority="1623" aboveAverage="0" equalAverage="0" bottom="0" percent="0" rank="0" text="" dxfId="1654">
      <formula>AND(#ref!=1,#ref!=1)</formula>
    </cfRule>
    <cfRule type="expression" priority="1624" aboveAverage="0" equalAverage="0" bottom="0" percent="0" rank="0" text="" dxfId="1655">
      <formula>#ref!=1</formula>
    </cfRule>
    <cfRule type="expression" priority="1625" aboveAverage="0" equalAverage="0" bottom="0" percent="0" rank="0" text="" dxfId="1656">
      <formula>OR(#ref!="X",#ref!="X")</formula>
    </cfRule>
    <cfRule type="expression" priority="1626" aboveAverage="0" equalAverage="0" bottom="0" percent="0" rank="0" text="" dxfId="1657">
      <formula>#ref!=1</formula>
    </cfRule>
    <cfRule type="expression" priority="1627" aboveAverage="0" equalAverage="0" bottom="0" percent="0" rank="0" text="" dxfId="1658">
      <formula>AND(NOT(ISBLANK($P138)),ISBLANK(#ref!),ISBLANK(#ref!))</formula>
    </cfRule>
  </conditionalFormatting>
  <conditionalFormatting sqref="F146 F149">
    <cfRule type="expression" priority="1628" aboveAverage="0" equalAverage="0" bottom="0" percent="0" rank="0" text="" dxfId="1659">
      <formula>AND($L146="X",OR($B146&lt;&gt;"",#ref!&lt;&gt;"",$C146&lt;&gt;"",$D146&lt;&gt;""))</formula>
    </cfRule>
  </conditionalFormatting>
  <conditionalFormatting sqref="F163:F165">
    <cfRule type="expression" priority="1629" aboveAverage="0" equalAverage="0" bottom="0" percent="0" rank="0" text="" dxfId="1660">
      <formula>AND($L163="X",OR(#ref!&lt;&gt;"",$B163&lt;&gt;"",$D163&lt;&gt;"",#ref!&lt;&gt;""))</formula>
    </cfRule>
  </conditionalFormatting>
  <conditionalFormatting sqref="F174:F175">
    <cfRule type="expression" priority="1630" aboveAverage="0" equalAverage="0" bottom="0" percent="0" rank="0" text="" dxfId="1661">
      <formula>AND($L174="X",OR(#ref!&lt;&gt;"",$B174&lt;&gt;"",$D174&lt;&gt;"",$E174&lt;&gt;""))</formula>
    </cfRule>
  </conditionalFormatting>
  <conditionalFormatting sqref="F177:F178">
    <cfRule type="expression" priority="1631" aboveAverage="0" equalAverage="0" bottom="0" percent="0" rank="0" text="" dxfId="1662">
      <formula>AND($L177="X",OR(#ref!&lt;&gt;"",$B177&lt;&gt;"",$C177&lt;&gt;"",$D177&lt;&gt;""))</formula>
    </cfRule>
  </conditionalFormatting>
  <conditionalFormatting sqref="F179:F181">
    <cfRule type="expression" priority="1632" aboveAverage="0" equalAverage="0" bottom="0" percent="0" rank="0" text="" dxfId="1663">
      <formula>AND(#ref!="X",OR(#ref!&lt;&gt;"",$B179&lt;&gt;"",$C179&lt;&gt;"",$D179&lt;&gt;""))</formula>
    </cfRule>
  </conditionalFormatting>
  <conditionalFormatting sqref="F182 G189">
    <cfRule type="expression" priority="1633" aboveAverage="0" equalAverage="0" bottom="0" percent="0" rank="0" text="" dxfId="1664">
      <formula>AND($L182="X",OR($B182&lt;&gt;"",#ref!&lt;&gt;"",$C182&lt;&gt;"",$D182&lt;&gt;"",$F182&lt;&gt;""))</formula>
    </cfRule>
    <cfRule type="expression" priority="1634" aboveAverage="0" equalAverage="0" bottom="0" percent="0" rank="0" text="" dxfId="1665">
      <formula>AND($L182="X",OR($B182&lt;&gt;"",#ref!&lt;&gt;"",$C182&lt;&gt;"",$D182&lt;&gt;""))</formula>
    </cfRule>
  </conditionalFormatting>
  <conditionalFormatting sqref="F183:F188">
    <cfRule type="expression" priority="1635" aboveAverage="0" equalAverage="0" bottom="0" percent="0" rank="0" text="" dxfId="1666">
      <formula>AND($L183="X",OR($B183&lt;&gt;"",#ref!&lt;&gt;"",#ref!&lt;&gt;"",$C183&lt;&gt;"",$F183&lt;&gt;""))</formula>
    </cfRule>
    <cfRule type="expression" priority="1636" aboveAverage="0" equalAverage="0" bottom="0" percent="0" rank="0" text="" dxfId="1667">
      <formula>AND($L183="X",OR($B183&lt;&gt;"",#ref!&lt;&gt;"",#ref!&lt;&gt;"",$C183&lt;&gt;""))</formula>
    </cfRule>
  </conditionalFormatting>
  <conditionalFormatting sqref="F189">
    <cfRule type="expression" priority="1637" aboveAverage="0" equalAverage="0" bottom="0" percent="0" rank="0" text="" dxfId="1668">
      <formula>AND($L189="X",OR(#ref!&lt;&gt;"",#ref!&lt;&gt;"",#ref!&lt;&gt;"",$B189&lt;&gt;"",$F189&lt;&gt;""))</formula>
    </cfRule>
    <cfRule type="expression" priority="1638" aboveAverage="0" equalAverage="0" bottom="0" percent="0" rank="0" text="" dxfId="1669">
      <formula>AND($L189="X",OR(#ref!&lt;&gt;"",#ref!&lt;&gt;"",#ref!&lt;&gt;"",$B189&lt;&gt;""))</formula>
    </cfRule>
    <cfRule type="expression" priority="1639" aboveAverage="0" equalAverage="0" bottom="0" percent="0" rank="0" text="" dxfId="1670">
      <formula>AND($L189="X",OR($B189&lt;&gt;"",#ref!&lt;&gt;"",$C189&lt;&gt;"",$D189&lt;&gt;""))</formula>
    </cfRule>
  </conditionalFormatting>
  <conditionalFormatting sqref="F190:F191">
    <cfRule type="expression" priority="1640" aboveAverage="0" equalAverage="0" bottom="0" percent="0" rank="0" text="" dxfId="1671">
      <formula>AND($L190="X",OR($B190&lt;&gt;"",#ref!&lt;&gt;"",$E190&lt;&gt;"",#ref!&lt;&gt;""))</formula>
    </cfRule>
  </conditionalFormatting>
  <conditionalFormatting sqref="F192">
    <cfRule type="expression" priority="1641" aboveAverage="0" equalAverage="0" bottom="0" percent="0" rank="0" text="" dxfId="1672">
      <formula>AND($L192="X",OR($B192&lt;&gt;"",$C192&lt;&gt;"",$D192&lt;&gt;"",$E192&lt;&gt;""))</formula>
    </cfRule>
  </conditionalFormatting>
  <conditionalFormatting sqref="F193">
    <cfRule type="expression" priority="1642" aboveAverage="0" equalAverage="0" bottom="0" percent="0" rank="0" text="" dxfId="1673">
      <formula>AND($L193="X",OR(#ref!&lt;&gt;"",#ref!&lt;&gt;"",#ref!&lt;&gt;"",$B193&lt;&gt;"",$F193&lt;&gt;""))</formula>
    </cfRule>
    <cfRule type="expression" priority="1643" aboveAverage="0" equalAverage="0" bottom="0" percent="0" rank="0" text="" dxfId="1674">
      <formula>AND($L193="X",OR(#ref!&lt;&gt;"",#ref!&lt;&gt;"",#ref!&lt;&gt;"",$B193&lt;&gt;""))</formula>
    </cfRule>
  </conditionalFormatting>
  <conditionalFormatting sqref="F18:G24 F30:F37 E34 F41:F68 F92:F93 F95:F125 F137:G137 G157:G158 F166:F171 F194:F202">
    <cfRule type="expression" priority="1644" aboveAverage="0" equalAverage="0" bottom="0" percent="0" rank="0" text="" dxfId="1675">
      <formula>AND($L18="X",OR($B18&lt;&gt;"",$C18&lt;&gt;"",$D18&lt;&gt;"",$E18&lt;&gt;""))</formula>
    </cfRule>
  </conditionalFormatting>
  <conditionalFormatting sqref="F18:G24 F30:G30 E34:F34">
    <cfRule type="expression" priority="1645" aboveAverage="0" equalAverage="0" bottom="0" percent="0" rank="0" text="" dxfId="1676">
      <formula>AND($L18="X",OR($B18&lt;&gt;"",#ref!&lt;&gt;"",$C18&lt;&gt;"",$D18&lt;&gt;"",$F18&lt;&gt;""))</formula>
    </cfRule>
    <cfRule type="expression" priority="1646" aboveAverage="0" equalAverage="0" bottom="0" percent="0" rank="0" text="" dxfId="1677">
      <formula>AND($L18="X",OR($B18&lt;&gt;"",#ref!&lt;&gt;"",$C18&lt;&gt;"",$D18&lt;&gt;""))</formula>
    </cfRule>
    <cfRule type="expression" priority="1647" aboveAverage="0" equalAverage="0" bottom="0" percent="0" rank="0" text="" dxfId="1678">
      <formula>AND($L18="X",OR($B18&lt;&gt;"",$C18&lt;&gt;"",$D18&lt;&gt;"",$E18&lt;&gt;"",$F18&lt;&gt;""))</formula>
    </cfRule>
    <cfRule type="expression" priority="1648" aboveAverage="0" equalAverage="0" bottom="0" percent="0" rank="0" text="" dxfId="1679">
      <formula>AND($L18="X",OR($B18&lt;&gt;"",$C18&lt;&gt;"",$D18&lt;&gt;""))</formula>
    </cfRule>
  </conditionalFormatting>
  <conditionalFormatting sqref="F30:G30 E34:F34">
    <cfRule type="expression" priority="1649" aboveAverage="0" equalAverage="0" bottom="0" percent="0" rank="0" text="" dxfId="1680">
      <formula>AND($L30="X",OR($B30&lt;&gt;"",$C30&lt;&gt;"",$D30&lt;&gt;"",$E30&lt;&gt;""))</formula>
    </cfRule>
  </conditionalFormatting>
  <conditionalFormatting sqref="F114:G114">
    <cfRule type="expression" priority="1650" aboveAverage="0" equalAverage="0" bottom="0" percent="0" rank="0" text="" dxfId="1681">
      <formula>AND($L114="X",OR($B114&lt;&gt;"",$C114&lt;&gt;"",$D114&lt;&gt;"",$E114&lt;&gt;""))</formula>
    </cfRule>
    <cfRule type="expression" priority="1651" aboveAverage="0" equalAverage="0" bottom="0" percent="0" rank="0" text="" dxfId="1682">
      <formula>AND($L114="X",OR($B114&lt;&gt;"",$C114&lt;&gt;"",$E114&lt;&gt;"",#ref!&lt;&gt;""))</formula>
    </cfRule>
    <cfRule type="expression" priority="1652" aboveAverage="0" equalAverage="0" bottom="0" percent="0" rank="0" text="" dxfId="1683">
      <formula>#ref!=1</formula>
    </cfRule>
    <cfRule type="expression" priority="1653" aboveAverage="0" equalAverage="0" bottom="0" percent="0" rank="0" text="" dxfId="1684">
      <formula>AND($L114="X",OR($B114&lt;&gt;"",$C114&lt;&gt;"",$D114&lt;&gt;""))</formula>
    </cfRule>
    <cfRule type="expression" priority="1654" aboveAverage="0" equalAverage="0" bottom="0" percent="0" rank="0" text="" dxfId="1685">
      <formula>AND(#ref!=1,#ref!=1)</formula>
    </cfRule>
    <cfRule type="expression" priority="1655" aboveAverage="0" equalAverage="0" bottom="0" percent="0" rank="0" text="" dxfId="1686">
      <formula>#ref!=1</formula>
    </cfRule>
    <cfRule type="expression" priority="1656" aboveAverage="0" equalAverage="0" bottom="0" percent="0" rank="0" text="" dxfId="1687">
      <formula>AND($L114="X",OR($B114&lt;&gt;"",$C114&lt;&gt;"",$D114&lt;&gt;"",$E114&lt;&gt;"",$F114&lt;&gt;""))</formula>
    </cfRule>
    <cfRule type="expression" priority="1657" aboveAverage="0" equalAverage="0" bottom="0" percent="0" rank="0" text="" dxfId="1688">
      <formula>AND($L114="X",OR($B114&lt;&gt;"",$C114&lt;&gt;"",$D114&lt;&gt;"",$E114&lt;&gt;""))</formula>
    </cfRule>
  </conditionalFormatting>
  <conditionalFormatting sqref="F129:G129">
    <cfRule type="expression" priority="1658" aboveAverage="0" equalAverage="0" bottom="0" percent="0" rank="0" text="" dxfId="1689">
      <formula>AND($L129="X",OR($B129&lt;&gt;"",$C129&lt;&gt;"",$D129&lt;&gt;"",$E129&lt;&gt;""))</formula>
    </cfRule>
    <cfRule type="expression" priority="1659" aboveAverage="0" equalAverage="0" bottom="0" percent="0" rank="0" text="" dxfId="1690">
      <formula>AND($L129="X",OR($B129&lt;&gt;"",#ref!&lt;&gt;"",$C129&lt;&gt;"",$D129&lt;&gt;""))</formula>
    </cfRule>
    <cfRule type="expression" priority="1660" aboveAverage="0" equalAverage="0" bottom="0" percent="0" rank="0" text="" dxfId="1691">
      <formula>AND(#ref!=1,#ref!=1)</formula>
    </cfRule>
    <cfRule type="expression" priority="1661" aboveAverage="0" equalAverage="0" bottom="0" percent="0" rank="0" text="" dxfId="1692">
      <formula>#ref!=1</formula>
    </cfRule>
    <cfRule type="expression" priority="1662" aboveAverage="0" equalAverage="0" bottom="0" percent="0" rank="0" text="" dxfId="1693">
      <formula>#ref!=1</formula>
    </cfRule>
    <cfRule type="expression" priority="1663" aboveAverage="0" equalAverage="0" bottom="0" percent="0" rank="0" text="" dxfId="1694">
      <formula>AND($L129="X",OR($B129&lt;&gt;"",#ref!&lt;&gt;"",$C129&lt;&gt;"",$D129&lt;&gt;""))</formula>
    </cfRule>
    <cfRule type="expression" priority="1664" aboveAverage="0" equalAverage="0" bottom="0" percent="0" rank="0" text="" dxfId="1695">
      <formula>#ref!=1</formula>
    </cfRule>
    <cfRule type="expression" priority="1665" aboveAverage="0" equalAverage="0" bottom="0" percent="0" rank="0" text="" dxfId="1696">
      <formula>#ref!=1</formula>
    </cfRule>
    <cfRule type="expression" priority="1666" aboveAverage="0" equalAverage="0" bottom="0" percent="0" rank="0" text="" dxfId="1697">
      <formula>AND($L129="X",OR($B129&lt;&gt;"",$C129&lt;&gt;""))</formula>
    </cfRule>
    <cfRule type="expression" priority="1667" aboveAverage="0" equalAverage="0" bottom="0" percent="0" rank="0" text="" dxfId="1698">
      <formula>AND(#ref!=1,#ref!=1)</formula>
    </cfRule>
    <cfRule type="expression" priority="1668" aboveAverage="0" equalAverage="0" bottom="0" percent="0" rank="0" text="" dxfId="1699">
      <formula>#ref!=1</formula>
    </cfRule>
    <cfRule type="expression" priority="1669" aboveAverage="0" equalAverage="0" bottom="0" percent="0" rank="0" text="" dxfId="1700">
      <formula>#ref!=1</formula>
    </cfRule>
    <cfRule type="expression" priority="1670" aboveAverage="0" equalAverage="0" bottom="0" percent="0" rank="0" text="" dxfId="1701">
      <formula>AND($L129="X",OR($B129&lt;&gt;"",$C129&lt;&gt;""))</formula>
    </cfRule>
    <cfRule type="expression" priority="1671" aboveAverage="0" equalAverage="0" bottom="0" percent="0" rank="0" text="" dxfId="1702">
      <formula>AND(#ref!=1,#ref!=1)</formula>
    </cfRule>
    <cfRule type="expression" priority="1672" aboveAverage="0" equalAverage="0" bottom="0" percent="0" rank="0" text="" dxfId="1703">
      <formula>#ref!=1</formula>
    </cfRule>
    <cfRule type="expression" priority="1673" aboveAverage="0" equalAverage="0" bottom="0" percent="0" rank="0" text="" dxfId="1704">
      <formula>#ref!=1</formula>
    </cfRule>
    <cfRule type="expression" priority="1674" aboveAverage="0" equalAverage="0" bottom="0" percent="0" rank="0" text="" dxfId="1705">
      <formula>AND($L129="X",OR($B129&lt;&gt;"",$C129&lt;&gt;""))</formula>
    </cfRule>
    <cfRule type="expression" priority="1675" aboveAverage="0" equalAverage="0" bottom="0" percent="0" rank="0" text="" dxfId="1706">
      <formula>AND(#ref!=1,#ref!=1)</formula>
    </cfRule>
    <cfRule type="expression" priority="1676" aboveAverage="0" equalAverage="0" bottom="0" percent="0" rank="0" text="" dxfId="1707">
      <formula>#ref!=1</formula>
    </cfRule>
    <cfRule type="expression" priority="1677" aboveAverage="0" equalAverage="0" bottom="0" percent="0" rank="0" text="" dxfId="1708">
      <formula>#ref!=1</formula>
    </cfRule>
    <cfRule type="expression" priority="1678" aboveAverage="0" equalAverage="0" bottom="0" percent="0" rank="0" text="" dxfId="1709">
      <formula>AND($L129="X",OR($B129&lt;&gt;"",$C129&lt;&gt;""))</formula>
    </cfRule>
    <cfRule type="expression" priority="1679" aboveAverage="0" equalAverage="0" bottom="0" percent="0" rank="0" text="" dxfId="1710">
      <formula>AND(#ref!=1,#ref!=1)</formula>
    </cfRule>
    <cfRule type="expression" priority="1680" aboveAverage="0" equalAverage="0" bottom="0" percent="0" rank="0" text="" dxfId="1711">
      <formula>#ref!=1</formula>
    </cfRule>
    <cfRule type="expression" priority="1681" aboveAverage="0" equalAverage="0" bottom="0" percent="0" rank="0" text="" dxfId="1712">
      <formula>#ref!=1</formula>
    </cfRule>
    <cfRule type="expression" priority="1682" aboveAverage="0" equalAverage="0" bottom="0" percent="0" rank="0" text="" dxfId="1713">
      <formula>AND($L129="X",OR($B129&lt;&gt;"",$C129&lt;&gt;""))</formula>
    </cfRule>
    <cfRule type="expression" priority="1683" aboveAverage="0" equalAverage="0" bottom="0" percent="0" rank="0" text="" dxfId="1714">
      <formula>AND(#ref!=1,#ref!=1)</formula>
    </cfRule>
    <cfRule type="expression" priority="1684" aboveAverage="0" equalAverage="0" bottom="0" percent="0" rank="0" text="" dxfId="1715">
      <formula>#ref!=1</formula>
    </cfRule>
    <cfRule type="expression" priority="1685" aboveAverage="0" equalAverage="0" bottom="0" percent="0" rank="0" text="" dxfId="1716">
      <formula>#ref!=1</formula>
    </cfRule>
    <cfRule type="expression" priority="1686" aboveAverage="0" equalAverage="0" bottom="0" percent="0" rank="0" text="" dxfId="1717">
      <formula>AND($L129="X",OR($B129&lt;&gt;"",$C129&lt;&gt;"",$D129&lt;&gt;"",$E129&lt;&gt;""))</formula>
    </cfRule>
  </conditionalFormatting>
  <conditionalFormatting sqref="F134:G134 F137:G137">
    <cfRule type="expression" priority="1687" aboveAverage="0" equalAverage="0" bottom="0" percent="0" rank="0" text="" dxfId="1718">
      <formula>AND($L134="X",OR($B134&lt;&gt;"",$C134&lt;&gt;"",$D134&lt;&gt;"",$E134&lt;&gt;""))</formula>
    </cfRule>
    <cfRule type="expression" priority="1688" aboveAverage="0" equalAverage="0" bottom="0" percent="0" rank="0" text="" dxfId="1719">
      <formula>AND($L134="X",OR($B134&lt;&gt;"",#ref!&lt;&gt;"",$C134&lt;&gt;"",$D134&lt;&gt;""))</formula>
    </cfRule>
    <cfRule type="expression" priority="1689" aboveAverage="0" equalAverage="0" bottom="0" percent="0" rank="0" text="" dxfId="1720">
      <formula>AND(#ref!=1,#ref!=1)</formula>
    </cfRule>
    <cfRule type="expression" priority="1690" aboveAverage="0" equalAverage="0" bottom="0" percent="0" rank="0" text="" dxfId="1721">
      <formula>#ref!=1</formula>
    </cfRule>
    <cfRule type="expression" priority="1691" aboveAverage="0" equalAverage="0" bottom="0" percent="0" rank="0" text="" dxfId="1722">
      <formula>#ref!=1</formula>
    </cfRule>
    <cfRule type="expression" priority="1692" aboveAverage="0" equalAverage="0" bottom="0" percent="0" rank="0" text="" dxfId="1723">
      <formula>AND($L134="X",OR($B134&lt;&gt;"",$C134&lt;&gt;""))</formula>
    </cfRule>
    <cfRule type="expression" priority="1693" aboveAverage="0" equalAverage="0" bottom="0" percent="0" rank="0" text="" dxfId="1724">
      <formula>AND(#ref!=1,#ref!=1)</formula>
    </cfRule>
    <cfRule type="expression" priority="1694" aboveAverage="0" equalAverage="0" bottom="0" percent="0" rank="0" text="" dxfId="1725">
      <formula>#ref!=1</formula>
    </cfRule>
    <cfRule type="expression" priority="1695" aboveAverage="0" equalAverage="0" bottom="0" percent="0" rank="0" text="" dxfId="1726">
      <formula>#ref!=1</formula>
    </cfRule>
    <cfRule type="expression" priority="1696" aboveAverage="0" equalAverage="0" bottom="0" percent="0" rank="0" text="" dxfId="1727">
      <formula>AND($L134="X",OR($B134&lt;&gt;"",$C134&lt;&gt;""))</formula>
    </cfRule>
    <cfRule type="expression" priority="1697" aboveAverage="0" equalAverage="0" bottom="0" percent="0" rank="0" text="" dxfId="1728">
      <formula>AND(#ref!=1,#ref!=1)</formula>
    </cfRule>
    <cfRule type="expression" priority="1698" aboveAverage="0" equalAverage="0" bottom="0" percent="0" rank="0" text="" dxfId="1729">
      <formula>#ref!=1</formula>
    </cfRule>
    <cfRule type="expression" priority="1699" aboveAverage="0" equalAverage="0" bottom="0" percent="0" rank="0" text="" dxfId="1730">
      <formula>#ref!=1</formula>
    </cfRule>
    <cfRule type="expression" priority="1700" aboveAverage="0" equalAverage="0" bottom="0" percent="0" rank="0" text="" dxfId="1731">
      <formula>AND($L134="X",OR($B134&lt;&gt;"",$C134&lt;&gt;""))</formula>
    </cfRule>
    <cfRule type="expression" priority="1701" aboveAverage="0" equalAverage="0" bottom="0" percent="0" rank="0" text="" dxfId="1732">
      <formula>AND(#ref!=1,#ref!=1)</formula>
    </cfRule>
    <cfRule type="expression" priority="1702" aboveAverage="0" equalAverage="0" bottom="0" percent="0" rank="0" text="" dxfId="1733">
      <formula>#ref!=1</formula>
    </cfRule>
    <cfRule type="expression" priority="1703" aboveAverage="0" equalAverage="0" bottom="0" percent="0" rank="0" text="" dxfId="1734">
      <formula>#ref!=1</formula>
    </cfRule>
    <cfRule type="expression" priority="1704" aboveAverage="0" equalAverage="0" bottom="0" percent="0" rank="0" text="" dxfId="1735">
      <formula>AND($L134="X",OR($B134&lt;&gt;"",$C134&lt;&gt;""))</formula>
    </cfRule>
    <cfRule type="expression" priority="1705" aboveAverage="0" equalAverage="0" bottom="0" percent="0" rank="0" text="" dxfId="1736">
      <formula>AND(#ref!=1,#ref!=1)</formula>
    </cfRule>
    <cfRule type="expression" priority="1706" aboveAverage="0" equalAverage="0" bottom="0" percent="0" rank="0" text="" dxfId="1737">
      <formula>#ref!=1</formula>
    </cfRule>
    <cfRule type="expression" priority="1707" aboveAverage="0" equalAverage="0" bottom="0" percent="0" rank="0" text="" dxfId="1738">
      <formula>#ref!=1</formula>
    </cfRule>
    <cfRule type="expression" priority="1708" aboveAverage="0" equalAverage="0" bottom="0" percent="0" rank="0" text="" dxfId="1739">
      <formula>AND($L134="X",OR($B134&lt;&gt;"",$C134&lt;&gt;""))</formula>
    </cfRule>
    <cfRule type="expression" priority="1709" aboveAverage="0" equalAverage="0" bottom="0" percent="0" rank="0" text="" dxfId="1740">
      <formula>AND(#ref!=1,#ref!=1)</formula>
    </cfRule>
    <cfRule type="expression" priority="1710" aboveAverage="0" equalAverage="0" bottom="0" percent="0" rank="0" text="" dxfId="1741">
      <formula>#ref!=1</formula>
    </cfRule>
    <cfRule type="expression" priority="1711" aboveAverage="0" equalAverage="0" bottom="0" percent="0" rank="0" text="" dxfId="1742">
      <formula>#ref!=1</formula>
    </cfRule>
    <cfRule type="expression" priority="1712" aboveAverage="0" equalAverage="0" bottom="0" percent="0" rank="0" text="" dxfId="1743">
      <formula>AND($L134="X",OR($B134&lt;&gt;"",$C134&lt;&gt;""))</formula>
    </cfRule>
    <cfRule type="expression" priority="1713" aboveAverage="0" equalAverage="0" bottom="0" percent="0" rank="0" text="" dxfId="1744">
      <formula>AND(#ref!=1,#ref!=1)</formula>
    </cfRule>
    <cfRule type="expression" priority="1714" aboveAverage="0" equalAverage="0" bottom="0" percent="0" rank="0" text="" dxfId="1745">
      <formula>#ref!=1</formula>
    </cfRule>
    <cfRule type="expression" priority="1715" aboveAverage="0" equalAverage="0" bottom="0" percent="0" rank="0" text="" dxfId="1746">
      <formula>#ref!=1</formula>
    </cfRule>
    <cfRule type="expression" priority="1716" aboveAverage="0" equalAverage="0" bottom="0" percent="0" rank="0" text="" dxfId="1747">
      <formula>AND(NOT(ISBLANK($Q134)),ISBLANK(#ref!),ISBLANK(#ref!))</formula>
    </cfRule>
    <cfRule type="expression" priority="1717" aboveAverage="0" equalAverage="0" bottom="0" percent="0" rank="0" text="" dxfId="1748">
      <formula>OR(#ref!="X",#ref!="X")</formula>
    </cfRule>
    <cfRule type="expression" priority="1718" aboveAverage="0" equalAverage="0" bottom="0" percent="0" rank="0" text="" dxfId="1749">
      <formula>AND(#ref!=1,#ref!=1)</formula>
    </cfRule>
    <cfRule type="expression" priority="1719" aboveAverage="0" equalAverage="0" bottom="0" percent="0" rank="0" text="" dxfId="1750">
      <formula>#ref!=1</formula>
    </cfRule>
    <cfRule type="expression" priority="1720" aboveAverage="0" equalAverage="0" bottom="0" percent="0" rank="0" text="" dxfId="1751">
      <formula>#ref!=1</formula>
    </cfRule>
    <cfRule type="expression" priority="1721" aboveAverage="0" equalAverage="0" bottom="0" percent="0" rank="0" text="" dxfId="1752">
      <formula>AND($L134="X",OR($B134&lt;&gt;"",#ref!&lt;&gt;"",$C134&lt;&gt;""))</formula>
    </cfRule>
    <cfRule type="expression" priority="1722" aboveAverage="0" equalAverage="0" bottom="0" percent="0" rank="0" text="" dxfId="1753">
      <formula>AND($L134="X",OR($B134&lt;&gt;"",$C134&lt;&gt;"",$D134&lt;&gt;""))</formula>
    </cfRule>
    <cfRule type="expression" priority="1723" aboveAverage="0" equalAverage="0" bottom="0" percent="0" rank="0" text="" dxfId="1754">
      <formula>OR(#ref!="X",#ref!="X")</formula>
    </cfRule>
    <cfRule type="expression" priority="1724" aboveAverage="0" equalAverage="0" bottom="0" percent="0" rank="0" text="" dxfId="1755">
      <formula>AND(#ref!=1,#ref!=1)</formula>
    </cfRule>
    <cfRule type="expression" priority="1725" aboveAverage="0" equalAverage="0" bottom="0" percent="0" rank="0" text="" dxfId="1756">
      <formula>AND($L134="X",OR($B134&lt;&gt;"",$C134&lt;&gt;"",$D134&lt;&gt;"",$E134&lt;&gt;""))</formula>
    </cfRule>
    <cfRule type="expression" priority="1726" aboveAverage="0" equalAverage="0" bottom="0" percent="0" rank="0" text="" dxfId="1757">
      <formula>AND($L134="X",OR($B134&lt;&gt;"",$C134&lt;&gt;"",$E134&lt;&gt;"",#ref!&lt;&gt;""))</formula>
    </cfRule>
    <cfRule type="expression" priority="1727" aboveAverage="0" equalAverage="0" bottom="0" percent="0" rank="0" text="" dxfId="1758">
      <formula>#ref!=1</formula>
    </cfRule>
    <cfRule type="expression" priority="1728" aboveAverage="0" equalAverage="0" bottom="0" percent="0" rank="0" text="" dxfId="1759">
      <formula>AND(#ref!=1,#ref!=1)</formula>
    </cfRule>
    <cfRule type="expression" priority="1729" aboveAverage="0" equalAverage="0" bottom="0" percent="0" rank="0" text="" dxfId="1760">
      <formula>#ref!=1</formula>
    </cfRule>
    <cfRule type="expression" priority="1730" aboveAverage="0" equalAverage="0" bottom="0" percent="0" rank="0" text="" dxfId="1761">
      <formula>#ref!=1</formula>
    </cfRule>
    <cfRule type="expression" priority="1731" aboveAverage="0" equalAverage="0" bottom="0" percent="0" rank="0" text="" dxfId="1762">
      <formula>AND($L134="X",OR($B134&lt;&gt;"",$C134&lt;&gt;"",$D134&lt;&gt;""))</formula>
    </cfRule>
    <cfRule type="expression" priority="1732" aboveAverage="0" equalAverage="0" bottom="0" percent="0" rank="0" text="" dxfId="1763">
      <formula>#ref!=1</formula>
    </cfRule>
    <cfRule type="expression" priority="1733" aboveAverage="0" equalAverage="0" bottom="0" percent="0" rank="0" text="" dxfId="1764">
      <formula>AND($L134="X",OR($B134&lt;&gt;"",#ref!&lt;&gt;"",$C134&lt;&gt;"",$D134&lt;&gt;""))</formula>
    </cfRule>
    <cfRule type="expression" priority="1734" aboveAverage="0" equalAverage="0" bottom="0" percent="0" rank="0" text="" dxfId="1765">
      <formula>AND(#ref!=1,#ref!=1)</formula>
    </cfRule>
    <cfRule type="expression" priority="1735" aboveAverage="0" equalAverage="0" bottom="0" percent="0" rank="0" text="" dxfId="1766">
      <formula>#ref!=1</formula>
    </cfRule>
    <cfRule type="expression" priority="1736" aboveAverage="0" equalAverage="0" bottom="0" percent="0" rank="0" text="" dxfId="1767">
      <formula>#ref!=1</formula>
    </cfRule>
    <cfRule type="expression" priority="1737" aboveAverage="0" equalAverage="0" bottom="0" percent="0" rank="0" text="" dxfId="1768">
      <formula>AND($L134="X",OR($B134&lt;&gt;"",$C134&lt;&gt;""))</formula>
    </cfRule>
    <cfRule type="expression" priority="1738" aboveAverage="0" equalAverage="0" bottom="0" percent="0" rank="0" text="" dxfId="1769">
      <formula>AND(#ref!=1,#ref!=1)</formula>
    </cfRule>
    <cfRule type="expression" priority="1739" aboveAverage="0" equalAverage="0" bottom="0" percent="0" rank="0" text="" dxfId="1770">
      <formula>#ref!=1</formula>
    </cfRule>
    <cfRule type="expression" priority="1740" aboveAverage="0" equalAverage="0" bottom="0" percent="0" rank="0" text="" dxfId="1771">
      <formula>#ref!=1</formula>
    </cfRule>
    <cfRule type="expression" priority="1741" aboveAverage="0" equalAverage="0" bottom="0" percent="0" rank="0" text="" dxfId="1772">
      <formula>AND($L134="X",OR($B134&lt;&gt;"",$C134&lt;&gt;""))</formula>
    </cfRule>
    <cfRule type="expression" priority="1742" aboveAverage="0" equalAverage="0" bottom="0" percent="0" rank="0" text="" dxfId="1773">
      <formula>AND(#ref!=1,#ref!=1)</formula>
    </cfRule>
    <cfRule type="expression" priority="1743" aboveAverage="0" equalAverage="0" bottom="0" percent="0" rank="0" text="" dxfId="1774">
      <formula>#ref!=1</formula>
    </cfRule>
    <cfRule type="expression" priority="1744" aboveAverage="0" equalAverage="0" bottom="0" percent="0" rank="0" text="" dxfId="1775">
      <formula>#ref!=1</formula>
    </cfRule>
    <cfRule type="expression" priority="1745" aboveAverage="0" equalAverage="0" bottom="0" percent="0" rank="0" text="" dxfId="1776">
      <formula>AND($L134="X",OR($B134&lt;&gt;"",$C134&lt;&gt;""))</formula>
    </cfRule>
    <cfRule type="expression" priority="1746" aboveAverage="0" equalAverage="0" bottom="0" percent="0" rank="0" text="" dxfId="1777">
      <formula>AND(#ref!=1,#ref!=1)</formula>
    </cfRule>
    <cfRule type="expression" priority="1747" aboveAverage="0" equalAverage="0" bottom="0" percent="0" rank="0" text="" dxfId="1778">
      <formula>#ref!=1</formula>
    </cfRule>
    <cfRule type="expression" priority="1748" aboveAverage="0" equalAverage="0" bottom="0" percent="0" rank="0" text="" dxfId="1779">
      <formula>#ref!=1</formula>
    </cfRule>
    <cfRule type="expression" priority="1749" aboveAverage="0" equalAverage="0" bottom="0" percent="0" rank="0" text="" dxfId="1780">
      <formula>AND($L134="X",OR($B134&lt;&gt;"",$C134&lt;&gt;""))</formula>
    </cfRule>
    <cfRule type="expression" priority="1750" aboveAverage="0" equalAverage="0" bottom="0" percent="0" rank="0" text="" dxfId="1781">
      <formula>AND(#ref!=1,#ref!=1)</formula>
    </cfRule>
    <cfRule type="expression" priority="1751" aboveAverage="0" equalAverage="0" bottom="0" percent="0" rank="0" text="" dxfId="1782">
      <formula>#ref!=1</formula>
    </cfRule>
    <cfRule type="expression" priority="1752" aboveAverage="0" equalAverage="0" bottom="0" percent="0" rank="0" text="" dxfId="1783">
      <formula>#ref!=1</formula>
    </cfRule>
    <cfRule type="expression" priority="1753" aboveAverage="0" equalAverage="0" bottom="0" percent="0" rank="0" text="" dxfId="1784">
      <formula>AND($L134="X",OR($B134&lt;&gt;"",$C134&lt;&gt;""))</formula>
    </cfRule>
    <cfRule type="expression" priority="1754" aboveAverage="0" equalAverage="0" bottom="0" percent="0" rank="0" text="" dxfId="1785">
      <formula>AND(#ref!=1,#ref!=1)</formula>
    </cfRule>
    <cfRule type="expression" priority="1755" aboveAverage="0" equalAverage="0" bottom="0" percent="0" rank="0" text="" dxfId="1786">
      <formula>#ref!=1</formula>
    </cfRule>
    <cfRule type="expression" priority="1756" aboveAverage="0" equalAverage="0" bottom="0" percent="0" rank="0" text="" dxfId="1787">
      <formula>#ref!=1</formula>
    </cfRule>
    <cfRule type="expression" priority="1757" aboveAverage="0" equalAverage="0" bottom="0" percent="0" rank="0" text="" dxfId="1788">
      <formula>AND($L134="X",OR($B134&lt;&gt;"",$C134&lt;&gt;""))</formula>
    </cfRule>
    <cfRule type="expression" priority="1758" aboveAverage="0" equalAverage="0" bottom="0" percent="0" rank="0" text="" dxfId="1789">
      <formula>AND(#ref!=1,#ref!=1)</formula>
    </cfRule>
    <cfRule type="expression" priority="1759" aboveAverage="0" equalAverage="0" bottom="0" percent="0" rank="0" text="" dxfId="1790">
      <formula>#ref!=1</formula>
    </cfRule>
    <cfRule type="expression" priority="1760" aboveAverage="0" equalAverage="0" bottom="0" percent="0" rank="0" text="" dxfId="1791">
      <formula>#ref!=1</formula>
    </cfRule>
    <cfRule type="expression" priority="1761" aboveAverage="0" equalAverage="0" bottom="0" percent="0" rank="0" text="" dxfId="1792">
      <formula>AND(NOT(ISBLANK($P134)),ISBLANK(#ref!),ISBLANK(#ref!))</formula>
    </cfRule>
    <cfRule type="expression" priority="1762" aboveAverage="0" equalAverage="0" bottom="0" percent="0" rank="0" text="" dxfId="1793">
      <formula>OR(#ref!="X",#ref!="X")</formula>
    </cfRule>
    <cfRule type="expression" priority="1763" aboveAverage="0" equalAverage="0" bottom="0" percent="0" rank="0" text="" dxfId="1794">
      <formula>AND(#ref!=1,#ref!=1)</formula>
    </cfRule>
    <cfRule type="expression" priority="1764" aboveAverage="0" equalAverage="0" bottom="0" percent="0" rank="0" text="" dxfId="1795">
      <formula>#ref!=1</formula>
    </cfRule>
    <cfRule type="expression" priority="1765" aboveAverage="0" equalAverage="0" bottom="0" percent="0" rank="0" text="" dxfId="1796">
      <formula>#ref!=1</formula>
    </cfRule>
    <cfRule type="expression" priority="1766" aboveAverage="0" equalAverage="0" bottom="0" percent="0" rank="0" text="" dxfId="1797">
      <formula>AND($L134="X",OR($B134&lt;&gt;"",#ref!&lt;&gt;"",$C134&lt;&gt;""))</formula>
    </cfRule>
    <cfRule type="expression" priority="1767" aboveAverage="0" equalAverage="0" bottom="0" percent="0" rank="0" text="" dxfId="1798">
      <formula>AND($L134="X",OR($B134&lt;&gt;"",$C134&lt;&gt;"",$D134&lt;&gt;""))</formula>
    </cfRule>
    <cfRule type="expression" priority="1768" aboveAverage="0" equalAverage="0" bottom="0" percent="0" rank="0" text="" dxfId="1799">
      <formula>OR(#ref!="X",#ref!="X")</formula>
    </cfRule>
    <cfRule type="expression" priority="1769" aboveAverage="0" equalAverage="0" bottom="0" percent="0" rank="0" text="" dxfId="1800">
      <formula>AND(#ref!=1,#ref!=1)</formula>
    </cfRule>
    <cfRule type="expression" priority="1770" aboveAverage="0" equalAverage="0" bottom="0" percent="0" rank="0" text="" dxfId="1801">
      <formula>AND($L134="X",OR($B134&lt;&gt;"",$C134&lt;&gt;"",$D134&lt;&gt;"",$E134&lt;&gt;""))</formula>
    </cfRule>
    <cfRule type="expression" priority="1771" aboveAverage="0" equalAverage="0" bottom="0" percent="0" rank="0" text="" dxfId="1802">
      <formula>AND($L134="X",OR($B134&lt;&gt;"",$C134&lt;&gt;"",$E134&lt;&gt;"",#ref!&lt;&gt;""))</formula>
    </cfRule>
    <cfRule type="expression" priority="1772" aboveAverage="0" equalAverage="0" bottom="0" percent="0" rank="0" text="" dxfId="1803">
      <formula>#ref!=1</formula>
    </cfRule>
    <cfRule type="expression" priority="1773" aboveAverage="0" equalAverage="0" bottom="0" percent="0" rank="0" text="" dxfId="1804">
      <formula>AND(#ref!=1,#ref!=1)</formula>
    </cfRule>
  </conditionalFormatting>
  <conditionalFormatting sqref="F140:G141 D179">
    <cfRule type="expression" priority="1774" aboveAverage="0" equalAverage="0" bottom="0" percent="0" rank="0" text="" dxfId="1805">
      <formula>AND($L140="X",OR($B140&lt;&gt;"",#ref!&lt;&gt;"",$C140&lt;&gt;"",$D140&lt;&gt;""))</formula>
    </cfRule>
  </conditionalFormatting>
  <conditionalFormatting sqref="F172:G172 F176:G176">
    <cfRule type="expression" priority="1775" aboveAverage="0" equalAverage="0" bottom="0" percent="0" rank="0" text="" dxfId="1806">
      <formula>AND($L172="X",OR($B172&lt;&gt;"",$C172&lt;&gt;"",$D172&lt;&gt;"",#ref!&lt;&gt;"",$F172&lt;&gt;""))</formula>
    </cfRule>
  </conditionalFormatting>
  <conditionalFormatting sqref="F189:G189">
    <cfRule type="expression" priority="1776" aboveAverage="0" equalAverage="0" bottom="0" percent="0" rank="0" text="" dxfId="1807">
      <formula>AND($L189="X",OR($B189&lt;&gt;"",#ref!&lt;&gt;"",$C189&lt;&gt;""))</formula>
    </cfRule>
    <cfRule type="expression" priority="1777" aboveAverage="0" equalAverage="0" bottom="0" percent="0" rank="0" text="" dxfId="1808">
      <formula>AND($L189="X",OR($B189&lt;&gt;"",$C189&lt;&gt;"",$D189&lt;&gt;"",$E189&lt;&gt;""))</formula>
    </cfRule>
    <cfRule type="expression" priority="1778" aboveAverage="0" equalAverage="0" bottom="0" percent="0" rank="0" text="" dxfId="1809">
      <formula>AND($L189="X",OR($B189&lt;&gt;"",#ref!&lt;&gt;"",$C189&lt;&gt;"",$D189&lt;&gt;""))</formula>
    </cfRule>
  </conditionalFormatting>
  <conditionalFormatting sqref="G9:G28 G30:G37 F34 G41:G68 F85 G92:G93 G95:G125 F124 G166:G171 D173:G173 G194:G202">
    <cfRule type="expression" priority="1779" aboveAverage="0" equalAverage="0" bottom="0" percent="0" rank="0" text="" dxfId="1810">
      <formula>AND($L9="X",OR($B9&lt;&gt;"",$C9&lt;&gt;"",$D9&lt;&gt;"",$E9&lt;&gt;"",$F9&lt;&gt;""))</formula>
    </cfRule>
  </conditionalFormatting>
  <conditionalFormatting sqref="G29 G162">
    <cfRule type="expression" priority="1780" aboveAverage="0" equalAverage="0" bottom="0" percent="0" rank="0" text="" dxfId="1811">
      <formula>AND($L29="X",OR($B29&lt;&gt;"",#ref!&lt;&gt;"",$D29&lt;&gt;"",$E29&lt;&gt;"",$F29&lt;&gt;""))</formula>
    </cfRule>
  </conditionalFormatting>
  <conditionalFormatting sqref="G30">
    <cfRule type="expression" priority="1781" aboveAverage="0" equalAverage="0" bottom="0" percent="0" rank="0" text="" dxfId="1812">
      <formula>AND($L30="X",OR($B30&lt;&gt;"",$C30&lt;&gt;"",$D30&lt;&gt;"",$E30&lt;&gt;""))</formula>
    </cfRule>
  </conditionalFormatting>
  <conditionalFormatting sqref="G39:G40">
    <cfRule type="expression" priority="1782" aboveAverage="0" equalAverage="0" bottom="0" percent="0" rank="0" text="" dxfId="1813">
      <formula>AND($L39="X",OR($B39&lt;&gt;"",#ref!&lt;&gt;"",$D39&lt;&gt;"",#ref!&lt;&gt;"",$F39&lt;&gt;""))</formula>
    </cfRule>
  </conditionalFormatting>
  <conditionalFormatting sqref="G41:G42 G48 F52 F56 F66 G68">
    <cfRule type="expression" priority="1783" aboveAverage="0" equalAverage="0" bottom="0" percent="0" rank="0" text="" dxfId="1814">
      <formula>AND($L41="X",OR($B41&lt;&gt;"",#ref!&lt;&gt;"",$C41&lt;&gt;"",$D41&lt;&gt;"",$F41&lt;&gt;""))</formula>
    </cfRule>
  </conditionalFormatting>
  <conditionalFormatting sqref="G41:G42 G48 F52 F56 F66 G68:G69">
    <cfRule type="expression" priority="1784" aboveAverage="0" equalAverage="0" bottom="0" percent="0" rank="0" text="" dxfId="1815">
      <formula>AND($L41="X",OR($B41&lt;&gt;"",#ref!&lt;&gt;"",$C41&lt;&gt;"",$D41&lt;&gt;""))</formula>
    </cfRule>
    <cfRule type="expression" priority="1785" aboveAverage="0" equalAverage="0" bottom="0" percent="0" rank="0" text="" dxfId="1816">
      <formula>AND($L41="X",OR($B41&lt;&gt;"",$C41&lt;&gt;"",$D41&lt;&gt;""))</formula>
    </cfRule>
  </conditionalFormatting>
  <conditionalFormatting sqref="G41:G42 G48 G68:G69">
    <cfRule type="expression" priority="1786" aboveAverage="0" equalAverage="0" bottom="0" percent="0" rank="0" text="" dxfId="1817">
      <formula>AND($L41="X",OR($B41&lt;&gt;"",$C41&lt;&gt;"",$D41&lt;&gt;"",$E41&lt;&gt;""))</formula>
    </cfRule>
  </conditionalFormatting>
  <conditionalFormatting sqref="G69">
    <cfRule type="expression" priority="1787" aboveAverage="0" equalAverage="0" bottom="0" percent="0" rank="0" text="" dxfId="1818">
      <formula>AND($L69="X",OR($B69&lt;&gt;"",#ref!&lt;&gt;"",$C69&lt;&gt;""))</formula>
    </cfRule>
    <cfRule type="expression" priority="1788" aboveAverage="0" equalAverage="0" bottom="0" percent="0" rank="0" text="" dxfId="1819">
      <formula>AND($L69="X",OR($B69&lt;&gt;"",$C69&lt;&gt;""))</formula>
    </cfRule>
  </conditionalFormatting>
  <conditionalFormatting sqref="G70:G89 E85">
    <cfRule type="expression" priority="1789" aboveAverage="0" equalAverage="0" bottom="0" percent="0" rank="0" text="" dxfId="1820">
      <formula>AND($L70="X",OR($B70&lt;&gt;"",$C70&lt;&gt;"",$D70&lt;&gt;"",$E70&lt;&gt;"",$F70&lt;&gt;""))</formula>
    </cfRule>
  </conditionalFormatting>
  <conditionalFormatting sqref="G79">
    <cfRule type="expression" priority="1790" aboveAverage="0" equalAverage="0" bottom="0" percent="0" rank="0" text="" dxfId="1821">
      <formula>AND($L79="X",OR($B79&lt;&gt;"",#ref!&lt;&gt;"",$C79&lt;&gt;"",$D79&lt;&gt;"",$F79&lt;&gt;""))</formula>
    </cfRule>
    <cfRule type="expression" priority="1791" aboveAverage="0" equalAverage="0" bottom="0" percent="0" rank="0" text="" dxfId="1822">
      <formula>AND($L79="X",OR($B79&lt;&gt;"",#ref!&lt;&gt;"",$C79&lt;&gt;"",$D79&lt;&gt;""))</formula>
    </cfRule>
    <cfRule type="expression" priority="1792" aboveAverage="0" equalAverage="0" bottom="0" percent="0" rank="0" text="" dxfId="1823">
      <formula>AND($L79="X",OR($B79&lt;&gt;"",$C79&lt;&gt;"",$D79&lt;&gt;"",$E79&lt;&gt;""))</formula>
    </cfRule>
    <cfRule type="expression" priority="1793" aboveAverage="0" equalAverage="0" bottom="0" percent="0" rank="0" text="" dxfId="1824">
      <formula>AND($L79="X",OR($B79&lt;&gt;"",$C79&lt;&gt;"",$D79&lt;&gt;""))</formula>
    </cfRule>
  </conditionalFormatting>
  <conditionalFormatting sqref="G90:G91 G174">
    <cfRule type="expression" priority="1794" aboveAverage="0" equalAverage="0" bottom="0" percent="0" rank="0" text="" dxfId="1825">
      <formula>AND($L90="X",OR($B90&lt;&gt;"",$D90&lt;&gt;"",#ref!&lt;&gt;"",$E90&lt;&gt;"",$F90&lt;&gt;""))</formula>
    </cfRule>
  </conditionalFormatting>
  <conditionalFormatting sqref="G93 G97 G102">
    <cfRule type="expression" priority="1795" aboveAverage="0" equalAverage="0" bottom="0" percent="0" rank="0" text="" dxfId="1826">
      <formula>AND($L93="X",OR($B93&lt;&gt;"",#ref!&lt;&gt;"",$C93&lt;&gt;"",$D93&lt;&gt;"",$F93&lt;&gt;""))</formula>
    </cfRule>
    <cfRule type="expression" priority="1796" aboveAverage="0" equalAverage="0" bottom="0" percent="0" rank="0" text="" dxfId="1827">
      <formula>AND($L93="X",OR($B93&lt;&gt;"",#ref!&lt;&gt;"",$C93&lt;&gt;"",$D93&lt;&gt;""))</formula>
    </cfRule>
    <cfRule type="expression" priority="1797" aboveAverage="0" equalAverage="0" bottom="0" percent="0" rank="0" text="" dxfId="1828">
      <formula>AND($L93="X",OR($B93&lt;&gt;"",$C93&lt;&gt;"",$D93&lt;&gt;"",$E93&lt;&gt;""))</formula>
    </cfRule>
  </conditionalFormatting>
  <conditionalFormatting sqref="G94 G125:G127">
    <cfRule type="expression" priority="1798" aboveAverage="0" equalAverage="0" bottom="0" percent="0" rank="0" text="" dxfId="1829">
      <formula>AND($L94="X",OR($B94&lt;&gt;"",$C94&lt;&gt;"",$E94&lt;&gt;"",#ref!&lt;&gt;"",$F94&lt;&gt;""))</formula>
    </cfRule>
  </conditionalFormatting>
  <conditionalFormatting sqref="G112 G128 F142 F157">
    <cfRule type="expression" priority="1799" aboveAverage="0" equalAverage="0" bottom="0" percent="0" rank="0" text="" dxfId="1830">
      <formula>AND($L112="X",OR($B112&lt;&gt;"",#ref!&lt;&gt;"",$C112&lt;&gt;"",$D112&lt;&gt;"",$F112&lt;&gt;""))</formula>
    </cfRule>
  </conditionalFormatting>
  <conditionalFormatting sqref="G112 G128 F142:F143 F156:F157">
    <cfRule type="expression" priority="1800" aboveAverage="0" equalAverage="0" bottom="0" percent="0" rank="0" text="" dxfId="1831">
      <formula>AND($L112="X",OR($B112&lt;&gt;"",#ref!&lt;&gt;"",$C112&lt;&gt;"",$D112&lt;&gt;""))</formula>
    </cfRule>
  </conditionalFormatting>
  <conditionalFormatting sqref="G114">
    <cfRule type="expression" priority="1801" aboveAverage="0" equalAverage="0" bottom="0" percent="0" rank="0" text="" dxfId="1832">
      <formula>AND($L114="X",OR(#ref!&lt;&gt;"",$B114&lt;&gt;"",$C114&lt;&gt;"",$E114&lt;&gt;"",$F114&lt;&gt;""))</formula>
    </cfRule>
  </conditionalFormatting>
  <conditionalFormatting sqref="G125">
    <cfRule type="expression" priority="1802" aboveAverage="0" equalAverage="0" bottom="0" percent="0" rank="0" text="" dxfId="1833">
      <formula>AND($L125="X",OR($B125&lt;&gt;"",#ref!&lt;&gt;"",$C125&lt;&gt;"",$D125&lt;&gt;"",$F125&lt;&gt;""))</formula>
    </cfRule>
    <cfRule type="expression" priority="1803" aboveAverage="0" equalAverage="0" bottom="0" percent="0" rank="0" text="" dxfId="1834">
      <formula>AND($L125="X",OR($B125&lt;&gt;"",#ref!&lt;&gt;"",$C125&lt;&gt;"",$D125&lt;&gt;""))</formula>
    </cfRule>
    <cfRule type="expression" priority="1804" aboveAverage="0" equalAverage="0" bottom="0" percent="0" rank="0" text="" dxfId="1835">
      <formula>AND($L125="X",OR($B125&lt;&gt;"",$C125&lt;&gt;"",$E125&lt;&gt;"",#ref!&lt;&gt;""))</formula>
    </cfRule>
    <cfRule type="expression" priority="1805" aboveAverage="0" equalAverage="0" bottom="0" percent="0" rank="0" text="" dxfId="1836">
      <formula>AND($L125="X",OR($B125&lt;&gt;"",$C125&lt;&gt;"",$D125&lt;&gt;"",$E125&lt;&gt;""))</formula>
    </cfRule>
  </conditionalFormatting>
  <conditionalFormatting sqref="G128:G133 F52 F56 F66 G143:G161">
    <cfRule type="expression" priority="1806" aboveAverage="0" equalAverage="0" bottom="0" percent="0" rank="0" text="" dxfId="1837">
      <formula>AND($L52="X",OR($B52&lt;&gt;"",$C52&lt;&gt;"",$D52&lt;&gt;"",$E52&lt;&gt;"",$F52&lt;&gt;""))</formula>
    </cfRule>
  </conditionalFormatting>
  <conditionalFormatting sqref="G134">
    <cfRule type="expression" priority="1807" aboveAverage="0" equalAverage="0" bottom="0" percent="0" rank="0" text="" dxfId="1838">
      <formula>AND($L134="X",OR($B134&lt;&gt;"",$C134&lt;&gt;"",$D134&lt;&gt;"",$E134&lt;&gt;""))</formula>
    </cfRule>
    <cfRule type="expression" priority="1808" aboveAverage="0" equalAverage="0" bottom="0" percent="0" rank="0" text="" dxfId="1839">
      <formula>AND($L134="X",OR($B134&lt;&gt;"",$C134&lt;&gt;"",$E134&lt;&gt;"",#ref!&lt;&gt;"",$F134&lt;&gt;""))</formula>
    </cfRule>
  </conditionalFormatting>
  <conditionalFormatting sqref="G135:G136">
    <cfRule type="expression" priority="1809" aboveAverage="0" equalAverage="0" bottom="0" percent="0" rank="0" text="" dxfId="1840">
      <formula>AND($L135="X",OR($B135&lt;&gt;"",$C135&lt;&gt;"",$D135&lt;&gt;"",$F135&lt;&gt;"",#ref!&lt;&gt;""))</formula>
    </cfRule>
  </conditionalFormatting>
  <conditionalFormatting sqref="G138:G139">
    <cfRule type="expression" priority="1810" aboveAverage="0" equalAverage="0" bottom="0" percent="0" rank="0" text="" dxfId="1841">
      <formula>AND($L138="X",OR($B138&lt;&gt;"",$C138&lt;&gt;"",$D138&lt;&gt;"",$F138&lt;&gt;""))</formula>
    </cfRule>
    <cfRule type="expression" priority="1811" aboveAverage="0" equalAverage="0" bottom="0" percent="0" rank="0" text="" dxfId="1842">
      <formula>AND($L138="X",OR($B138&lt;&gt;"",#ref!&lt;&gt;"",$C138&lt;&gt;"",$D138&lt;&gt;""))</formula>
    </cfRule>
    <cfRule type="expression" priority="1812" aboveAverage="0" equalAverage="0" bottom="0" percent="0" rank="0" text="" dxfId="1843">
      <formula>AND(#ref!=1,#ref!=1)</formula>
    </cfRule>
    <cfRule type="expression" priority="1813" aboveAverage="0" equalAverage="0" bottom="0" percent="0" rank="0" text="" dxfId="1844">
      <formula>#ref!=1</formula>
    </cfRule>
    <cfRule type="expression" priority="1814" aboveAverage="0" equalAverage="0" bottom="0" percent="0" rank="0" text="" dxfId="1845">
      <formula>#ref!=1</formula>
    </cfRule>
    <cfRule type="expression" priority="1815" aboveAverage="0" equalAverage="0" bottom="0" percent="0" rank="0" text="" dxfId="1846">
      <formula>AND($L138="X",OR($B138&lt;&gt;"",$C138&lt;&gt;""))</formula>
    </cfRule>
    <cfRule type="expression" priority="1816" aboveAverage="0" equalAverage="0" bottom="0" percent="0" rank="0" text="" dxfId="1847">
      <formula>AND(#ref!=1,#ref!=1)</formula>
    </cfRule>
    <cfRule type="expression" priority="1817" aboveAverage="0" equalAverage="0" bottom="0" percent="0" rank="0" text="" dxfId="1848">
      <formula>#ref!=1</formula>
    </cfRule>
    <cfRule type="expression" priority="1818" aboveAverage="0" equalAverage="0" bottom="0" percent="0" rank="0" text="" dxfId="1849">
      <formula>#ref!=1</formula>
    </cfRule>
    <cfRule type="expression" priority="1819" aboveAverage="0" equalAverage="0" bottom="0" percent="0" rank="0" text="" dxfId="1850">
      <formula>AND($L138="X",OR($B138&lt;&gt;"",$C138&lt;&gt;""))</formula>
    </cfRule>
    <cfRule type="expression" priority="1820" aboveAverage="0" equalAverage="0" bottom="0" percent="0" rank="0" text="" dxfId="1851">
      <formula>AND(#ref!=1,#ref!=1)</formula>
    </cfRule>
    <cfRule type="expression" priority="1821" aboveAverage="0" equalAverage="0" bottom="0" percent="0" rank="0" text="" dxfId="1852">
      <formula>#ref!=1</formula>
    </cfRule>
    <cfRule type="expression" priority="1822" aboveAverage="0" equalAverage="0" bottom="0" percent="0" rank="0" text="" dxfId="1853">
      <formula>#ref!=1</formula>
    </cfRule>
    <cfRule type="expression" priority="1823" aboveAverage="0" equalAverage="0" bottom="0" percent="0" rank="0" text="" dxfId="1854">
      <formula>AND($L138="X",OR($B138&lt;&gt;"",$C138&lt;&gt;""))</formula>
    </cfRule>
    <cfRule type="expression" priority="1824" aboveAverage="0" equalAverage="0" bottom="0" percent="0" rank="0" text="" dxfId="1855">
      <formula>AND(#ref!=1,#ref!=1)</formula>
    </cfRule>
    <cfRule type="expression" priority="1825" aboveAverage="0" equalAverage="0" bottom="0" percent="0" rank="0" text="" dxfId="1856">
      <formula>#ref!=1</formula>
    </cfRule>
    <cfRule type="expression" priority="1826" aboveAverage="0" equalAverage="0" bottom="0" percent="0" rank="0" text="" dxfId="1857">
      <formula>#ref!=1</formula>
    </cfRule>
    <cfRule type="expression" priority="1827" aboveAverage="0" equalAverage="0" bottom="0" percent="0" rank="0" text="" dxfId="1858">
      <formula>AND($L138="X",OR($B138&lt;&gt;"",$C138&lt;&gt;""))</formula>
    </cfRule>
    <cfRule type="expression" priority="1828" aboveAverage="0" equalAverage="0" bottom="0" percent="0" rank="0" text="" dxfId="1859">
      <formula>AND(#ref!=1,#ref!=1)</formula>
    </cfRule>
    <cfRule type="expression" priority="1829" aboveAverage="0" equalAverage="0" bottom="0" percent="0" rank="0" text="" dxfId="1860">
      <formula>#ref!=1</formula>
    </cfRule>
    <cfRule type="expression" priority="1830" aboveAverage="0" equalAverage="0" bottom="0" percent="0" rank="0" text="" dxfId="1861">
      <formula>#ref!=1</formula>
    </cfRule>
    <cfRule type="expression" priority="1831" aboveAverage="0" equalAverage="0" bottom="0" percent="0" rank="0" text="" dxfId="1862">
      <formula>AND($L138="X",OR($B138&lt;&gt;"",$C138&lt;&gt;""))</formula>
    </cfRule>
    <cfRule type="expression" priority="1832" aboveAverage="0" equalAverage="0" bottom="0" percent="0" rank="0" text="" dxfId="1863">
      <formula>AND(#ref!=1,#ref!=1)</formula>
    </cfRule>
    <cfRule type="expression" priority="1833" aboveAverage="0" equalAverage="0" bottom="0" percent="0" rank="0" text="" dxfId="1864">
      <formula>#ref!=1</formula>
    </cfRule>
    <cfRule type="expression" priority="1834" aboveAverage="0" equalAverage="0" bottom="0" percent="0" rank="0" text="" dxfId="1865">
      <formula>#ref!=1</formula>
    </cfRule>
    <cfRule type="expression" priority="1835" aboveAverage="0" equalAverage="0" bottom="0" percent="0" rank="0" text="" dxfId="1866">
      <formula>AND($L138="X",OR($B138&lt;&gt;"",$C138&lt;&gt;""))</formula>
    </cfRule>
    <cfRule type="expression" priority="1836" aboveAverage="0" equalAverage="0" bottom="0" percent="0" rank="0" text="" dxfId="1867">
      <formula>AND(#ref!=1,#ref!=1)</formula>
    </cfRule>
    <cfRule type="expression" priority="1837" aboveAverage="0" equalAverage="0" bottom="0" percent="0" rank="0" text="" dxfId="1868">
      <formula>#ref!=1</formula>
    </cfRule>
    <cfRule type="expression" priority="1838" aboveAverage="0" equalAverage="0" bottom="0" percent="0" rank="0" text="" dxfId="1869">
      <formula>#ref!=1</formula>
    </cfRule>
    <cfRule type="expression" priority="1839" aboveAverage="0" equalAverage="0" bottom="0" percent="0" rank="0" text="" dxfId="1870">
      <formula>AND(NOT(ISBLANK($P138)),ISBLANK(#ref!),ISBLANK(#ref!))</formula>
    </cfRule>
    <cfRule type="expression" priority="1840" aboveAverage="0" equalAverage="0" bottom="0" percent="0" rank="0" text="" dxfId="1871">
      <formula>OR(#ref!="X",#ref!="X")</formula>
    </cfRule>
    <cfRule type="expression" priority="1841" aboveAverage="0" equalAverage="0" bottom="0" percent="0" rank="0" text="" dxfId="1872">
      <formula>AND(#ref!=1,#ref!=1)</formula>
    </cfRule>
    <cfRule type="expression" priority="1842" aboveAverage="0" equalAverage="0" bottom="0" percent="0" rank="0" text="" dxfId="1873">
      <formula>#ref!=1</formula>
    </cfRule>
    <cfRule type="expression" priority="1843" aboveAverage="0" equalAverage="0" bottom="0" percent="0" rank="0" text="" dxfId="1874">
      <formula>#ref!=1</formula>
    </cfRule>
    <cfRule type="expression" priority="1844" aboveAverage="0" equalAverage="0" bottom="0" percent="0" rank="0" text="" dxfId="1875">
      <formula>AND($L138="X",OR($B138&lt;&gt;"",$C138&lt;&gt;"",$D138&lt;&gt;""))</formula>
    </cfRule>
    <cfRule type="expression" priority="1845" aboveAverage="0" equalAverage="0" bottom="0" percent="0" rank="0" text="" dxfId="1876">
      <formula>OR(#ref!="X",#ref!="X")</formula>
    </cfRule>
    <cfRule type="expression" priority="1846" aboveAverage="0" equalAverage="0" bottom="0" percent="0" rank="0" text="" dxfId="1877">
      <formula>AND(#ref!=1,#ref!=1)</formula>
    </cfRule>
    <cfRule type="expression" priority="1847" aboveAverage="0" equalAverage="0" bottom="0" percent="0" rank="0" text="" dxfId="1878">
      <formula>AND($L138="X",OR($B138&lt;&gt;"",$C138&lt;&gt;"",$D138&lt;&gt;"",$F138&lt;&gt;""))</formula>
    </cfRule>
    <cfRule type="expression" priority="1848" aboveAverage="0" equalAverage="0" bottom="0" percent="0" rank="0" text="" dxfId="1879">
      <formula>AND($L138="X",OR($B138&lt;&gt;"",$C138&lt;&gt;"",$F138&lt;&gt;"",#ref!&lt;&gt;""))</formula>
    </cfRule>
    <cfRule type="expression" priority="1849" aboveAverage="0" equalAverage="0" bottom="0" percent="0" rank="0" text="" dxfId="1880">
      <formula>#ref!=1</formula>
    </cfRule>
  </conditionalFormatting>
  <conditionalFormatting sqref="G140:G141 F179">
    <cfRule type="expression" priority="1850" aboveAverage="0" equalAverage="0" bottom="0" percent="0" rank="0" text="" dxfId="1881">
      <formula>AND($L140="X",OR($B140&lt;&gt;"",#ref!&lt;&gt;"",$C140&lt;&gt;"",$D140&lt;&gt;"",$F140&lt;&gt;""))</formula>
    </cfRule>
  </conditionalFormatting>
  <conditionalFormatting sqref="G140:G141 G137 F142 F157">
    <cfRule type="expression" priority="1851" aboveAverage="0" equalAverage="0" bottom="0" percent="0" rank="0" text="" dxfId="1882">
      <formula>AND($L137="X",OR($B137&lt;&gt;"",$C137&lt;&gt;"",$D137&lt;&gt;"",$E137&lt;&gt;"",$F137&lt;&gt;""))</formula>
    </cfRule>
  </conditionalFormatting>
  <conditionalFormatting sqref="G143 G146 G149 G156">
    <cfRule type="expression" priority="1852" aboveAverage="0" equalAverage="0" bottom="0" percent="0" rank="0" text="" dxfId="1883">
      <formula>AND($L143="X",OR($B143&lt;&gt;"",#ref!&lt;&gt;"",$C143&lt;&gt;"",$D143&lt;&gt;"",$F143&lt;&gt;""))</formula>
    </cfRule>
  </conditionalFormatting>
  <conditionalFormatting sqref="G143 G146 G149 G156:G157">
    <cfRule type="expression" priority="1853" aboveAverage="0" equalAverage="0" bottom="0" percent="0" rank="0" text="" dxfId="1884">
      <formula>AND($L143="X",OR($B143&lt;&gt;"",#ref!&lt;&gt;"",$C143&lt;&gt;"",$D143&lt;&gt;""))</formula>
    </cfRule>
  </conditionalFormatting>
  <conditionalFormatting sqref="G157">
    <cfRule type="expression" priority="1854" aboveAverage="0" equalAverage="0" bottom="0" percent="0" rank="0" text="" dxfId="1885">
      <formula>AND($L157="X",OR($B157&lt;&gt;"",$C157&lt;&gt;"",$D157&lt;&gt;""))</formula>
    </cfRule>
  </conditionalFormatting>
  <conditionalFormatting sqref="G163:G165">
    <cfRule type="expression" priority="1855" aboveAverage="0" equalAverage="0" bottom="0" percent="0" rank="0" text="" dxfId="1886">
      <formula>AND($L163="X",OR(#ref!&lt;&gt;"",$B163&lt;&gt;"",$D163&lt;&gt;"",#ref!&lt;&gt;"",$F163&lt;&gt;""))</formula>
    </cfRule>
  </conditionalFormatting>
  <conditionalFormatting sqref="G174:G175">
    <cfRule type="expression" priority="1856" aboveAverage="0" equalAverage="0" bottom="0" percent="0" rank="0" text="" dxfId="1887">
      <formula>AND($L174="X",OR(#ref!&lt;&gt;"",$B174&lt;&gt;"",$D174&lt;&gt;"",$E174&lt;&gt;"",$F174&lt;&gt;""))</formula>
    </cfRule>
  </conditionalFormatting>
  <conditionalFormatting sqref="G177:G178">
    <cfRule type="expression" priority="1857" aboveAverage="0" equalAverage="0" bottom="0" percent="0" rank="0" text="" dxfId="1888">
      <formula>AND($L177="X",OR(#ref!&lt;&gt;"",$B177&lt;&gt;"",$C177&lt;&gt;"",$D177&lt;&gt;"",$F177&lt;&gt;""))</formula>
    </cfRule>
  </conditionalFormatting>
  <conditionalFormatting sqref="G179:G181">
    <cfRule type="expression" priority="1858" aboveAverage="0" equalAverage="0" bottom="0" percent="0" rank="0" text="" dxfId="1889">
      <formula>AND(#ref!="X",OR(#ref!&lt;&gt;"",$B179&lt;&gt;"",$C179&lt;&gt;"",$D179&lt;&gt;"",$F179&lt;&gt;""))</formula>
    </cfRule>
  </conditionalFormatting>
  <conditionalFormatting sqref="G182">
    <cfRule type="expression" priority="1859" aboveAverage="0" equalAverage="0" bottom="0" percent="0" rank="0" text="" dxfId="1890">
      <formula>AND($L182="X",OR($B182&lt;&gt;"",#ref!&lt;&gt;"",$C182&lt;&gt;"",$D182&lt;&gt;"",$F182&lt;&gt;""))</formula>
    </cfRule>
  </conditionalFormatting>
  <conditionalFormatting sqref="G183:G188">
    <cfRule type="expression" priority="1860" aboveAverage="0" equalAverage="0" bottom="0" percent="0" rank="0" text="" dxfId="1891">
      <formula>AND($L183="X",OR($B183&lt;&gt;"",#ref!&lt;&gt;"",#ref!&lt;&gt;"",$C183&lt;&gt;"",$F183&lt;&gt;""))</formula>
    </cfRule>
  </conditionalFormatting>
  <conditionalFormatting sqref="G189">
    <cfRule type="expression" priority="1861" aboveAverage="0" equalAverage="0" bottom="0" percent="0" rank="0" text="" dxfId="1892">
      <formula>AND($L189="X",OR(#ref!&lt;&gt;"",#ref!&lt;&gt;"",#ref!&lt;&gt;"",$B189&lt;&gt;"",$F189&lt;&gt;""))</formula>
    </cfRule>
  </conditionalFormatting>
  <conditionalFormatting sqref="G190:G191">
    <cfRule type="expression" priority="1862" aboveAverage="0" equalAverage="0" bottom="0" percent="0" rank="0" text="" dxfId="1893">
      <formula>AND($L190="X",OR($B190&lt;&gt;"",#ref!&lt;&gt;"",$E190&lt;&gt;"",#ref!&lt;&gt;"",$F190&lt;&gt;""))</formula>
    </cfRule>
  </conditionalFormatting>
  <conditionalFormatting sqref="G192">
    <cfRule type="expression" priority="1863" aboveAverage="0" equalAverage="0" bottom="0" percent="0" rank="0" text="" dxfId="1894">
      <formula>AND($L192="X",OR($B192&lt;&gt;"",$C192&lt;&gt;"",$D192&lt;&gt;"",$E192&lt;&gt;"",$F192&lt;&gt;""))</formula>
    </cfRule>
  </conditionalFormatting>
  <conditionalFormatting sqref="G193">
    <cfRule type="expression" priority="1864" aboveAverage="0" equalAverage="0" bottom="0" percent="0" rank="0" text="" dxfId="1895">
      <formula>AND($L193="X",OR(#ref!&lt;&gt;"",#ref!&lt;&gt;"",#ref!&lt;&gt;"",$B193&lt;&gt;"",$F193&lt;&gt;""))</formula>
    </cfRule>
  </conditionalFormatting>
  <conditionalFormatting sqref="H204:H205 H225:H1065">
    <cfRule type="expression" priority="1865" aboveAverage="0" equalAverage="0" bottom="0" percent="0" rank="0" text="" dxfId="1896">
      <formula>$K204="X"</formula>
    </cfRule>
  </conditionalFormatting>
  <conditionalFormatting sqref="I11:I26 H44:H46">
    <cfRule type="expression" priority="1866" aboveAverage="0" equalAverage="0" bottom="0" percent="0" rank="0" text="" dxfId="1897">
      <formula>$L11="X"</formula>
    </cfRule>
  </conditionalFormatting>
  <conditionalFormatting sqref="I28:I62 I64:I178">
    <cfRule type="expression" priority="1867" aboveAverage="0" equalAverage="0" bottom="0" percent="0" rank="0" text="" dxfId="1898">
      <formula>$L28="X"</formula>
    </cfRule>
  </conditionalFormatting>
  <conditionalFormatting sqref="I179:I181">
    <cfRule type="expression" priority="1868" aboveAverage="0" equalAverage="0" bottom="0" percent="0" rank="0" text="" dxfId="1899">
      <formula>#ref!="X"</formula>
    </cfRule>
  </conditionalFormatting>
  <conditionalFormatting sqref="I182:I202">
    <cfRule type="expression" priority="1869" aboveAverage="0" equalAverage="0" bottom="0" percent="0" rank="0" text="" dxfId="1900">
      <formula>$L182="X"</formula>
    </cfRule>
  </conditionalFormatting>
  <conditionalFormatting sqref="K9:K202">
    <cfRule type="cellIs" priority="1870" operator="equal" aboveAverage="0" equalAverage="0" bottom="0" percent="0" rank="0" text="" dxfId="1901">
      <formula>"1..1"</formula>
    </cfRule>
    <cfRule type="cellIs" priority="1871" operator="equal" aboveAverage="0" equalAverage="0" bottom="0" percent="0" rank="0" text="" dxfId="1902">
      <formula>"0..n"</formula>
    </cfRule>
    <cfRule type="cellIs" priority="1872" operator="equal" aboveAverage="0" equalAverage="0" bottom="0" percent="0" rank="0" text="" dxfId="1903">
      <formula>"0..1"</formula>
    </cfRule>
  </conditionalFormatting>
  <conditionalFormatting sqref="O81">
    <cfRule type="cellIs" priority="1873" operator="equal" aboveAverage="0" equalAverage="0" bottom="0" percent="0" rank="0" text="" dxfId="1904">
      <formula>"1..1"</formula>
    </cfRule>
    <cfRule type="cellIs" priority="1874" operator="equal" aboveAverage="0" equalAverage="0" bottom="0" percent="0" rank="0" text="" dxfId="1905">
      <formula>"0..n"</formula>
    </cfRule>
    <cfRule type="cellIs" priority="1875" operator="equal" aboveAverage="0" equalAverage="0" bottom="0" percent="0" rank="0" text="" dxfId="1906">
      <formula>"0..1"</formula>
    </cfRule>
  </conditionalFormatting>
  <conditionalFormatting sqref="P21">
    <cfRule type="cellIs" priority="1876" operator="equal" aboveAverage="0" equalAverage="0" bottom="0" percent="0" rank="0" text="" dxfId="1907">
      <formula>"1..1"</formula>
    </cfRule>
    <cfRule type="cellIs" priority="1877" operator="equal" aboveAverage="0" equalAverage="0" bottom="0" percent="0" rank="0" text="" dxfId="1908">
      <formula>"0..n"</formula>
    </cfRule>
    <cfRule type="cellIs" priority="1878" operator="equal" aboveAverage="0" equalAverage="0" bottom="0" percent="0" rank="0" text="" dxfId="1909">
      <formula>"0..1"</formula>
    </cfRule>
  </conditionalFormatting>
  <conditionalFormatting sqref="Q16">
    <cfRule type="cellIs" priority="1879" operator="equal" aboveAverage="0" equalAverage="0" bottom="0" percent="0" rank="0" text="" dxfId="1910">
      <formula>"1..1"</formula>
    </cfRule>
    <cfRule type="cellIs" priority="1880" operator="equal" aboveAverage="0" equalAverage="0" bottom="0" percent="0" rank="0" text="" dxfId="1911">
      <formula>"0..n"</formula>
    </cfRule>
    <cfRule type="cellIs" priority="1881" operator="equal" aboveAverage="0" equalAverage="0" bottom="0" percent="0" rank="0" text="" dxfId="1912">
      <formula>"0..1"</formula>
    </cfRule>
  </conditionalFormatting>
  <conditionalFormatting sqref="Q34">
    <cfRule type="cellIs" priority="1882" operator="equal" aboveAverage="0" equalAverage="0" bottom="0" percent="0" rank="0" text="" dxfId="1913">
      <formula>"1..1"</formula>
    </cfRule>
    <cfRule type="cellIs" priority="1883" operator="equal" aboveAverage="0" equalAverage="0" bottom="0" percent="0" rank="0" text="" dxfId="1914">
      <formula>"0..n"</formula>
    </cfRule>
    <cfRule type="cellIs" priority="1884" operator="equal" aboveAverage="0" equalAverage="0" bottom="0" percent="0" rank="0" text="" dxfId="1915">
      <formula>"0..1"</formula>
    </cfRule>
  </conditionalFormatting>
  <conditionalFormatting sqref="Q121">
    <cfRule type="cellIs" priority="1885" operator="equal" aboveAverage="0" equalAverage="0" bottom="0" percent="0" rank="0" text="" dxfId="1916">
      <formula>"1..1"</formula>
    </cfRule>
    <cfRule type="cellIs" priority="1886" operator="equal" aboveAverage="0" equalAverage="0" bottom="0" percent="0" rank="0" text="" dxfId="1917">
      <formula>"0..n"</formula>
    </cfRule>
    <cfRule type="cellIs" priority="1887" operator="equal" aboveAverage="0" equalAverage="0" bottom="0" percent="0" rank="0" text="" dxfId="1918">
      <formula>"0..1"</formula>
    </cfRule>
  </conditionalFormatting>
  <hyperlinks>
    <hyperlink ref="I118" r:id="rId2" display="https://hub.esante.gouv.fr/resourceExample"/>
  </hyperlinks>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3332E7C5-60DA-42CC-92F5-725BE8E673D4}">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654A4519-4519-4959-98A4-5FDA65314DCB}">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17" activePane="bottomRight" state="frozen"/>
      <selection pane="topLeft" activeCell="A1" activeCellId="0" sqref="A1"/>
      <selection pane="topRight" activeCell="H1" activeCellId="0" sqref="H1"/>
      <selection pane="bottomLeft" activeCell="A17" activeCellId="0" sqref="A17"/>
      <selection pane="bottomRight" activeCell="B17" activeCellId="0" sqref="B17"/>
    </sheetView>
  </sheetViews>
  <sheetFormatPr defaultColWidth="9.515625" defaultRowHeight="14.25" zeroHeight="false" outlineLevelRow="0" outlineLevelCol="0"/>
  <cols>
    <col collapsed="false" customWidth="true" hidden="false" outlineLevel="0" max="1" min="1" style="30" width="3.88"/>
    <col collapsed="false" customWidth="true" hidden="false" outlineLevel="0" max="2" min="2" style="30" width="13.63"/>
    <col collapsed="false" customWidth="true" hidden="false" outlineLevel="0" max="3" min="3" style="30" width="26.5"/>
    <col collapsed="false" customWidth="true" hidden="false" outlineLevel="0" max="4" min="4" style="30" width="22.13"/>
    <col collapsed="false" customWidth="true" hidden="false" outlineLevel="0" max="5" min="5" style="30" width="10.87"/>
    <col collapsed="false" customWidth="true" hidden="false" outlineLevel="0" max="6" min="6" style="30" width="8.64"/>
    <col collapsed="false" customWidth="true" hidden="false" outlineLevel="0" max="7" min="7" style="31" width="10.63"/>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false" outlineLevel="0" max="11" min="11" style="31" width="10.51"/>
    <col collapsed="false" customWidth="true" hidden="false" outlineLevel="0" max="12" min="12" style="55" width="6"/>
    <col collapsed="false" customWidth="true" hidden="false" outlineLevel="0" max="13" min="13" style="31" width="18.5"/>
    <col collapsed="false" customWidth="true" hidden="false" outlineLevel="0" max="14" min="14" style="31" width="25.12"/>
    <col collapsed="false" customWidth="false" hidden="true" outlineLevel="0" max="17" min="15" style="31" width="9.51"/>
    <col collapsed="false" customWidth="true" hidden="false" outlineLevel="0" max="18" min="18" style="0" width="9.87"/>
    <col collapsed="false" customWidth="true" hidden="false" outlineLevel="0" max="19" min="19" style="180" width="4"/>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1857</v>
      </c>
      <c r="C1" s="72"/>
      <c r="F1" s="37"/>
      <c r="G1" s="30"/>
      <c r="I1" s="31"/>
      <c r="R1" s="30"/>
    </row>
    <row r="2" s="76" customFormat="true" ht="13.5" hidden="tru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S2" s="77"/>
    </row>
    <row r="3" s="76" customFormat="true" ht="13.5" hidden="true" customHeight="true" outlineLevel="0" collapsed="false">
      <c r="A3" s="75" t="s">
        <v>193</v>
      </c>
      <c r="B3" s="75" t="s">
        <v>110</v>
      </c>
      <c r="C3" s="80" t="s">
        <v>31</v>
      </c>
      <c r="D3" s="75" t="s">
        <v>194</v>
      </c>
      <c r="E3" s="75"/>
      <c r="F3" s="75"/>
      <c r="G3" s="75" t="s">
        <v>90</v>
      </c>
      <c r="H3" s="75" t="s">
        <v>91</v>
      </c>
      <c r="I3" s="75" t="s">
        <v>90</v>
      </c>
      <c r="J3" s="81" t="s">
        <v>195</v>
      </c>
      <c r="K3" s="77"/>
      <c r="L3" s="78"/>
      <c r="M3" s="77"/>
      <c r="N3" s="77"/>
      <c r="O3" s="77"/>
      <c r="P3" s="77"/>
      <c r="Q3" s="77"/>
      <c r="S3" s="77"/>
    </row>
    <row r="4" s="76" customFormat="true" ht="13.5" hidden="true" customHeight="true" outlineLevel="0" collapsed="false">
      <c r="A4" s="76" t="s">
        <v>196</v>
      </c>
      <c r="B4" s="76" t="s">
        <v>85</v>
      </c>
      <c r="C4" s="116" t="s">
        <v>197</v>
      </c>
      <c r="D4" s="76" t="s">
        <v>198</v>
      </c>
      <c r="E4" s="116"/>
      <c r="G4" s="116" t="s">
        <v>90</v>
      </c>
      <c r="H4" s="77" t="s">
        <v>91</v>
      </c>
      <c r="I4" s="77" t="s">
        <v>90</v>
      </c>
      <c r="J4" s="76" t="s">
        <v>199</v>
      </c>
      <c r="K4" s="77"/>
      <c r="L4" s="78"/>
      <c r="M4" s="77"/>
      <c r="N4" s="77"/>
      <c r="O4" s="77"/>
      <c r="P4" s="77"/>
      <c r="Q4" s="77"/>
      <c r="S4" s="77"/>
    </row>
    <row r="5" s="76" customFormat="true" ht="13.5" hidden="true" customHeight="true" outlineLevel="0" collapsed="false">
      <c r="A5" s="76" t="s">
        <v>200</v>
      </c>
      <c r="B5" s="76" t="s">
        <v>201</v>
      </c>
      <c r="C5" s="76" t="s">
        <v>202</v>
      </c>
      <c r="D5" s="117" t="s">
        <v>198</v>
      </c>
      <c r="E5" s="77"/>
      <c r="F5" s="117"/>
      <c r="G5" s="77" t="s">
        <v>90</v>
      </c>
      <c r="H5" s="77" t="s">
        <v>90</v>
      </c>
      <c r="I5" s="77" t="s">
        <v>90</v>
      </c>
      <c r="J5" s="76" t="s">
        <v>203</v>
      </c>
      <c r="K5" s="77"/>
      <c r="L5" s="78"/>
      <c r="M5" s="77"/>
      <c r="N5" s="77"/>
      <c r="O5" s="77"/>
      <c r="P5" s="77"/>
      <c r="Q5" s="77"/>
      <c r="S5" s="181"/>
    </row>
    <row r="6" customFormat="false" ht="13.5" hidden="true" customHeight="true" outlineLevel="0" collapsed="false">
      <c r="C6" s="50"/>
      <c r="D6" s="51"/>
      <c r="F6" s="51"/>
      <c r="R6" s="30"/>
    </row>
    <row r="7" customFormat="false" ht="13.5" hidden="false" customHeight="true" outlineLevel="0" collapsed="false">
      <c r="B7" s="76"/>
      <c r="C7" s="51"/>
      <c r="D7" s="118"/>
      <c r="E7" s="51"/>
      <c r="F7" s="51"/>
      <c r="O7" s="52" t="s">
        <v>93</v>
      </c>
      <c r="P7" s="52" t="s">
        <v>93</v>
      </c>
      <c r="Q7" s="52" t="s">
        <v>93</v>
      </c>
      <c r="R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123" t="s">
        <v>201</v>
      </c>
      <c r="R8" s="123" t="s">
        <v>1858</v>
      </c>
      <c r="S8" s="182" t="s">
        <v>111</v>
      </c>
      <c r="T8" s="125" t="s">
        <v>206</v>
      </c>
      <c r="U8" s="125" t="s">
        <v>207</v>
      </c>
      <c r="V8" s="125" t="s">
        <v>208</v>
      </c>
      <c r="W8" s="125" t="s">
        <v>209</v>
      </c>
      <c r="X8" s="125" t="s">
        <v>210</v>
      </c>
      <c r="Y8" s="125" t="s">
        <v>211</v>
      </c>
      <c r="Z8" s="125" t="s">
        <v>212</v>
      </c>
      <c r="AA8" s="125" t="s">
        <v>213</v>
      </c>
      <c r="AB8" s="125" t="s">
        <v>214</v>
      </c>
      <c r="AC8" s="125" t="s">
        <v>215</v>
      </c>
      <c r="AD8" s="125" t="s">
        <v>216</v>
      </c>
      <c r="AE8" s="125" t="s">
        <v>217</v>
      </c>
      <c r="AF8" s="125" t="s">
        <v>218</v>
      </c>
      <c r="AG8" s="125" t="s">
        <v>219</v>
      </c>
      <c r="AH8" s="125" t="s">
        <v>220</v>
      </c>
      <c r="AI8" s="125" t="s">
        <v>221</v>
      </c>
      <c r="AJ8" s="125" t="s">
        <v>222</v>
      </c>
      <c r="AK8" s="125" t="s">
        <v>223</v>
      </c>
      <c r="AL8" s="125" t="s">
        <v>224</v>
      </c>
      <c r="AM8" s="125" t="s">
        <v>225</v>
      </c>
      <c r="AN8" s="125" t="s">
        <v>226</v>
      </c>
      <c r="AO8" s="125" t="s">
        <v>227</v>
      </c>
      <c r="AP8" s="125" t="s">
        <v>228</v>
      </c>
      <c r="AQ8" s="125" t="s">
        <v>229</v>
      </c>
      <c r="AR8" s="125" t="s">
        <v>230</v>
      </c>
      <c r="AS8" s="125" t="s">
        <v>231</v>
      </c>
      <c r="AT8" s="125" t="s">
        <v>232</v>
      </c>
      <c r="AU8" s="125" t="s">
        <v>233</v>
      </c>
      <c r="AV8" s="125" t="s">
        <v>234</v>
      </c>
      <c r="AW8" s="125" t="s">
        <v>235</v>
      </c>
      <c r="AX8" s="125" t="s">
        <v>236</v>
      </c>
      <c r="AY8" s="125" t="s">
        <v>237</v>
      </c>
      <c r="AZ8" s="125" t="s">
        <v>238</v>
      </c>
      <c r="BA8" s="125" t="s">
        <v>239</v>
      </c>
      <c r="BB8" s="125" t="s">
        <v>240</v>
      </c>
      <c r="BC8" s="125" t="s">
        <v>241</v>
      </c>
      <c r="BD8" s="125" t="s">
        <v>242</v>
      </c>
      <c r="BE8" s="125" t="s">
        <v>243</v>
      </c>
      <c r="BF8" s="125" t="s">
        <v>244</v>
      </c>
      <c r="BG8" s="125" t="s">
        <v>245</v>
      </c>
      <c r="BH8" s="125" t="s">
        <v>246</v>
      </c>
      <c r="BI8" s="125" t="s">
        <v>247</v>
      </c>
      <c r="BJ8" s="125" t="s">
        <v>248</v>
      </c>
      <c r="BK8" s="125" t="s">
        <v>249</v>
      </c>
      <c r="BL8" s="125" t="s">
        <v>250</v>
      </c>
      <c r="BM8" s="125" t="s">
        <v>251</v>
      </c>
      <c r="BN8" s="125" t="s">
        <v>252</v>
      </c>
      <c r="BO8" s="125" t="s">
        <v>253</v>
      </c>
      <c r="BP8" s="125" t="s">
        <v>254</v>
      </c>
      <c r="BQ8" s="125" t="s">
        <v>255</v>
      </c>
      <c r="BR8" s="125" t="s">
        <v>256</v>
      </c>
      <c r="BS8" s="125" t="s">
        <v>257</v>
      </c>
      <c r="BT8" s="125" t="s">
        <v>258</v>
      </c>
      <c r="BU8" s="125" t="s">
        <v>259</v>
      </c>
      <c r="BV8" s="125" t="s">
        <v>260</v>
      </c>
      <c r="BW8" s="125" t="s">
        <v>261</v>
      </c>
      <c r="BX8" s="125" t="s">
        <v>262</v>
      </c>
      <c r="BY8" s="125" t="s">
        <v>263</v>
      </c>
      <c r="BZ8" s="125" t="s">
        <v>264</v>
      </c>
      <c r="CA8" s="125" t="s">
        <v>265</v>
      </c>
      <c r="CB8" s="125" t="s">
        <v>266</v>
      </c>
      <c r="CC8" s="125" t="s">
        <v>267</v>
      </c>
      <c r="CD8" s="125" t="s">
        <v>268</v>
      </c>
      <c r="CE8" s="125" t="s">
        <v>269</v>
      </c>
      <c r="CF8" s="125" t="s">
        <v>270</v>
      </c>
      <c r="CG8" s="125" t="s">
        <v>271</v>
      </c>
      <c r="CH8" s="125" t="s">
        <v>272</v>
      </c>
      <c r="CI8" s="125" t="s">
        <v>273</v>
      </c>
      <c r="CJ8" s="125" t="s">
        <v>274</v>
      </c>
      <c r="CK8" s="125" t="s">
        <v>275</v>
      </c>
      <c r="CL8" s="125" t="s">
        <v>276</v>
      </c>
      <c r="CM8" s="125" t="s">
        <v>277</v>
      </c>
      <c r="CN8" s="125" t="s">
        <v>278</v>
      </c>
      <c r="CO8" s="125" t="s">
        <v>279</v>
      </c>
      <c r="CP8" s="125" t="s">
        <v>280</v>
      </c>
      <c r="CQ8" s="125" t="s">
        <v>281</v>
      </c>
      <c r="CR8" s="125" t="s">
        <v>282</v>
      </c>
      <c r="CS8" s="125" t="s">
        <v>283</v>
      </c>
      <c r="CT8" s="125" t="s">
        <v>284</v>
      </c>
      <c r="CU8" s="125" t="s">
        <v>285</v>
      </c>
      <c r="CV8" s="125" t="s">
        <v>286</v>
      </c>
      <c r="CW8" s="125" t="s">
        <v>287</v>
      </c>
      <c r="CX8" s="125" t="s">
        <v>288</v>
      </c>
      <c r="CY8" s="125" t="s">
        <v>289</v>
      </c>
      <c r="CZ8" s="125" t="s">
        <v>290</v>
      </c>
      <c r="DA8" s="125" t="s">
        <v>291</v>
      </c>
      <c r="DB8" s="125" t="s">
        <v>292</v>
      </c>
      <c r="DC8" s="125" t="s">
        <v>293</v>
      </c>
      <c r="DD8" s="125" t="s">
        <v>294</v>
      </c>
      <c r="DE8" s="125" t="s">
        <v>295</v>
      </c>
      <c r="DF8" s="125" t="s">
        <v>296</v>
      </c>
      <c r="DG8" s="125" t="s">
        <v>297</v>
      </c>
      <c r="DH8" s="125" t="s">
        <v>298</v>
      </c>
      <c r="DI8" s="125" t="s">
        <v>299</v>
      </c>
      <c r="DJ8" s="125" t="s">
        <v>300</v>
      </c>
      <c r="DK8" s="125" t="s">
        <v>301</v>
      </c>
      <c r="DL8" s="125" t="s">
        <v>302</v>
      </c>
      <c r="DM8" s="125" t="s">
        <v>303</v>
      </c>
      <c r="DN8" s="125" t="s">
        <v>304</v>
      </c>
      <c r="DO8" s="125" t="s">
        <v>305</v>
      </c>
      <c r="DP8" s="125" t="s">
        <v>306</v>
      </c>
      <c r="DQ8" s="125" t="s">
        <v>307</v>
      </c>
      <c r="DR8" s="125" t="s">
        <v>308</v>
      </c>
      <c r="DS8" s="125" t="s">
        <v>309</v>
      </c>
      <c r="DT8" s="125" t="s">
        <v>310</v>
      </c>
      <c r="DU8" s="125" t="s">
        <v>311</v>
      </c>
      <c r="DV8" s="125" t="s">
        <v>312</v>
      </c>
      <c r="DW8" s="125" t="s">
        <v>313</v>
      </c>
      <c r="DX8" s="125" t="s">
        <v>314</v>
      </c>
      <c r="DY8" s="125" t="s">
        <v>315</v>
      </c>
      <c r="DZ8" s="125" t="s">
        <v>316</v>
      </c>
      <c r="EA8" s="125" t="s">
        <v>317</v>
      </c>
      <c r="EB8" s="125" t="s">
        <v>318</v>
      </c>
      <c r="EC8" s="125" t="s">
        <v>319</v>
      </c>
      <c r="ED8" s="125" t="s">
        <v>320</v>
      </c>
      <c r="EE8" s="125" t="s">
        <v>321</v>
      </c>
      <c r="EF8" s="125" t="s">
        <v>322</v>
      </c>
      <c r="EG8" s="125" t="s">
        <v>323</v>
      </c>
      <c r="EH8" s="125" t="s">
        <v>324</v>
      </c>
      <c r="EI8" s="125" t="s">
        <v>325</v>
      </c>
      <c r="EJ8" s="125" t="s">
        <v>326</v>
      </c>
      <c r="EK8" s="125" t="s">
        <v>327</v>
      </c>
      <c r="EL8" s="125" t="s">
        <v>328</v>
      </c>
      <c r="EM8" s="125" t="s">
        <v>329</v>
      </c>
      <c r="EN8" s="125" t="s">
        <v>330</v>
      </c>
      <c r="EO8" s="125" t="s">
        <v>331</v>
      </c>
      <c r="EP8" s="125" t="s">
        <v>332</v>
      </c>
      <c r="EQ8" s="125" t="s">
        <v>333</v>
      </c>
      <c r="ER8" s="125" t="s">
        <v>334</v>
      </c>
      <c r="ES8" s="125" t="s">
        <v>335</v>
      </c>
      <c r="ET8" s="125" t="s">
        <v>336</v>
      </c>
      <c r="EU8" s="125" t="s">
        <v>337</v>
      </c>
      <c r="EV8" s="125" t="s">
        <v>338</v>
      </c>
      <c r="EW8" s="125" t="s">
        <v>339</v>
      </c>
      <c r="EX8" s="125" t="s">
        <v>340</v>
      </c>
      <c r="EY8" s="125" t="s">
        <v>341</v>
      </c>
      <c r="EZ8" s="125" t="s">
        <v>342</v>
      </c>
      <c r="FA8" s="125" t="s">
        <v>343</v>
      </c>
      <c r="FB8" s="125" t="s">
        <v>344</v>
      </c>
      <c r="FC8" s="125" t="s">
        <v>345</v>
      </c>
      <c r="FD8" s="125" t="s">
        <v>346</v>
      </c>
      <c r="FE8" s="125" t="s">
        <v>347</v>
      </c>
      <c r="FF8" s="125" t="s">
        <v>348</v>
      </c>
      <c r="FG8" s="125" t="s">
        <v>349</v>
      </c>
      <c r="FH8" s="125" t="s">
        <v>350</v>
      </c>
      <c r="FI8" s="125" t="s">
        <v>351</v>
      </c>
      <c r="FJ8" s="125" t="s">
        <v>352</v>
      </c>
      <c r="FK8" s="125" t="s">
        <v>353</v>
      </c>
      <c r="FL8" s="125" t="s">
        <v>354</v>
      </c>
      <c r="FM8" s="125" t="s">
        <v>355</v>
      </c>
      <c r="FN8" s="125" t="s">
        <v>356</v>
      </c>
      <c r="FO8" s="125" t="s">
        <v>357</v>
      </c>
      <c r="FP8" s="125" t="s">
        <v>358</v>
      </c>
      <c r="FQ8" s="125" t="s">
        <v>359</v>
      </c>
      <c r="FR8" s="125" t="s">
        <v>360</v>
      </c>
      <c r="FS8" s="125" t="s">
        <v>361</v>
      </c>
      <c r="FT8" s="125" t="s">
        <v>362</v>
      </c>
      <c r="FU8" s="125" t="s">
        <v>363</v>
      </c>
      <c r="FV8" s="125" t="s">
        <v>364</v>
      </c>
      <c r="FW8" s="125" t="s">
        <v>365</v>
      </c>
      <c r="FX8" s="125" t="s">
        <v>366</v>
      </c>
      <c r="FY8" s="125" t="s">
        <v>367</v>
      </c>
      <c r="FZ8" s="125" t="s">
        <v>368</v>
      </c>
      <c r="GA8" s="125" t="s">
        <v>369</v>
      </c>
      <c r="GB8" s="125" t="s">
        <v>370</v>
      </c>
      <c r="GC8" s="125" t="s">
        <v>371</v>
      </c>
      <c r="GD8" s="125" t="s">
        <v>372</v>
      </c>
      <c r="GE8" s="125" t="s">
        <v>373</v>
      </c>
      <c r="GF8" s="125" t="s">
        <v>374</v>
      </c>
      <c r="GG8" s="125" t="s">
        <v>375</v>
      </c>
      <c r="GH8" s="125" t="s">
        <v>376</v>
      </c>
      <c r="GI8" s="125" t="s">
        <v>377</v>
      </c>
      <c r="GJ8" s="125" t="s">
        <v>378</v>
      </c>
      <c r="GK8" s="125" t="s">
        <v>379</v>
      </c>
      <c r="GL8" s="125" t="s">
        <v>380</v>
      </c>
      <c r="GM8" s="125" t="s">
        <v>381</v>
      </c>
      <c r="GN8" s="125" t="s">
        <v>382</v>
      </c>
      <c r="GO8" s="125" t="s">
        <v>383</v>
      </c>
      <c r="GP8" s="125" t="s">
        <v>384</v>
      </c>
      <c r="GQ8" s="125" t="s">
        <v>385</v>
      </c>
      <c r="GR8" s="125" t="s">
        <v>386</v>
      </c>
      <c r="GS8" s="125" t="s">
        <v>387</v>
      </c>
      <c r="GT8" s="125" t="s">
        <v>388</v>
      </c>
      <c r="GU8" s="125" t="s">
        <v>389</v>
      </c>
      <c r="GV8" s="125" t="s">
        <v>390</v>
      </c>
      <c r="GW8" s="125" t="s">
        <v>391</v>
      </c>
      <c r="GX8" s="125" t="s">
        <v>392</v>
      </c>
      <c r="GY8" s="125" t="s">
        <v>393</v>
      </c>
      <c r="GZ8" s="125" t="s">
        <v>394</v>
      </c>
      <c r="HA8" s="125" t="s">
        <v>395</v>
      </c>
      <c r="HB8" s="125" t="s">
        <v>396</v>
      </c>
      <c r="HC8" s="125" t="s">
        <v>397</v>
      </c>
      <c r="HD8" s="125" t="s">
        <v>398</v>
      </c>
      <c r="HE8" s="125" t="s">
        <v>399</v>
      </c>
      <c r="HF8" s="125" t="s">
        <v>400</v>
      </c>
      <c r="HG8" s="125" t="s">
        <v>401</v>
      </c>
      <c r="HH8" s="125" t="s">
        <v>402</v>
      </c>
      <c r="HI8" s="125" t="s">
        <v>403</v>
      </c>
      <c r="HJ8" s="125" t="s">
        <v>404</v>
      </c>
      <c r="HK8" s="125" t="s">
        <v>405</v>
      </c>
      <c r="HL8" s="125" t="s">
        <v>406</v>
      </c>
      <c r="HM8" s="125" t="s">
        <v>407</v>
      </c>
      <c r="HN8" s="125" t="s">
        <v>408</v>
      </c>
      <c r="HO8" s="125" t="s">
        <v>409</v>
      </c>
      <c r="HP8" s="125" t="s">
        <v>410</v>
      </c>
      <c r="HQ8" s="125" t="s">
        <v>411</v>
      </c>
      <c r="HR8" s="125" t="s">
        <v>412</v>
      </c>
      <c r="HS8" s="125" t="s">
        <v>413</v>
      </c>
      <c r="HT8" s="125" t="s">
        <v>414</v>
      </c>
      <c r="HU8" s="125" t="s">
        <v>415</v>
      </c>
      <c r="HV8" s="125" t="s">
        <v>416</v>
      </c>
      <c r="HW8" s="125" t="s">
        <v>417</v>
      </c>
      <c r="HX8" s="125" t="s">
        <v>418</v>
      </c>
      <c r="HY8" s="125" t="s">
        <v>419</v>
      </c>
      <c r="HZ8" s="125" t="s">
        <v>420</v>
      </c>
      <c r="IA8" s="125" t="s">
        <v>421</v>
      </c>
      <c r="IB8" s="125" t="s">
        <v>422</v>
      </c>
      <c r="IC8" s="125" t="s">
        <v>423</v>
      </c>
      <c r="ID8" s="125" t="s">
        <v>424</v>
      </c>
      <c r="IE8" s="125" t="s">
        <v>425</v>
      </c>
      <c r="IF8" s="125" t="s">
        <v>426</v>
      </c>
      <c r="IG8" s="125" t="s">
        <v>427</v>
      </c>
      <c r="IH8" s="125" t="s">
        <v>428</v>
      </c>
      <c r="II8" s="125" t="s">
        <v>429</v>
      </c>
      <c r="IJ8" s="125" t="s">
        <v>430</v>
      </c>
      <c r="IK8" s="125" t="s">
        <v>431</v>
      </c>
      <c r="IL8" s="125" t="s">
        <v>432</v>
      </c>
      <c r="IM8" s="125" t="s">
        <v>433</v>
      </c>
      <c r="IN8" s="125" t="s">
        <v>434</v>
      </c>
      <c r="IO8" s="125" t="s">
        <v>435</v>
      </c>
      <c r="IP8" s="125" t="s">
        <v>436</v>
      </c>
      <c r="IQ8" s="125" t="s">
        <v>437</v>
      </c>
      <c r="IR8" s="125" t="s">
        <v>438</v>
      </c>
      <c r="IS8" s="125" t="s">
        <v>439</v>
      </c>
      <c r="IT8" s="125" t="s">
        <v>440</v>
      </c>
      <c r="IU8" s="125" t="s">
        <v>441</v>
      </c>
      <c r="IV8" s="125" t="s">
        <v>442</v>
      </c>
      <c r="IW8" s="125" t="s">
        <v>443</v>
      </c>
      <c r="IX8" s="125" t="s">
        <v>444</v>
      </c>
      <c r="IY8" s="125" t="s">
        <v>445</v>
      </c>
      <c r="IZ8" s="125" t="s">
        <v>446</v>
      </c>
      <c r="JA8" s="125" t="s">
        <v>447</v>
      </c>
      <c r="JB8" s="125" t="s">
        <v>448</v>
      </c>
      <c r="JC8" s="125" t="s">
        <v>449</v>
      </c>
      <c r="JD8" s="125" t="s">
        <v>450</v>
      </c>
      <c r="JE8" s="125" t="s">
        <v>451</v>
      </c>
      <c r="JF8" s="125" t="s">
        <v>452</v>
      </c>
      <c r="JG8" s="125" t="s">
        <v>453</v>
      </c>
      <c r="JH8" s="125" t="s">
        <v>454</v>
      </c>
      <c r="JI8" s="125" t="s">
        <v>455</v>
      </c>
      <c r="JJ8" s="125" t="s">
        <v>456</v>
      </c>
      <c r="JK8" s="125" t="s">
        <v>457</v>
      </c>
      <c r="JL8" s="125" t="s">
        <v>458</v>
      </c>
      <c r="JM8" s="125" t="s">
        <v>459</v>
      </c>
      <c r="JN8" s="125" t="s">
        <v>460</v>
      </c>
      <c r="JO8" s="125" t="s">
        <v>461</v>
      </c>
      <c r="JP8" s="125" t="s">
        <v>462</v>
      </c>
      <c r="JQ8" s="125" t="s">
        <v>463</v>
      </c>
      <c r="JR8" s="125" t="s">
        <v>464</v>
      </c>
      <c r="JS8" s="125" t="s">
        <v>465</v>
      </c>
      <c r="JT8" s="125" t="s">
        <v>466</v>
      </c>
      <c r="JU8" s="125" t="s">
        <v>467</v>
      </c>
      <c r="JV8" s="125" t="s">
        <v>468</v>
      </c>
      <c r="JW8" s="125" t="s">
        <v>469</v>
      </c>
      <c r="JX8" s="125" t="s">
        <v>470</v>
      </c>
      <c r="JY8" s="125" t="s">
        <v>471</v>
      </c>
      <c r="JZ8" s="125" t="s">
        <v>472</v>
      </c>
      <c r="KA8" s="125" t="s">
        <v>473</v>
      </c>
      <c r="KB8" s="125" t="s">
        <v>474</v>
      </c>
      <c r="KC8" s="125" t="s">
        <v>475</v>
      </c>
      <c r="KD8" s="125" t="s">
        <v>476</v>
      </c>
      <c r="KE8" s="125" t="s">
        <v>477</v>
      </c>
      <c r="KF8" s="125" t="s">
        <v>478</v>
      </c>
      <c r="KG8" s="125" t="s">
        <v>479</v>
      </c>
      <c r="KH8" s="125" t="s">
        <v>480</v>
      </c>
      <c r="KI8" s="125" t="s">
        <v>481</v>
      </c>
      <c r="KJ8" s="125" t="s">
        <v>482</v>
      </c>
      <c r="KK8" s="125" t="s">
        <v>483</v>
      </c>
      <c r="KL8" s="125" t="s">
        <v>484</v>
      </c>
      <c r="KM8" s="125" t="s">
        <v>485</v>
      </c>
      <c r="KN8" s="125" t="s">
        <v>486</v>
      </c>
      <c r="KO8" s="125" t="s">
        <v>487</v>
      </c>
      <c r="KP8" s="125" t="s">
        <v>488</v>
      </c>
      <c r="KQ8" s="125" t="s">
        <v>489</v>
      </c>
      <c r="KR8" s="125" t="s">
        <v>490</v>
      </c>
      <c r="KS8" s="125" t="s">
        <v>491</v>
      </c>
      <c r="KT8" s="125" t="s">
        <v>492</v>
      </c>
      <c r="KU8" s="125" t="s">
        <v>493</v>
      </c>
      <c r="KV8" s="125" t="s">
        <v>494</v>
      </c>
      <c r="KW8" s="125" t="s">
        <v>495</v>
      </c>
      <c r="KX8" s="125" t="s">
        <v>496</v>
      </c>
      <c r="KY8" s="125" t="s">
        <v>497</v>
      </c>
      <c r="KZ8" s="125" t="s">
        <v>498</v>
      </c>
      <c r="LA8" s="125" t="s">
        <v>499</v>
      </c>
      <c r="LB8" s="125" t="s">
        <v>500</v>
      </c>
      <c r="LC8" s="125" t="s">
        <v>501</v>
      </c>
      <c r="LD8" s="125" t="s">
        <v>502</v>
      </c>
      <c r="LE8" s="125" t="s">
        <v>503</v>
      </c>
      <c r="LF8" s="125" t="s">
        <v>504</v>
      </c>
      <c r="LG8" s="125" t="s">
        <v>505</v>
      </c>
      <c r="LH8" s="125" t="s">
        <v>506</v>
      </c>
      <c r="LI8" s="125" t="s">
        <v>507</v>
      </c>
      <c r="LJ8" s="125" t="s">
        <v>508</v>
      </c>
      <c r="LK8" s="125" t="s">
        <v>509</v>
      </c>
      <c r="LL8" s="125" t="s">
        <v>510</v>
      </c>
      <c r="LM8" s="125" t="s">
        <v>511</v>
      </c>
      <c r="LN8" s="125" t="s">
        <v>512</v>
      </c>
      <c r="LO8" s="125" t="s">
        <v>513</v>
      </c>
      <c r="LP8" s="125" t="s">
        <v>514</v>
      </c>
      <c r="LQ8" s="125" t="s">
        <v>515</v>
      </c>
      <c r="LR8" s="125" t="s">
        <v>516</v>
      </c>
      <c r="LS8" s="125" t="s">
        <v>517</v>
      </c>
      <c r="LT8" s="125" t="s">
        <v>518</v>
      </c>
      <c r="LU8" s="125" t="s">
        <v>519</v>
      </c>
      <c r="LV8" s="125" t="s">
        <v>520</v>
      </c>
      <c r="LW8" s="125" t="s">
        <v>521</v>
      </c>
      <c r="LX8" s="125" t="s">
        <v>522</v>
      </c>
      <c r="LY8" s="125" t="s">
        <v>523</v>
      </c>
      <c r="LZ8" s="125" t="s">
        <v>524</v>
      </c>
      <c r="MA8" s="125" t="s">
        <v>525</v>
      </c>
      <c r="MB8" s="125" t="s">
        <v>526</v>
      </c>
      <c r="MC8" s="125" t="s">
        <v>527</v>
      </c>
      <c r="MD8" s="125" t="s">
        <v>528</v>
      </c>
      <c r="ME8" s="125" t="s">
        <v>529</v>
      </c>
      <c r="MF8" s="125" t="s">
        <v>530</v>
      </c>
      <c r="MG8" s="125" t="s">
        <v>531</v>
      </c>
      <c r="MH8" s="125" t="s">
        <v>532</v>
      </c>
      <c r="MI8" s="125" t="s">
        <v>533</v>
      </c>
      <c r="MJ8" s="125" t="s">
        <v>534</v>
      </c>
      <c r="MK8" s="125" t="s">
        <v>535</v>
      </c>
      <c r="ML8" s="125" t="s">
        <v>536</v>
      </c>
      <c r="MM8" s="125" t="s">
        <v>537</v>
      </c>
      <c r="MN8" s="125" t="s">
        <v>538</v>
      </c>
      <c r="MO8" s="125" t="s">
        <v>539</v>
      </c>
      <c r="MP8" s="125" t="s">
        <v>540</v>
      </c>
      <c r="MQ8" s="125" t="s">
        <v>541</v>
      </c>
      <c r="MR8" s="125" t="s">
        <v>542</v>
      </c>
      <c r="MS8" s="125" t="s">
        <v>543</v>
      </c>
      <c r="MT8" s="125" t="s">
        <v>544</v>
      </c>
      <c r="MU8" s="125" t="s">
        <v>545</v>
      </c>
      <c r="MV8" s="125" t="s">
        <v>546</v>
      </c>
      <c r="MW8" s="125" t="s">
        <v>547</v>
      </c>
      <c r="MX8" s="125" t="s">
        <v>548</v>
      </c>
      <c r="MY8" s="125" t="s">
        <v>549</v>
      </c>
      <c r="MZ8" s="125" t="s">
        <v>550</v>
      </c>
      <c r="NA8" s="125" t="s">
        <v>551</v>
      </c>
      <c r="NB8" s="125" t="s">
        <v>552</v>
      </c>
      <c r="NC8" s="125" t="s">
        <v>553</v>
      </c>
      <c r="ND8" s="125" t="s">
        <v>554</v>
      </c>
      <c r="NE8" s="125" t="s">
        <v>555</v>
      </c>
      <c r="NF8" s="125" t="s">
        <v>556</v>
      </c>
      <c r="NG8" s="125" t="s">
        <v>557</v>
      </c>
      <c r="NH8" s="125" t="s">
        <v>558</v>
      </c>
      <c r="NI8" s="125" t="s">
        <v>559</v>
      </c>
      <c r="NJ8" s="125" t="s">
        <v>560</v>
      </c>
      <c r="NK8" s="125" t="s">
        <v>561</v>
      </c>
      <c r="NL8" s="125" t="s">
        <v>562</v>
      </c>
      <c r="NM8" s="125" t="s">
        <v>563</v>
      </c>
      <c r="NN8" s="125" t="s">
        <v>564</v>
      </c>
      <c r="NO8" s="125" t="s">
        <v>565</v>
      </c>
      <c r="NP8" s="125" t="s">
        <v>566</v>
      </c>
      <c r="NQ8" s="125" t="s">
        <v>567</v>
      </c>
      <c r="NR8" s="125" t="s">
        <v>568</v>
      </c>
      <c r="NS8" s="125" t="s">
        <v>569</v>
      </c>
      <c r="NT8" s="125" t="s">
        <v>570</v>
      </c>
      <c r="NU8" s="125" t="s">
        <v>571</v>
      </c>
      <c r="NV8" s="125" t="s">
        <v>572</v>
      </c>
      <c r="NW8" s="125" t="s">
        <v>573</v>
      </c>
      <c r="NX8" s="125" t="s">
        <v>574</v>
      </c>
      <c r="NY8" s="125" t="s">
        <v>575</v>
      </c>
      <c r="NZ8" s="125" t="s">
        <v>576</v>
      </c>
      <c r="OA8" s="125" t="s">
        <v>577</v>
      </c>
      <c r="OB8" s="125" t="s">
        <v>578</v>
      </c>
      <c r="OC8" s="125" t="s">
        <v>579</v>
      </c>
      <c r="OD8" s="125" t="s">
        <v>580</v>
      </c>
      <c r="OE8" s="125" t="s">
        <v>581</v>
      </c>
      <c r="OF8" s="125" t="s">
        <v>582</v>
      </c>
      <c r="OG8" s="125" t="s">
        <v>583</v>
      </c>
      <c r="OH8" s="125" t="s">
        <v>584</v>
      </c>
      <c r="OI8" s="125" t="s">
        <v>585</v>
      </c>
      <c r="OJ8" s="125" t="s">
        <v>586</v>
      </c>
      <c r="OK8" s="125" t="s">
        <v>587</v>
      </c>
      <c r="OL8" s="125" t="s">
        <v>588</v>
      </c>
      <c r="OM8" s="125" t="s">
        <v>589</v>
      </c>
      <c r="ON8" s="125" t="s">
        <v>590</v>
      </c>
      <c r="OO8" s="125" t="s">
        <v>591</v>
      </c>
      <c r="OP8" s="125" t="s">
        <v>592</v>
      </c>
      <c r="OQ8" s="125" t="s">
        <v>593</v>
      </c>
      <c r="OR8" s="125" t="s">
        <v>594</v>
      </c>
      <c r="OS8" s="125" t="s">
        <v>595</v>
      </c>
      <c r="OT8" s="125" t="s">
        <v>596</v>
      </c>
      <c r="OU8" s="125" t="s">
        <v>597</v>
      </c>
      <c r="OV8" s="125" t="s">
        <v>598</v>
      </c>
      <c r="OW8" s="125" t="s">
        <v>599</v>
      </c>
      <c r="OX8" s="125" t="s">
        <v>600</v>
      </c>
      <c r="OY8" s="125" t="s">
        <v>601</v>
      </c>
      <c r="OZ8" s="125" t="s">
        <v>602</v>
      </c>
      <c r="PA8" s="125" t="s">
        <v>603</v>
      </c>
      <c r="PB8" s="125" t="s">
        <v>604</v>
      </c>
      <c r="PC8" s="125" t="s">
        <v>605</v>
      </c>
      <c r="PD8" s="125" t="s">
        <v>606</v>
      </c>
      <c r="PE8" s="125" t="s">
        <v>607</v>
      </c>
      <c r="PF8" s="125" t="s">
        <v>608</v>
      </c>
      <c r="PG8" s="125" t="s">
        <v>609</v>
      </c>
      <c r="PH8" s="125" t="s">
        <v>610</v>
      </c>
      <c r="PI8" s="125" t="s">
        <v>611</v>
      </c>
      <c r="PJ8" s="125" t="s">
        <v>612</v>
      </c>
      <c r="PK8" s="125" t="s">
        <v>613</v>
      </c>
      <c r="PL8" s="125" t="s">
        <v>614</v>
      </c>
      <c r="PM8" s="125" t="s">
        <v>615</v>
      </c>
      <c r="PN8" s="125" t="s">
        <v>616</v>
      </c>
      <c r="PO8" s="125" t="s">
        <v>617</v>
      </c>
      <c r="PP8" s="125" t="s">
        <v>618</v>
      </c>
      <c r="PQ8" s="125" t="s">
        <v>619</v>
      </c>
      <c r="PR8" s="125" t="s">
        <v>620</v>
      </c>
      <c r="PS8" s="125" t="s">
        <v>621</v>
      </c>
      <c r="PT8" s="125" t="s">
        <v>622</v>
      </c>
      <c r="PU8" s="125" t="s">
        <v>623</v>
      </c>
      <c r="PV8" s="125" t="s">
        <v>624</v>
      </c>
      <c r="PW8" s="125" t="s">
        <v>625</v>
      </c>
      <c r="PX8" s="125" t="s">
        <v>626</v>
      </c>
      <c r="PY8" s="125" t="s">
        <v>627</v>
      </c>
      <c r="PZ8" s="125" t="s">
        <v>628</v>
      </c>
      <c r="QA8" s="125" t="s">
        <v>629</v>
      </c>
      <c r="QB8" s="125" t="s">
        <v>630</v>
      </c>
      <c r="QC8" s="125" t="s">
        <v>631</v>
      </c>
      <c r="QD8" s="125" t="s">
        <v>632</v>
      </c>
      <c r="QE8" s="125" t="s">
        <v>633</v>
      </c>
      <c r="QF8" s="125" t="s">
        <v>634</v>
      </c>
      <c r="QG8" s="125" t="s">
        <v>635</v>
      </c>
      <c r="QH8" s="125" t="s">
        <v>636</v>
      </c>
      <c r="QI8" s="125" t="s">
        <v>637</v>
      </c>
      <c r="QJ8" s="125" t="s">
        <v>638</v>
      </c>
      <c r="QK8" s="125" t="s">
        <v>639</v>
      </c>
      <c r="QL8" s="125" t="s">
        <v>640</v>
      </c>
      <c r="QM8" s="125" t="s">
        <v>641</v>
      </c>
      <c r="QN8" s="125" t="s">
        <v>642</v>
      </c>
      <c r="QO8" s="125" t="s">
        <v>643</v>
      </c>
      <c r="QP8" s="125" t="s">
        <v>644</v>
      </c>
      <c r="QQ8" s="125" t="s">
        <v>645</v>
      </c>
      <c r="QR8" s="125" t="s">
        <v>646</v>
      </c>
      <c r="QS8" s="125" t="s">
        <v>647</v>
      </c>
      <c r="QT8" s="125" t="s">
        <v>648</v>
      </c>
      <c r="QU8" s="125" t="s">
        <v>649</v>
      </c>
      <c r="QV8" s="125" t="s">
        <v>650</v>
      </c>
      <c r="QW8" s="125" t="s">
        <v>651</v>
      </c>
      <c r="QX8" s="125" t="s">
        <v>652</v>
      </c>
      <c r="QY8" s="125" t="s">
        <v>653</v>
      </c>
      <c r="QZ8" s="125" t="s">
        <v>654</v>
      </c>
      <c r="RA8" s="125" t="s">
        <v>655</v>
      </c>
      <c r="RB8" s="125" t="s">
        <v>656</v>
      </c>
      <c r="RC8" s="125" t="s">
        <v>657</v>
      </c>
      <c r="RD8" s="125" t="s">
        <v>658</v>
      </c>
      <c r="RE8" s="125" t="s">
        <v>659</v>
      </c>
      <c r="RF8" s="125" t="s">
        <v>660</v>
      </c>
      <c r="RG8" s="125" t="s">
        <v>661</v>
      </c>
      <c r="RH8" s="125" t="s">
        <v>662</v>
      </c>
      <c r="RI8" s="125" t="s">
        <v>663</v>
      </c>
      <c r="RJ8" s="125" t="s">
        <v>664</v>
      </c>
      <c r="RK8" s="125" t="s">
        <v>665</v>
      </c>
      <c r="RL8" s="125" t="s">
        <v>666</v>
      </c>
      <c r="RM8" s="125" t="s">
        <v>667</v>
      </c>
      <c r="RN8" s="125" t="s">
        <v>668</v>
      </c>
      <c r="RO8" s="125" t="s">
        <v>669</v>
      </c>
      <c r="RP8" s="125" t="s">
        <v>670</v>
      </c>
      <c r="RQ8" s="125" t="s">
        <v>671</v>
      </c>
      <c r="RR8" s="125" t="s">
        <v>672</v>
      </c>
      <c r="RS8" s="125" t="s">
        <v>673</v>
      </c>
      <c r="RT8" s="125" t="s">
        <v>674</v>
      </c>
      <c r="RU8" s="125" t="s">
        <v>675</v>
      </c>
      <c r="RV8" s="125" t="s">
        <v>676</v>
      </c>
      <c r="RW8" s="125" t="s">
        <v>677</v>
      </c>
      <c r="RX8" s="125" t="s">
        <v>678</v>
      </c>
      <c r="RY8" s="125" t="s">
        <v>679</v>
      </c>
      <c r="RZ8" s="125" t="s">
        <v>680</v>
      </c>
      <c r="SA8" s="125" t="s">
        <v>681</v>
      </c>
      <c r="SB8" s="125" t="s">
        <v>682</v>
      </c>
      <c r="SC8" s="125" t="s">
        <v>683</v>
      </c>
      <c r="SD8" s="125" t="s">
        <v>684</v>
      </c>
      <c r="SE8" s="125" t="s">
        <v>685</v>
      </c>
      <c r="SF8" s="125" t="s">
        <v>686</v>
      </c>
      <c r="SG8" s="125" t="s">
        <v>687</v>
      </c>
      <c r="SH8" s="125" t="s">
        <v>688</v>
      </c>
      <c r="SI8" s="125" t="s">
        <v>689</v>
      </c>
      <c r="SJ8" s="125" t="s">
        <v>690</v>
      </c>
      <c r="SK8" s="125" t="s">
        <v>691</v>
      </c>
      <c r="SL8" s="125" t="s">
        <v>692</v>
      </c>
      <c r="SM8" s="125" t="s">
        <v>693</v>
      </c>
      <c r="SN8" s="125" t="s">
        <v>694</v>
      </c>
      <c r="SO8" s="125" t="s">
        <v>695</v>
      </c>
      <c r="SP8" s="125" t="s">
        <v>696</v>
      </c>
      <c r="SQ8" s="125" t="s">
        <v>697</v>
      </c>
      <c r="SR8" s="125" t="s">
        <v>698</v>
      </c>
      <c r="SS8" s="125" t="s">
        <v>699</v>
      </c>
      <c r="ST8" s="125" t="s">
        <v>700</v>
      </c>
      <c r="SU8" s="125" t="s">
        <v>701</v>
      </c>
      <c r="SV8" s="125" t="s">
        <v>702</v>
      </c>
      <c r="SW8" s="125" t="s">
        <v>703</v>
      </c>
      <c r="SX8" s="125" t="s">
        <v>704</v>
      </c>
      <c r="SY8" s="125" t="s">
        <v>705</v>
      </c>
      <c r="SZ8" s="125" t="s">
        <v>706</v>
      </c>
      <c r="TA8" s="125" t="s">
        <v>707</v>
      </c>
      <c r="TB8" s="125" t="s">
        <v>708</v>
      </c>
      <c r="TC8" s="125" t="s">
        <v>709</v>
      </c>
      <c r="TD8" s="125" t="s">
        <v>710</v>
      </c>
      <c r="TE8" s="125" t="s">
        <v>711</v>
      </c>
      <c r="TF8" s="125" t="s">
        <v>712</v>
      </c>
      <c r="TG8" s="125" t="s">
        <v>713</v>
      </c>
      <c r="TH8" s="125" t="s">
        <v>714</v>
      </c>
      <c r="TI8" s="125" t="s">
        <v>715</v>
      </c>
      <c r="TJ8" s="125" t="s">
        <v>716</v>
      </c>
      <c r="TK8" s="125" t="s">
        <v>717</v>
      </c>
      <c r="TL8" s="125" t="s">
        <v>718</v>
      </c>
      <c r="TM8" s="125" t="s">
        <v>719</v>
      </c>
      <c r="TN8" s="125" t="s">
        <v>720</v>
      </c>
      <c r="TO8" s="125" t="s">
        <v>721</v>
      </c>
      <c r="TP8" s="125" t="s">
        <v>722</v>
      </c>
      <c r="TQ8" s="125" t="s">
        <v>723</v>
      </c>
      <c r="TR8" s="125" t="s">
        <v>724</v>
      </c>
      <c r="TS8" s="125" t="s">
        <v>725</v>
      </c>
      <c r="TT8" s="125" t="s">
        <v>726</v>
      </c>
      <c r="TU8" s="125" t="s">
        <v>727</v>
      </c>
      <c r="TV8" s="125" t="s">
        <v>728</v>
      </c>
      <c r="TW8" s="125" t="s">
        <v>729</v>
      </c>
      <c r="TX8" s="125" t="s">
        <v>730</v>
      </c>
      <c r="TY8" s="125" t="s">
        <v>731</v>
      </c>
      <c r="TZ8" s="125" t="s">
        <v>732</v>
      </c>
      <c r="UA8" s="125" t="s">
        <v>733</v>
      </c>
      <c r="UB8" s="125" t="s">
        <v>734</v>
      </c>
      <c r="UC8" s="125" t="s">
        <v>735</v>
      </c>
      <c r="UD8" s="125" t="s">
        <v>736</v>
      </c>
      <c r="UE8" s="125" t="s">
        <v>737</v>
      </c>
      <c r="UF8" s="125" t="s">
        <v>738</v>
      </c>
      <c r="UG8" s="125" t="s">
        <v>739</v>
      </c>
      <c r="UH8" s="125" t="s">
        <v>740</v>
      </c>
      <c r="UI8" s="125" t="s">
        <v>741</v>
      </c>
      <c r="UJ8" s="125" t="s">
        <v>742</v>
      </c>
      <c r="UK8" s="125" t="s">
        <v>743</v>
      </c>
      <c r="UL8" s="125" t="s">
        <v>744</v>
      </c>
      <c r="UM8" s="125" t="s">
        <v>745</v>
      </c>
      <c r="UN8" s="125" t="s">
        <v>746</v>
      </c>
      <c r="UO8" s="125" t="s">
        <v>747</v>
      </c>
      <c r="UP8" s="125" t="s">
        <v>748</v>
      </c>
      <c r="UQ8" s="125" t="s">
        <v>749</v>
      </c>
      <c r="UR8" s="125" t="s">
        <v>750</v>
      </c>
      <c r="US8" s="125" t="s">
        <v>751</v>
      </c>
      <c r="UT8" s="125" t="s">
        <v>752</v>
      </c>
      <c r="UU8" s="125" t="s">
        <v>753</v>
      </c>
      <c r="UV8" s="125" t="s">
        <v>754</v>
      </c>
      <c r="UW8" s="125" t="s">
        <v>755</v>
      </c>
      <c r="UX8" s="125" t="s">
        <v>756</v>
      </c>
      <c r="UY8" s="125" t="s">
        <v>757</v>
      </c>
      <c r="UZ8" s="125" t="s">
        <v>758</v>
      </c>
      <c r="VA8" s="125" t="s">
        <v>759</v>
      </c>
      <c r="VB8" s="125" t="s">
        <v>760</v>
      </c>
      <c r="VC8" s="125" t="s">
        <v>761</v>
      </c>
      <c r="VD8" s="125" t="s">
        <v>762</v>
      </c>
      <c r="VE8" s="125" t="s">
        <v>763</v>
      </c>
      <c r="VF8" s="125" t="s">
        <v>764</v>
      </c>
      <c r="VG8" s="125" t="s">
        <v>765</v>
      </c>
      <c r="VH8" s="125" t="s">
        <v>766</v>
      </c>
      <c r="VI8" s="125" t="s">
        <v>767</v>
      </c>
      <c r="VJ8" s="125" t="s">
        <v>768</v>
      </c>
      <c r="VK8" s="125" t="s">
        <v>769</v>
      </c>
      <c r="VL8" s="125" t="s">
        <v>770</v>
      </c>
      <c r="VM8" s="125" t="s">
        <v>771</v>
      </c>
      <c r="VN8" s="125" t="s">
        <v>772</v>
      </c>
      <c r="VO8" s="125" t="s">
        <v>773</v>
      </c>
      <c r="VP8" s="125" t="s">
        <v>774</v>
      </c>
      <c r="VQ8" s="125" t="s">
        <v>775</v>
      </c>
      <c r="VR8" s="125" t="s">
        <v>776</v>
      </c>
      <c r="VS8" s="125" t="s">
        <v>777</v>
      </c>
      <c r="VT8" s="125" t="s">
        <v>778</v>
      </c>
      <c r="VU8" s="125" t="s">
        <v>779</v>
      </c>
      <c r="VV8" s="125" t="s">
        <v>780</v>
      </c>
      <c r="VW8" s="125" t="s">
        <v>781</v>
      </c>
      <c r="VX8" s="125" t="s">
        <v>782</v>
      </c>
      <c r="VY8" s="125" t="s">
        <v>783</v>
      </c>
      <c r="VZ8" s="125" t="s">
        <v>784</v>
      </c>
      <c r="WA8" s="125" t="s">
        <v>785</v>
      </c>
      <c r="WB8" s="125" t="s">
        <v>786</v>
      </c>
      <c r="WC8" s="125" t="s">
        <v>787</v>
      </c>
      <c r="WD8" s="125" t="s">
        <v>788</v>
      </c>
      <c r="WE8" s="125" t="s">
        <v>789</v>
      </c>
      <c r="WF8" s="125" t="s">
        <v>790</v>
      </c>
      <c r="WG8" s="125" t="s">
        <v>791</v>
      </c>
      <c r="WH8" s="125" t="s">
        <v>792</v>
      </c>
      <c r="WI8" s="125" t="s">
        <v>793</v>
      </c>
      <c r="WJ8" s="125" t="s">
        <v>794</v>
      </c>
      <c r="WK8" s="125" t="s">
        <v>795</v>
      </c>
      <c r="WL8" s="125" t="s">
        <v>796</v>
      </c>
      <c r="WM8" s="125" t="s">
        <v>797</v>
      </c>
      <c r="WN8" s="125" t="s">
        <v>798</v>
      </c>
      <c r="WO8" s="125" t="s">
        <v>799</v>
      </c>
      <c r="WP8" s="125" t="s">
        <v>800</v>
      </c>
      <c r="WQ8" s="125" t="s">
        <v>801</v>
      </c>
      <c r="WR8" s="125" t="s">
        <v>802</v>
      </c>
      <c r="WS8" s="125" t="s">
        <v>803</v>
      </c>
      <c r="WT8" s="125" t="s">
        <v>804</v>
      </c>
      <c r="WU8" s="125" t="s">
        <v>805</v>
      </c>
      <c r="WV8" s="125" t="s">
        <v>806</v>
      </c>
      <c r="WW8" s="125" t="s">
        <v>807</v>
      </c>
      <c r="WX8" s="125" t="s">
        <v>808</v>
      </c>
      <c r="WY8" s="125" t="s">
        <v>809</v>
      </c>
      <c r="WZ8" s="125" t="s">
        <v>810</v>
      </c>
      <c r="XA8" s="125" t="s">
        <v>811</v>
      </c>
      <c r="XB8" s="125" t="s">
        <v>812</v>
      </c>
      <c r="XC8" s="125" t="s">
        <v>813</v>
      </c>
      <c r="XD8" s="125" t="s">
        <v>814</v>
      </c>
      <c r="XE8" s="125" t="s">
        <v>815</v>
      </c>
      <c r="XF8" s="125" t="s">
        <v>816</v>
      </c>
      <c r="XG8" s="125" t="s">
        <v>817</v>
      </c>
      <c r="XH8" s="125" t="s">
        <v>818</v>
      </c>
      <c r="XI8" s="125" t="s">
        <v>819</v>
      </c>
      <c r="XJ8" s="125" t="s">
        <v>820</v>
      </c>
      <c r="XK8" s="125" t="s">
        <v>821</v>
      </c>
      <c r="XL8" s="125" t="s">
        <v>822</v>
      </c>
      <c r="XM8" s="125" t="s">
        <v>823</v>
      </c>
      <c r="XN8" s="125" t="s">
        <v>824</v>
      </c>
      <c r="XO8" s="125" t="s">
        <v>825</v>
      </c>
      <c r="XP8" s="125" t="s">
        <v>826</v>
      </c>
      <c r="XQ8" s="125" t="s">
        <v>827</v>
      </c>
      <c r="XR8" s="125" t="s">
        <v>828</v>
      </c>
      <c r="XS8" s="125" t="s">
        <v>829</v>
      </c>
      <c r="XT8" s="125" t="s">
        <v>830</v>
      </c>
      <c r="XU8" s="125" t="s">
        <v>831</v>
      </c>
      <c r="XV8" s="125" t="s">
        <v>832</v>
      </c>
      <c r="XW8" s="125" t="s">
        <v>833</v>
      </c>
      <c r="XX8" s="125" t="s">
        <v>834</v>
      </c>
      <c r="XY8" s="125" t="s">
        <v>835</v>
      </c>
      <c r="XZ8" s="125" t="s">
        <v>836</v>
      </c>
      <c r="YA8" s="125" t="s">
        <v>837</v>
      </c>
      <c r="YB8" s="125" t="s">
        <v>838</v>
      </c>
      <c r="YC8" s="125" t="s">
        <v>839</v>
      </c>
      <c r="YD8" s="125" t="s">
        <v>840</v>
      </c>
      <c r="YE8" s="125" t="s">
        <v>841</v>
      </c>
      <c r="YF8" s="125" t="s">
        <v>842</v>
      </c>
      <c r="YG8" s="125" t="s">
        <v>843</v>
      </c>
      <c r="YH8" s="125" t="s">
        <v>844</v>
      </c>
      <c r="YI8" s="125" t="s">
        <v>845</v>
      </c>
      <c r="YJ8" s="125" t="s">
        <v>846</v>
      </c>
      <c r="YK8" s="125" t="s">
        <v>847</v>
      </c>
      <c r="YL8" s="125" t="s">
        <v>848</v>
      </c>
      <c r="YM8" s="125" t="s">
        <v>849</v>
      </c>
      <c r="YN8" s="125" t="s">
        <v>850</v>
      </c>
      <c r="YO8" s="125" t="s">
        <v>851</v>
      </c>
      <c r="YP8" s="125" t="s">
        <v>852</v>
      </c>
      <c r="YQ8" s="125" t="s">
        <v>853</v>
      </c>
      <c r="YR8" s="125" t="s">
        <v>854</v>
      </c>
      <c r="YS8" s="125" t="s">
        <v>855</v>
      </c>
      <c r="YT8" s="125" t="s">
        <v>856</v>
      </c>
      <c r="YU8" s="125" t="s">
        <v>857</v>
      </c>
      <c r="YV8" s="125" t="s">
        <v>858</v>
      </c>
      <c r="YW8" s="125" t="s">
        <v>859</v>
      </c>
      <c r="YX8" s="125" t="s">
        <v>860</v>
      </c>
      <c r="YY8" s="125" t="s">
        <v>861</v>
      </c>
      <c r="YZ8" s="125" t="s">
        <v>862</v>
      </c>
      <c r="ZA8" s="125" t="s">
        <v>863</v>
      </c>
      <c r="ZB8" s="125" t="s">
        <v>864</v>
      </c>
      <c r="ZC8" s="125" t="s">
        <v>865</v>
      </c>
      <c r="ZD8" s="125" t="s">
        <v>866</v>
      </c>
      <c r="ZE8" s="125" t="s">
        <v>867</v>
      </c>
      <c r="ZF8" s="125" t="s">
        <v>868</v>
      </c>
      <c r="ZG8" s="125" t="s">
        <v>869</v>
      </c>
      <c r="ZH8" s="125" t="s">
        <v>870</v>
      </c>
      <c r="ZI8" s="125" t="s">
        <v>871</v>
      </c>
      <c r="ZJ8" s="125" t="s">
        <v>872</v>
      </c>
      <c r="ZK8" s="125" t="s">
        <v>873</v>
      </c>
      <c r="ZL8" s="125" t="s">
        <v>874</v>
      </c>
      <c r="ZM8" s="125" t="s">
        <v>875</v>
      </c>
      <c r="ZN8" s="125" t="s">
        <v>876</v>
      </c>
      <c r="ZO8" s="125" t="s">
        <v>877</v>
      </c>
      <c r="ZP8" s="125" t="s">
        <v>878</v>
      </c>
      <c r="ZQ8" s="125" t="s">
        <v>879</v>
      </c>
      <c r="ZR8" s="125" t="s">
        <v>880</v>
      </c>
      <c r="ZS8" s="125" t="s">
        <v>881</v>
      </c>
      <c r="ZT8" s="125" t="s">
        <v>882</v>
      </c>
      <c r="ZU8" s="125" t="s">
        <v>883</v>
      </c>
      <c r="ZV8" s="125" t="s">
        <v>884</v>
      </c>
      <c r="ZW8" s="125" t="s">
        <v>885</v>
      </c>
      <c r="ZX8" s="125" t="s">
        <v>886</v>
      </c>
      <c r="ZY8" s="125" t="s">
        <v>887</v>
      </c>
      <c r="ZZ8" s="125" t="s">
        <v>888</v>
      </c>
      <c r="AAA8" s="125" t="s">
        <v>889</v>
      </c>
      <c r="AAB8" s="125" t="s">
        <v>890</v>
      </c>
      <c r="AAC8" s="125" t="s">
        <v>891</v>
      </c>
      <c r="AAD8" s="125" t="s">
        <v>892</v>
      </c>
      <c r="AAE8" s="125" t="s">
        <v>893</v>
      </c>
      <c r="AAF8" s="125" t="s">
        <v>894</v>
      </c>
      <c r="AAG8" s="125" t="s">
        <v>895</v>
      </c>
      <c r="AAH8" s="125" t="s">
        <v>896</v>
      </c>
      <c r="AAI8" s="125" t="s">
        <v>897</v>
      </c>
      <c r="AAJ8" s="125" t="s">
        <v>898</v>
      </c>
      <c r="AAK8" s="125" t="s">
        <v>899</v>
      </c>
      <c r="AAL8" s="125" t="s">
        <v>900</v>
      </c>
      <c r="AAM8" s="125" t="s">
        <v>901</v>
      </c>
      <c r="AAN8" s="125" t="s">
        <v>902</v>
      </c>
      <c r="AAO8" s="125" t="s">
        <v>903</v>
      </c>
      <c r="AAP8" s="125" t="s">
        <v>904</v>
      </c>
      <c r="AAQ8" s="125" t="s">
        <v>905</v>
      </c>
      <c r="AAR8" s="125" t="s">
        <v>906</v>
      </c>
      <c r="AAS8" s="125" t="s">
        <v>907</v>
      </c>
      <c r="AAT8" s="125" t="s">
        <v>908</v>
      </c>
      <c r="AAU8" s="125" t="s">
        <v>909</v>
      </c>
      <c r="AAV8" s="125" t="s">
        <v>910</v>
      </c>
      <c r="AAW8" s="125" t="s">
        <v>911</v>
      </c>
      <c r="AAX8" s="125" t="s">
        <v>912</v>
      </c>
      <c r="AAY8" s="125" t="s">
        <v>913</v>
      </c>
      <c r="AAZ8" s="125" t="s">
        <v>914</v>
      </c>
      <c r="ABA8" s="125" t="s">
        <v>915</v>
      </c>
      <c r="ABB8" s="125" t="s">
        <v>916</v>
      </c>
      <c r="ABC8" s="125" t="s">
        <v>917</v>
      </c>
      <c r="ABD8" s="125" t="s">
        <v>918</v>
      </c>
      <c r="ABE8" s="125" t="s">
        <v>919</v>
      </c>
      <c r="ABF8" s="125" t="s">
        <v>920</v>
      </c>
      <c r="ABG8" s="125" t="s">
        <v>921</v>
      </c>
      <c r="ABH8" s="125" t="s">
        <v>922</v>
      </c>
      <c r="ABI8" s="125" t="s">
        <v>923</v>
      </c>
      <c r="ABJ8" s="125" t="s">
        <v>924</v>
      </c>
      <c r="ABK8" s="125" t="s">
        <v>925</v>
      </c>
      <c r="ABL8" s="125" t="s">
        <v>926</v>
      </c>
      <c r="ABM8" s="125" t="s">
        <v>927</v>
      </c>
      <c r="ABN8" s="125" t="s">
        <v>928</v>
      </c>
      <c r="ABO8" s="125" t="s">
        <v>929</v>
      </c>
      <c r="ABP8" s="125" t="s">
        <v>930</v>
      </c>
      <c r="ABQ8" s="125" t="s">
        <v>931</v>
      </c>
      <c r="ABR8" s="125" t="s">
        <v>932</v>
      </c>
      <c r="ABS8" s="125" t="s">
        <v>933</v>
      </c>
      <c r="ABT8" s="125" t="s">
        <v>934</v>
      </c>
      <c r="ABU8" s="125" t="s">
        <v>935</v>
      </c>
      <c r="ABV8" s="125" t="s">
        <v>936</v>
      </c>
      <c r="ABW8" s="125" t="s">
        <v>937</v>
      </c>
      <c r="ABX8" s="125" t="s">
        <v>938</v>
      </c>
      <c r="ABY8" s="125" t="s">
        <v>939</v>
      </c>
      <c r="ABZ8" s="125" t="s">
        <v>940</v>
      </c>
      <c r="ACA8" s="125" t="s">
        <v>941</v>
      </c>
      <c r="ACB8" s="125" t="s">
        <v>942</v>
      </c>
      <c r="ACC8" s="125" t="s">
        <v>943</v>
      </c>
      <c r="ACD8" s="125" t="s">
        <v>944</v>
      </c>
      <c r="ACE8" s="125" t="s">
        <v>945</v>
      </c>
      <c r="ACF8" s="125" t="s">
        <v>946</v>
      </c>
      <c r="ACG8" s="125" t="s">
        <v>947</v>
      </c>
      <c r="ACH8" s="125" t="s">
        <v>948</v>
      </c>
      <c r="ACI8" s="125" t="s">
        <v>949</v>
      </c>
      <c r="ACJ8" s="125" t="s">
        <v>950</v>
      </c>
      <c r="ACK8" s="125" t="s">
        <v>951</v>
      </c>
      <c r="ACL8" s="125" t="s">
        <v>952</v>
      </c>
      <c r="ACM8" s="125" t="s">
        <v>953</v>
      </c>
      <c r="ACN8" s="125" t="s">
        <v>954</v>
      </c>
      <c r="ACO8" s="125" t="s">
        <v>955</v>
      </c>
      <c r="ACP8" s="125" t="s">
        <v>956</v>
      </c>
      <c r="ACQ8" s="125" t="s">
        <v>957</v>
      </c>
      <c r="ACR8" s="125" t="s">
        <v>958</v>
      </c>
      <c r="ACS8" s="125" t="s">
        <v>959</v>
      </c>
      <c r="ACT8" s="125" t="s">
        <v>960</v>
      </c>
      <c r="ACU8" s="125" t="s">
        <v>961</v>
      </c>
      <c r="ACV8" s="125" t="s">
        <v>962</v>
      </c>
      <c r="ACW8" s="125" t="s">
        <v>963</v>
      </c>
      <c r="ACX8" s="125" t="s">
        <v>964</v>
      </c>
      <c r="ACY8" s="125" t="s">
        <v>965</v>
      </c>
      <c r="ACZ8" s="125" t="s">
        <v>966</v>
      </c>
      <c r="ADA8" s="125" t="s">
        <v>967</v>
      </c>
      <c r="ADB8" s="125" t="s">
        <v>968</v>
      </c>
      <c r="ADC8" s="125" t="s">
        <v>969</v>
      </c>
      <c r="ADD8" s="125" t="s">
        <v>970</v>
      </c>
      <c r="ADE8" s="125" t="s">
        <v>971</v>
      </c>
      <c r="ADF8" s="125" t="s">
        <v>972</v>
      </c>
      <c r="ADG8" s="125" t="s">
        <v>973</v>
      </c>
      <c r="ADH8" s="125" t="s">
        <v>974</v>
      </c>
      <c r="ADI8" s="125" t="s">
        <v>975</v>
      </c>
      <c r="ADJ8" s="125" t="s">
        <v>976</v>
      </c>
      <c r="ADK8" s="125" t="s">
        <v>977</v>
      </c>
      <c r="ADL8" s="125" t="s">
        <v>978</v>
      </c>
      <c r="ADM8" s="125" t="s">
        <v>979</v>
      </c>
      <c r="ADN8" s="125" t="s">
        <v>980</v>
      </c>
      <c r="ADO8" s="125" t="s">
        <v>981</v>
      </c>
      <c r="ADP8" s="125" t="s">
        <v>982</v>
      </c>
      <c r="ADQ8" s="125" t="s">
        <v>983</v>
      </c>
      <c r="ADR8" s="125" t="s">
        <v>984</v>
      </c>
      <c r="ADS8" s="125" t="s">
        <v>985</v>
      </c>
      <c r="ADT8" s="125" t="s">
        <v>986</v>
      </c>
      <c r="ADU8" s="125" t="s">
        <v>987</v>
      </c>
      <c r="ADV8" s="125" t="s">
        <v>988</v>
      </c>
      <c r="ADW8" s="125" t="s">
        <v>989</v>
      </c>
      <c r="ADX8" s="125" t="s">
        <v>990</v>
      </c>
      <c r="ADY8" s="125" t="s">
        <v>991</v>
      </c>
      <c r="ADZ8" s="125" t="s">
        <v>992</v>
      </c>
      <c r="AEA8" s="125" t="s">
        <v>993</v>
      </c>
      <c r="AEB8" s="125" t="s">
        <v>994</v>
      </c>
      <c r="AEC8" s="125" t="s">
        <v>995</v>
      </c>
      <c r="AED8" s="125" t="s">
        <v>996</v>
      </c>
      <c r="AEE8" s="125" t="s">
        <v>997</v>
      </c>
      <c r="AEF8" s="125" t="s">
        <v>998</v>
      </c>
      <c r="AEG8" s="125" t="s">
        <v>999</v>
      </c>
      <c r="AEH8" s="125" t="s">
        <v>1000</v>
      </c>
      <c r="AEI8" s="125" t="s">
        <v>1001</v>
      </c>
      <c r="AEJ8" s="125" t="s">
        <v>1002</v>
      </c>
      <c r="AEK8" s="125" t="s">
        <v>1003</v>
      </c>
      <c r="AEL8" s="125" t="s">
        <v>1004</v>
      </c>
      <c r="AEM8" s="125" t="s">
        <v>1005</v>
      </c>
      <c r="AEN8" s="125" t="s">
        <v>1006</v>
      </c>
      <c r="AEO8" s="125" t="s">
        <v>1007</v>
      </c>
      <c r="AEP8" s="125" t="s">
        <v>1008</v>
      </c>
      <c r="AEQ8" s="125" t="s">
        <v>1009</v>
      </c>
      <c r="AER8" s="125" t="s">
        <v>1010</v>
      </c>
      <c r="AES8" s="125" t="s">
        <v>1011</v>
      </c>
      <c r="AET8" s="125" t="s">
        <v>1012</v>
      </c>
      <c r="AEU8" s="125" t="s">
        <v>1013</v>
      </c>
      <c r="AEV8" s="125" t="s">
        <v>1014</v>
      </c>
      <c r="AEW8" s="125" t="s">
        <v>1015</v>
      </c>
      <c r="AEX8" s="125" t="s">
        <v>1016</v>
      </c>
      <c r="AEY8" s="125" t="s">
        <v>1017</v>
      </c>
      <c r="AEZ8" s="125" t="s">
        <v>1018</v>
      </c>
      <c r="AFA8" s="125" t="s">
        <v>1019</v>
      </c>
      <c r="AFB8" s="125" t="s">
        <v>1020</v>
      </c>
      <c r="AFC8" s="125" t="s">
        <v>1021</v>
      </c>
      <c r="AFD8" s="125" t="s">
        <v>1022</v>
      </c>
      <c r="AFE8" s="125" t="s">
        <v>1023</v>
      </c>
      <c r="AFF8" s="125" t="s">
        <v>1024</v>
      </c>
      <c r="AFG8" s="125" t="s">
        <v>1025</v>
      </c>
      <c r="AFH8" s="125" t="s">
        <v>1026</v>
      </c>
      <c r="AFI8" s="125" t="s">
        <v>1027</v>
      </c>
      <c r="AFJ8" s="125" t="s">
        <v>1028</v>
      </c>
      <c r="AFK8" s="125" t="s">
        <v>1029</v>
      </c>
      <c r="AFL8" s="125" t="s">
        <v>1030</v>
      </c>
      <c r="AFM8" s="125" t="s">
        <v>1031</v>
      </c>
      <c r="AFN8" s="125" t="s">
        <v>1032</v>
      </c>
      <c r="AFO8" s="125" t="s">
        <v>1033</v>
      </c>
      <c r="AFP8" s="125" t="s">
        <v>1034</v>
      </c>
      <c r="AFQ8" s="125" t="s">
        <v>1035</v>
      </c>
      <c r="AFR8" s="125" t="s">
        <v>1036</v>
      </c>
      <c r="AFS8" s="125" t="s">
        <v>1037</v>
      </c>
      <c r="AFT8" s="125" t="s">
        <v>1038</v>
      </c>
      <c r="AFU8" s="125" t="s">
        <v>1039</v>
      </c>
      <c r="AFV8" s="125" t="s">
        <v>1040</v>
      </c>
      <c r="AFW8" s="125" t="s">
        <v>1041</v>
      </c>
      <c r="AFX8" s="125" t="s">
        <v>1042</v>
      </c>
      <c r="AFY8" s="125" t="s">
        <v>1043</v>
      </c>
      <c r="AFZ8" s="125" t="s">
        <v>1044</v>
      </c>
      <c r="AGA8" s="125" t="s">
        <v>1045</v>
      </c>
      <c r="AGB8" s="125" t="s">
        <v>1046</v>
      </c>
      <c r="AGC8" s="125" t="s">
        <v>1047</v>
      </c>
      <c r="AGD8" s="125" t="s">
        <v>1048</v>
      </c>
      <c r="AGE8" s="125" t="s">
        <v>1049</v>
      </c>
      <c r="AGF8" s="125" t="s">
        <v>1050</v>
      </c>
      <c r="AGG8" s="125" t="s">
        <v>1051</v>
      </c>
      <c r="AGH8" s="125" t="s">
        <v>1052</v>
      </c>
      <c r="AGI8" s="125" t="s">
        <v>1053</v>
      </c>
      <c r="AGJ8" s="125" t="s">
        <v>1054</v>
      </c>
      <c r="AGK8" s="125" t="s">
        <v>1055</v>
      </c>
      <c r="AGL8" s="125" t="s">
        <v>1056</v>
      </c>
      <c r="AGM8" s="125" t="s">
        <v>1057</v>
      </c>
      <c r="AGN8" s="125" t="s">
        <v>1058</v>
      </c>
      <c r="AGO8" s="125" t="s">
        <v>1059</v>
      </c>
      <c r="AGP8" s="125" t="s">
        <v>1060</v>
      </c>
      <c r="AGQ8" s="125" t="s">
        <v>1061</v>
      </c>
      <c r="AGR8" s="125" t="s">
        <v>1062</v>
      </c>
      <c r="AGS8" s="125" t="s">
        <v>1063</v>
      </c>
      <c r="AGT8" s="125" t="s">
        <v>1064</v>
      </c>
      <c r="AGU8" s="125" t="s">
        <v>1065</v>
      </c>
      <c r="AGV8" s="125" t="s">
        <v>1066</v>
      </c>
      <c r="AGW8" s="125" t="s">
        <v>1067</v>
      </c>
      <c r="AGX8" s="125" t="s">
        <v>1068</v>
      </c>
      <c r="AGY8" s="125" t="s">
        <v>1069</v>
      </c>
      <c r="AGZ8" s="125" t="s">
        <v>1070</v>
      </c>
      <c r="AHA8" s="125" t="s">
        <v>1071</v>
      </c>
      <c r="AHB8" s="125" t="s">
        <v>1072</v>
      </c>
      <c r="AHC8" s="125" t="s">
        <v>1073</v>
      </c>
      <c r="AHD8" s="125" t="s">
        <v>1074</v>
      </c>
      <c r="AHE8" s="125" t="s">
        <v>1075</v>
      </c>
      <c r="AHF8" s="125" t="s">
        <v>1076</v>
      </c>
      <c r="AHG8" s="125" t="s">
        <v>1077</v>
      </c>
      <c r="AHH8" s="125" t="s">
        <v>1078</v>
      </c>
      <c r="AHI8" s="125" t="s">
        <v>1079</v>
      </c>
      <c r="AHJ8" s="125" t="s">
        <v>1080</v>
      </c>
      <c r="AHK8" s="125" t="s">
        <v>1081</v>
      </c>
      <c r="AHL8" s="125" t="s">
        <v>1082</v>
      </c>
      <c r="AHM8" s="125" t="s">
        <v>1083</v>
      </c>
      <c r="AHN8" s="125" t="s">
        <v>1084</v>
      </c>
      <c r="AHO8" s="125" t="s">
        <v>1085</v>
      </c>
      <c r="AHP8" s="125" t="s">
        <v>1086</v>
      </c>
      <c r="AHQ8" s="125" t="s">
        <v>1087</v>
      </c>
      <c r="AHR8" s="125" t="s">
        <v>1088</v>
      </c>
      <c r="AHS8" s="125" t="s">
        <v>1089</v>
      </c>
      <c r="AHT8" s="125" t="s">
        <v>1090</v>
      </c>
      <c r="AHU8" s="125" t="s">
        <v>1091</v>
      </c>
      <c r="AHV8" s="125" t="s">
        <v>1092</v>
      </c>
      <c r="AHW8" s="125" t="s">
        <v>1093</v>
      </c>
      <c r="AHX8" s="125" t="s">
        <v>1094</v>
      </c>
      <c r="AHY8" s="125" t="s">
        <v>1095</v>
      </c>
      <c r="AHZ8" s="125" t="s">
        <v>1096</v>
      </c>
      <c r="AIA8" s="125" t="s">
        <v>1097</v>
      </c>
      <c r="AIB8" s="125" t="s">
        <v>1098</v>
      </c>
      <c r="AIC8" s="125" t="s">
        <v>1099</v>
      </c>
      <c r="AID8" s="125" t="s">
        <v>1100</v>
      </c>
      <c r="AIE8" s="125" t="s">
        <v>1101</v>
      </c>
      <c r="AIF8" s="125" t="s">
        <v>1102</v>
      </c>
      <c r="AIG8" s="125" t="s">
        <v>1103</v>
      </c>
      <c r="AIH8" s="125" t="s">
        <v>1104</v>
      </c>
      <c r="AII8" s="125" t="s">
        <v>1105</v>
      </c>
      <c r="AIJ8" s="125" t="s">
        <v>1106</v>
      </c>
      <c r="AIK8" s="125" t="s">
        <v>1107</v>
      </c>
      <c r="AIL8" s="125" t="s">
        <v>1108</v>
      </c>
      <c r="AIM8" s="125" t="s">
        <v>1109</v>
      </c>
      <c r="AIN8" s="125" t="s">
        <v>1110</v>
      </c>
      <c r="AIO8" s="125" t="s">
        <v>1111</v>
      </c>
      <c r="AIP8" s="125" t="s">
        <v>1112</v>
      </c>
      <c r="AIQ8" s="125" t="s">
        <v>1113</v>
      </c>
      <c r="AIR8" s="125" t="s">
        <v>1114</v>
      </c>
      <c r="AIS8" s="125" t="s">
        <v>1115</v>
      </c>
      <c r="AIT8" s="125" t="s">
        <v>1116</v>
      </c>
      <c r="AIU8" s="125" t="s">
        <v>1117</v>
      </c>
      <c r="AIV8" s="125" t="s">
        <v>1118</v>
      </c>
      <c r="AIW8" s="125" t="s">
        <v>1119</v>
      </c>
      <c r="AIX8" s="125" t="s">
        <v>1120</v>
      </c>
      <c r="AIY8" s="125" t="s">
        <v>1121</v>
      </c>
      <c r="AIZ8" s="125" t="s">
        <v>1122</v>
      </c>
      <c r="AJA8" s="125" t="s">
        <v>1123</v>
      </c>
      <c r="AJB8" s="125" t="s">
        <v>1124</v>
      </c>
      <c r="AJC8" s="125" t="s">
        <v>1125</v>
      </c>
      <c r="AJD8" s="125" t="s">
        <v>1126</v>
      </c>
      <c r="AJE8" s="125" t="s">
        <v>1127</v>
      </c>
      <c r="AJF8" s="125" t="s">
        <v>1128</v>
      </c>
      <c r="AJG8" s="125" t="s">
        <v>1129</v>
      </c>
      <c r="AJH8" s="125" t="s">
        <v>1130</v>
      </c>
      <c r="AJI8" s="125" t="s">
        <v>1131</v>
      </c>
      <c r="AJJ8" s="125" t="s">
        <v>1132</v>
      </c>
      <c r="AJK8" s="125" t="s">
        <v>1133</v>
      </c>
      <c r="AJL8" s="125" t="s">
        <v>1134</v>
      </c>
      <c r="AJM8" s="125" t="s">
        <v>1135</v>
      </c>
      <c r="AJN8" s="125" t="s">
        <v>1136</v>
      </c>
      <c r="AJO8" s="125" t="s">
        <v>1137</v>
      </c>
      <c r="AJP8" s="125" t="s">
        <v>1138</v>
      </c>
      <c r="AJQ8" s="125" t="s">
        <v>1139</v>
      </c>
      <c r="AJR8" s="125" t="s">
        <v>1140</v>
      </c>
      <c r="AJS8" s="125" t="s">
        <v>1141</v>
      </c>
      <c r="AJT8" s="125" t="s">
        <v>1142</v>
      </c>
      <c r="AJU8" s="125" t="s">
        <v>1143</v>
      </c>
      <c r="AJV8" s="125" t="s">
        <v>1144</v>
      </c>
      <c r="AJW8" s="125" t="s">
        <v>1145</v>
      </c>
      <c r="AJX8" s="125" t="s">
        <v>1146</v>
      </c>
      <c r="AJY8" s="125" t="s">
        <v>1147</v>
      </c>
      <c r="AJZ8" s="125" t="s">
        <v>1148</v>
      </c>
      <c r="AKA8" s="125" t="s">
        <v>1149</v>
      </c>
      <c r="AKB8" s="125" t="s">
        <v>1150</v>
      </c>
      <c r="AKC8" s="125" t="s">
        <v>1151</v>
      </c>
      <c r="AKD8" s="125" t="s">
        <v>1152</v>
      </c>
      <c r="AKE8" s="125" t="s">
        <v>1153</v>
      </c>
      <c r="AKF8" s="125" t="s">
        <v>1154</v>
      </c>
      <c r="AKG8" s="125" t="s">
        <v>1155</v>
      </c>
      <c r="AKH8" s="125" t="s">
        <v>1156</v>
      </c>
      <c r="AKI8" s="125" t="s">
        <v>1157</v>
      </c>
      <c r="AKJ8" s="125" t="s">
        <v>1158</v>
      </c>
      <c r="AKK8" s="125" t="s">
        <v>1159</v>
      </c>
      <c r="AKL8" s="125" t="s">
        <v>1160</v>
      </c>
      <c r="AKM8" s="125" t="s">
        <v>1161</v>
      </c>
      <c r="AKN8" s="125" t="s">
        <v>1162</v>
      </c>
      <c r="AKO8" s="125" t="s">
        <v>1163</v>
      </c>
      <c r="AKP8" s="125" t="s">
        <v>1164</v>
      </c>
      <c r="AKQ8" s="125" t="s">
        <v>1165</v>
      </c>
      <c r="AKR8" s="125" t="s">
        <v>1166</v>
      </c>
      <c r="AKS8" s="125" t="s">
        <v>1167</v>
      </c>
      <c r="AKT8" s="125" t="s">
        <v>1168</v>
      </c>
      <c r="AKU8" s="125" t="s">
        <v>1169</v>
      </c>
      <c r="AKV8" s="125" t="s">
        <v>1170</v>
      </c>
      <c r="AKW8" s="125" t="s">
        <v>1171</v>
      </c>
      <c r="AKX8" s="125" t="s">
        <v>1172</v>
      </c>
      <c r="AKY8" s="125" t="s">
        <v>1173</v>
      </c>
      <c r="AKZ8" s="125" t="s">
        <v>1174</v>
      </c>
      <c r="ALA8" s="125" t="s">
        <v>1175</v>
      </c>
      <c r="ALB8" s="125" t="s">
        <v>1176</v>
      </c>
      <c r="ALC8" s="125" t="s">
        <v>1177</v>
      </c>
      <c r="ALD8" s="125" t="s">
        <v>1178</v>
      </c>
      <c r="ALE8" s="125" t="s">
        <v>1179</v>
      </c>
      <c r="ALF8" s="125" t="s">
        <v>1180</v>
      </c>
      <c r="ALG8" s="125" t="s">
        <v>1181</v>
      </c>
      <c r="ALH8" s="125" t="s">
        <v>1182</v>
      </c>
      <c r="ALI8" s="125" t="s">
        <v>1183</v>
      </c>
      <c r="ALJ8" s="125" t="s">
        <v>1184</v>
      </c>
      <c r="ALK8" s="125" t="s">
        <v>1185</v>
      </c>
      <c r="ALL8" s="125" t="s">
        <v>1186</v>
      </c>
      <c r="ALM8" s="125" t="s">
        <v>1187</v>
      </c>
      <c r="ALN8" s="125" t="s">
        <v>1188</v>
      </c>
      <c r="ALO8" s="125" t="s">
        <v>1189</v>
      </c>
      <c r="ALP8" s="125" t="s">
        <v>1190</v>
      </c>
      <c r="ALQ8" s="125" t="s">
        <v>1191</v>
      </c>
      <c r="ALR8" s="125" t="s">
        <v>1192</v>
      </c>
      <c r="ALS8" s="125" t="s">
        <v>1193</v>
      </c>
      <c r="ALT8" s="125" t="s">
        <v>1194</v>
      </c>
      <c r="ALU8" s="125" t="s">
        <v>1195</v>
      </c>
      <c r="ALV8" s="125" t="s">
        <v>1196</v>
      </c>
      <c r="ALW8" s="125" t="s">
        <v>1197</v>
      </c>
      <c r="ALX8" s="125" t="s">
        <v>1198</v>
      </c>
      <c r="ALY8" s="125" t="s">
        <v>1199</v>
      </c>
      <c r="ALZ8" s="125" t="s">
        <v>1200</v>
      </c>
      <c r="AMA8" s="125" t="s">
        <v>1201</v>
      </c>
      <c r="AMB8" s="125" t="s">
        <v>1202</v>
      </c>
      <c r="AMC8" s="125" t="s">
        <v>1203</v>
      </c>
    </row>
    <row r="9" s="131" customFormat="true" ht="13.5" hidden="false" customHeight="true" outlineLevel="0" collapsed="false">
      <c r="A9" s="126" t="n">
        <f aca="false">ROW()-8</f>
        <v>1</v>
      </c>
      <c r="B9" s="127" t="s">
        <v>1204</v>
      </c>
      <c r="C9" s="128"/>
      <c r="D9" s="129"/>
      <c r="E9" s="129"/>
      <c r="F9" s="129"/>
      <c r="G9" s="129"/>
      <c r="H9" s="62" t="s">
        <v>113</v>
      </c>
      <c r="I9" s="98" t="s">
        <v>1205</v>
      </c>
      <c r="J9" s="63" t="s">
        <v>1206</v>
      </c>
      <c r="K9" s="62" t="s">
        <v>117</v>
      </c>
      <c r="L9" s="130"/>
      <c r="M9" s="62" t="s">
        <v>118</v>
      </c>
      <c r="N9" s="62" t="s">
        <v>1859</v>
      </c>
      <c r="O9" s="65" t="s">
        <v>119</v>
      </c>
      <c r="P9" s="65" t="s">
        <v>119</v>
      </c>
      <c r="Q9" s="65" t="s">
        <v>119</v>
      </c>
      <c r="R9" s="131" t="s">
        <v>119</v>
      </c>
      <c r="S9" s="66"/>
      <c r="T9" s="183"/>
      <c r="AMD9" s="67"/>
      <c r="AME9" s="67"/>
      <c r="AMF9" s="67"/>
      <c r="AMG9" s="67"/>
      <c r="AMH9" s="67"/>
      <c r="AMI9" s="67"/>
      <c r="AMJ9" s="67"/>
    </row>
    <row r="10" s="135"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163</v>
      </c>
      <c r="L10" s="130"/>
      <c r="M10" s="62" t="s">
        <v>118</v>
      </c>
      <c r="N10" s="62"/>
      <c r="O10" s="65" t="s">
        <v>119</v>
      </c>
      <c r="P10" s="65" t="s">
        <v>119</v>
      </c>
      <c r="Q10" s="65" t="s">
        <v>119</v>
      </c>
      <c r="R10" s="184" t="n">
        <v>1</v>
      </c>
      <c r="S10" s="66"/>
      <c r="AMD10" s="67"/>
      <c r="AME10" s="67"/>
      <c r="AMF10" s="67"/>
      <c r="AMG10" s="67"/>
      <c r="AMH10" s="67"/>
      <c r="AMI10" s="67"/>
      <c r="AMJ10" s="67"/>
    </row>
    <row r="11" s="134" customFormat="true" ht="13.5" hidden="false" customHeight="true" outlineLevel="0" collapsed="false">
      <c r="A11" s="185" t="n">
        <f aca="false">ROW()-8</f>
        <v>3</v>
      </c>
      <c r="B11" s="156" t="s">
        <v>1860</v>
      </c>
      <c r="C11" s="144"/>
      <c r="D11" s="156"/>
      <c r="E11" s="156"/>
      <c r="F11" s="156"/>
      <c r="G11" s="156"/>
      <c r="H11" s="142" t="s">
        <v>1861</v>
      </c>
      <c r="I11" s="175"/>
      <c r="J11" s="175" t="s">
        <v>1862</v>
      </c>
      <c r="K11" s="142" t="s">
        <v>117</v>
      </c>
      <c r="L11" s="186"/>
      <c r="M11" s="142" t="s">
        <v>118</v>
      </c>
      <c r="N11" s="142"/>
      <c r="R11" s="143" t="s">
        <v>119</v>
      </c>
      <c r="S11" s="66"/>
      <c r="T11" s="159"/>
      <c r="AMD11" s="145"/>
      <c r="AME11" s="145"/>
      <c r="AMF11" s="145"/>
      <c r="AMG11" s="145"/>
      <c r="AMH11" s="145"/>
      <c r="AMI11" s="145"/>
      <c r="AMJ11" s="145"/>
    </row>
    <row r="12" s="135" customFormat="true" ht="13.5" hidden="false" customHeight="true" outlineLevel="0" collapsed="false">
      <c r="A12" s="126" t="n">
        <f aca="false">ROW()-8</f>
        <v>4</v>
      </c>
      <c r="B12" s="127" t="s">
        <v>1212</v>
      </c>
      <c r="C12" s="128"/>
      <c r="D12" s="129"/>
      <c r="E12" s="129"/>
      <c r="F12" s="129"/>
      <c r="G12" s="129"/>
      <c r="H12" s="62" t="s">
        <v>1213</v>
      </c>
      <c r="I12" s="63" t="s">
        <v>1214</v>
      </c>
      <c r="J12" s="63" t="s">
        <v>1215</v>
      </c>
      <c r="K12" s="62" t="s">
        <v>117</v>
      </c>
      <c r="L12" s="130"/>
      <c r="M12" s="62" t="s">
        <v>134</v>
      </c>
      <c r="N12" s="62" t="s">
        <v>1216</v>
      </c>
      <c r="O12" s="65" t="s">
        <v>119</v>
      </c>
      <c r="P12" s="65" t="s">
        <v>119</v>
      </c>
      <c r="Q12" s="65"/>
      <c r="R12" s="184" t="n">
        <v>1</v>
      </c>
      <c r="S12" s="66"/>
      <c r="AMD12" s="67"/>
      <c r="AME12" s="67"/>
      <c r="AMF12" s="67"/>
      <c r="AMG12" s="67"/>
      <c r="AMH12" s="67"/>
      <c r="AMI12" s="67"/>
      <c r="AMJ12" s="67"/>
    </row>
    <row r="13" s="135" customFormat="true" ht="13.5" hidden="false" customHeight="true" outlineLevel="0" collapsed="false">
      <c r="A13" s="126" t="n">
        <f aca="false">ROW()-8</f>
        <v>5</v>
      </c>
      <c r="B13" s="127" t="s">
        <v>1217</v>
      </c>
      <c r="C13" s="128"/>
      <c r="D13" s="129"/>
      <c r="E13" s="129"/>
      <c r="F13" s="129"/>
      <c r="G13" s="129"/>
      <c r="H13" s="62" t="s">
        <v>1218</v>
      </c>
      <c r="I13" s="63" t="s">
        <v>1219</v>
      </c>
      <c r="J13" s="63" t="s">
        <v>1220</v>
      </c>
      <c r="K13" s="62" t="s">
        <v>117</v>
      </c>
      <c r="L13" s="130"/>
      <c r="M13" s="62" t="s">
        <v>118</v>
      </c>
      <c r="N13" s="62"/>
      <c r="O13" s="65" t="s">
        <v>119</v>
      </c>
      <c r="P13" s="65"/>
      <c r="Q13" s="65"/>
      <c r="R13" s="184" t="n">
        <v>1</v>
      </c>
      <c r="S13" s="66"/>
      <c r="AMD13" s="67"/>
      <c r="AME13" s="67"/>
      <c r="AMF13" s="67"/>
      <c r="AMG13" s="67"/>
      <c r="AMH13" s="67"/>
      <c r="AMI13" s="67"/>
      <c r="AMJ13" s="67"/>
    </row>
    <row r="14" s="135" customFormat="true" ht="13.5" hidden="true" customHeight="true" outlineLevel="0" collapsed="false">
      <c r="A14" s="126" t="n">
        <f aca="false">ROW()-8</f>
        <v>6</v>
      </c>
      <c r="B14" s="132" t="s">
        <v>1221</v>
      </c>
      <c r="C14" s="128"/>
      <c r="D14" s="129"/>
      <c r="E14" s="129"/>
      <c r="F14" s="129"/>
      <c r="G14" s="129"/>
      <c r="H14" s="62" t="s">
        <v>1222</v>
      </c>
      <c r="I14" s="63" t="s">
        <v>1223</v>
      </c>
      <c r="J14" s="63" t="s">
        <v>1224</v>
      </c>
      <c r="K14" s="62" t="s">
        <v>163</v>
      </c>
      <c r="L14" s="130"/>
      <c r="M14" s="62" t="s">
        <v>118</v>
      </c>
      <c r="N14" s="62" t="s">
        <v>1863</v>
      </c>
      <c r="O14" s="65"/>
      <c r="P14" s="65"/>
      <c r="Q14" s="65"/>
      <c r="S14" s="187"/>
      <c r="AMD14" s="67"/>
      <c r="AME14" s="67"/>
      <c r="AMF14" s="67"/>
      <c r="AMG14" s="67"/>
      <c r="AMH14" s="67"/>
      <c r="AMI14" s="67"/>
      <c r="AMJ14" s="67"/>
    </row>
    <row r="15" s="135" customFormat="true" ht="13.5" hidden="true" customHeight="true" outlineLevel="0" collapsed="false">
      <c r="A15" s="126" t="n">
        <f aca="false">ROW()-8</f>
        <v>7</v>
      </c>
      <c r="B15" s="127" t="s">
        <v>1226</v>
      </c>
      <c r="C15" s="128"/>
      <c r="D15" s="129"/>
      <c r="E15" s="129"/>
      <c r="F15" s="129"/>
      <c r="G15" s="129"/>
      <c r="H15" s="136" t="s">
        <v>1227</v>
      </c>
      <c r="I15" s="137" t="s">
        <v>1228</v>
      </c>
      <c r="J15" s="137" t="s">
        <v>75</v>
      </c>
      <c r="K15" s="136" t="s">
        <v>163</v>
      </c>
      <c r="L15" s="138"/>
      <c r="M15" s="136" t="s">
        <v>118</v>
      </c>
      <c r="N15" s="136" t="s">
        <v>1229</v>
      </c>
      <c r="O15" s="65"/>
      <c r="P15" s="65" t="s">
        <v>119</v>
      </c>
      <c r="Q15" s="65" t="s">
        <v>119</v>
      </c>
      <c r="S15" s="187"/>
      <c r="AMD15" s="67"/>
      <c r="AME15" s="67"/>
      <c r="AMF15" s="67"/>
      <c r="AMG15" s="67"/>
      <c r="AMH15" s="67"/>
      <c r="AMI15" s="67"/>
      <c r="AMJ15" s="67"/>
    </row>
    <row r="16" s="135" customFormat="true" ht="13.5" hidden="true" customHeight="true" outlineLevel="0" collapsed="false">
      <c r="A16" s="126" t="n">
        <f aca="false">ROW()-8</f>
        <v>8</v>
      </c>
      <c r="B16" s="127" t="s">
        <v>1230</v>
      </c>
      <c r="C16" s="128"/>
      <c r="D16" s="129"/>
      <c r="E16" s="129"/>
      <c r="F16" s="129"/>
      <c r="G16" s="129"/>
      <c r="H16" s="136" t="s">
        <v>1231</v>
      </c>
      <c r="I16" s="137" t="s">
        <v>1232</v>
      </c>
      <c r="J16" s="137" t="s">
        <v>1233</v>
      </c>
      <c r="K16" s="136" t="s">
        <v>163</v>
      </c>
      <c r="L16" s="138"/>
      <c r="M16" s="136" t="s">
        <v>118</v>
      </c>
      <c r="N16" s="136" t="s">
        <v>1234</v>
      </c>
      <c r="O16" s="65"/>
      <c r="P16" s="65" t="s">
        <v>119</v>
      </c>
      <c r="Q16" s="65"/>
      <c r="S16" s="187"/>
      <c r="AMD16" s="67"/>
      <c r="AME16" s="67"/>
      <c r="AMF16" s="67"/>
      <c r="AMG16" s="67"/>
      <c r="AMH16" s="67"/>
      <c r="AMI16" s="67"/>
      <c r="AMJ16" s="67"/>
    </row>
    <row r="17" s="135" customFormat="true" ht="13.5" hidden="false" customHeight="true" outlineLevel="0" collapsed="false">
      <c r="A17" s="126" t="n">
        <f aca="false">ROW()-8</f>
        <v>9</v>
      </c>
      <c r="B17" s="127" t="s">
        <v>1235</v>
      </c>
      <c r="C17" s="139"/>
      <c r="D17" s="139"/>
      <c r="E17" s="139"/>
      <c r="F17" s="139"/>
      <c r="G17" s="139"/>
      <c r="H17" s="62" t="s">
        <v>1236</v>
      </c>
      <c r="I17" s="63"/>
      <c r="J17" s="63" t="s">
        <v>1237</v>
      </c>
      <c r="K17" s="62" t="s">
        <v>117</v>
      </c>
      <c r="L17" s="130" t="s">
        <v>119</v>
      </c>
      <c r="M17" s="140" t="s">
        <v>1237</v>
      </c>
      <c r="N17" s="136"/>
      <c r="O17" s="65" t="s">
        <v>119</v>
      </c>
      <c r="P17" s="65" t="s">
        <v>119</v>
      </c>
      <c r="Q17" s="64" t="s">
        <v>163</v>
      </c>
      <c r="R17" s="135" t="s">
        <v>119</v>
      </c>
      <c r="S17" s="66"/>
      <c r="T17" s="188"/>
      <c r="AMD17" s="67"/>
      <c r="AME17" s="67"/>
      <c r="AMF17" s="67"/>
      <c r="AMG17" s="67"/>
      <c r="AMH17" s="67"/>
      <c r="AMI17" s="67"/>
      <c r="AMJ17" s="67"/>
    </row>
    <row r="18" s="135" customFormat="true" ht="13.5" hidden="false" customHeight="true" outlineLevel="0" collapsed="false">
      <c r="A18" s="126" t="n">
        <f aca="false">ROW()-8</f>
        <v>10</v>
      </c>
      <c r="B18" s="127"/>
      <c r="C18" s="129" t="s">
        <v>1238</v>
      </c>
      <c r="D18" s="129"/>
      <c r="E18" s="129"/>
      <c r="F18" s="129"/>
      <c r="G18" s="129"/>
      <c r="H18" s="62" t="s">
        <v>1239</v>
      </c>
      <c r="I18" s="63" t="s">
        <v>1240</v>
      </c>
      <c r="J18" s="63" t="s">
        <v>1241</v>
      </c>
      <c r="K18" s="142" t="s">
        <v>117</v>
      </c>
      <c r="L18" s="130"/>
      <c r="M18" s="62" t="s">
        <v>118</v>
      </c>
      <c r="N18" s="136" t="s">
        <v>1242</v>
      </c>
      <c r="O18" s="65"/>
      <c r="P18" s="65" t="s">
        <v>119</v>
      </c>
      <c r="Q18" s="65"/>
      <c r="R18" s="135" t="s">
        <v>119</v>
      </c>
      <c r="S18" s="66"/>
      <c r="T18" s="188"/>
      <c r="AMD18" s="67"/>
      <c r="AME18" s="67"/>
      <c r="AMF18" s="67"/>
      <c r="AMG18" s="67"/>
      <c r="AMH18" s="67"/>
      <c r="AMI18" s="67"/>
      <c r="AMJ18" s="67"/>
    </row>
    <row r="19" s="134" customFormat="true" ht="13.5" hidden="false" customHeight="true" outlineLevel="0" collapsed="false">
      <c r="A19" s="185" t="n">
        <f aca="false">ROW()-8</f>
        <v>11</v>
      </c>
      <c r="B19" s="156"/>
      <c r="C19" s="156" t="s">
        <v>1864</v>
      </c>
      <c r="D19" s="156"/>
      <c r="E19" s="156"/>
      <c r="F19" s="156"/>
      <c r="G19" s="156"/>
      <c r="H19" s="142" t="s">
        <v>1865</v>
      </c>
      <c r="I19" s="175"/>
      <c r="J19" s="175" t="s">
        <v>1866</v>
      </c>
      <c r="K19" s="142" t="s">
        <v>163</v>
      </c>
      <c r="L19" s="186"/>
      <c r="M19" s="142" t="s">
        <v>118</v>
      </c>
      <c r="N19" s="142"/>
      <c r="R19" s="134" t="s">
        <v>119</v>
      </c>
      <c r="S19" s="66"/>
      <c r="AMD19" s="145"/>
      <c r="AME19" s="145"/>
      <c r="AMF19" s="145"/>
      <c r="AMG19" s="145"/>
      <c r="AMH19" s="145"/>
      <c r="AMI19" s="145"/>
      <c r="AMJ19" s="145"/>
    </row>
    <row r="20" s="135" customFormat="true" ht="13.5" hidden="false" customHeight="true" outlineLevel="0" collapsed="false">
      <c r="A20" s="126" t="n">
        <f aca="false">ROW()-8</f>
        <v>12</v>
      </c>
      <c r="B20" s="127"/>
      <c r="C20" s="129" t="s">
        <v>1258</v>
      </c>
      <c r="D20" s="139" t="s">
        <v>1244</v>
      </c>
      <c r="E20" s="139"/>
      <c r="F20" s="139"/>
      <c r="G20" s="139"/>
      <c r="H20" s="62" t="s">
        <v>1259</v>
      </c>
      <c r="I20" s="63"/>
      <c r="J20" s="62" t="s">
        <v>1260</v>
      </c>
      <c r="K20" s="142" t="s">
        <v>163</v>
      </c>
      <c r="L20" s="130" t="s">
        <v>119</v>
      </c>
      <c r="M20" s="140" t="s">
        <v>1248</v>
      </c>
      <c r="N20" s="136" t="s">
        <v>1261</v>
      </c>
      <c r="O20" s="65" t="s">
        <v>119</v>
      </c>
      <c r="P20" s="64" t="s">
        <v>163</v>
      </c>
      <c r="Q20" s="65"/>
      <c r="R20" s="135" t="s">
        <v>119</v>
      </c>
      <c r="S20" s="66"/>
      <c r="T20" s="188"/>
      <c r="AMD20" s="67"/>
      <c r="AME20" s="67"/>
      <c r="AMF20" s="67"/>
      <c r="AMG20" s="67"/>
      <c r="AMH20" s="67"/>
      <c r="AMI20" s="67"/>
      <c r="AMJ20" s="67"/>
    </row>
    <row r="21" s="135" customFormat="true" ht="12.75" hidden="false" customHeight="true" outlineLevel="0" collapsed="false">
      <c r="A21" s="126" t="n">
        <f aca="false">ROW()-8</f>
        <v>13</v>
      </c>
      <c r="B21" s="127"/>
      <c r="C21" s="129"/>
      <c r="D21" s="141" t="s">
        <v>1249</v>
      </c>
      <c r="E21" s="139"/>
      <c r="F21" s="139"/>
      <c r="G21" s="139"/>
      <c r="H21" s="62" t="s">
        <v>1250</v>
      </c>
      <c r="I21" s="137" t="s">
        <v>1867</v>
      </c>
      <c r="J21" s="62" t="s">
        <v>1252</v>
      </c>
      <c r="K21" s="62" t="s">
        <v>117</v>
      </c>
      <c r="L21" s="130"/>
      <c r="M21" s="62" t="s">
        <v>118</v>
      </c>
      <c r="N21" s="136" t="s">
        <v>1253</v>
      </c>
      <c r="O21" s="65" t="s">
        <v>119</v>
      </c>
      <c r="P21" s="65" t="s">
        <v>119</v>
      </c>
      <c r="Q21" s="65" t="s">
        <v>119</v>
      </c>
      <c r="R21" s="135" t="s">
        <v>119</v>
      </c>
      <c r="S21" s="66"/>
      <c r="T21" s="188"/>
      <c r="AMD21" s="67"/>
      <c r="AME21" s="67"/>
      <c r="AMF21" s="67"/>
      <c r="AMG21" s="67"/>
      <c r="AMH21" s="67"/>
      <c r="AMI21" s="67"/>
      <c r="AMJ21" s="67"/>
    </row>
    <row r="22" s="135" customFormat="true" ht="13.5" hidden="false" customHeight="true" outlineLevel="0" collapsed="false">
      <c r="A22" s="126" t="n">
        <f aca="false">ROW()-8</f>
        <v>14</v>
      </c>
      <c r="B22" s="127"/>
      <c r="C22" s="129"/>
      <c r="D22" s="141" t="s">
        <v>1254</v>
      </c>
      <c r="E22" s="139"/>
      <c r="F22" s="139"/>
      <c r="G22" s="139"/>
      <c r="H22" s="62" t="s">
        <v>1255</v>
      </c>
      <c r="I22" s="63" t="s">
        <v>1868</v>
      </c>
      <c r="J22" s="62" t="s">
        <v>1257</v>
      </c>
      <c r="K22" s="62" t="s">
        <v>117</v>
      </c>
      <c r="L22" s="130"/>
      <c r="M22" s="62" t="s">
        <v>118</v>
      </c>
      <c r="N22" s="136"/>
      <c r="O22" s="65" t="s">
        <v>119</v>
      </c>
      <c r="P22" s="65" t="s">
        <v>119</v>
      </c>
      <c r="Q22" s="65" t="s">
        <v>119</v>
      </c>
      <c r="R22" s="135" t="s">
        <v>119</v>
      </c>
      <c r="S22" s="66"/>
      <c r="T22" s="188"/>
      <c r="AMD22" s="67"/>
      <c r="AME22" s="67"/>
      <c r="AMF22" s="67"/>
      <c r="AMG22" s="67"/>
      <c r="AMH22" s="67"/>
      <c r="AMI22" s="67"/>
      <c r="AMJ22" s="67"/>
    </row>
    <row r="23" s="135" customFormat="true" ht="13.5" hidden="false" customHeight="true" outlineLevel="0" collapsed="false">
      <c r="A23" s="126" t="n">
        <f aca="false">ROW()-8</f>
        <v>15</v>
      </c>
      <c r="B23" s="127"/>
      <c r="C23" s="129" t="s">
        <v>1243</v>
      </c>
      <c r="D23" s="139" t="s">
        <v>1244</v>
      </c>
      <c r="E23" s="139"/>
      <c r="F23" s="139"/>
      <c r="G23" s="139"/>
      <c r="H23" s="62" t="s">
        <v>1245</v>
      </c>
      <c r="I23" s="63"/>
      <c r="J23" s="62" t="s">
        <v>1246</v>
      </c>
      <c r="K23" s="62" t="s">
        <v>1247</v>
      </c>
      <c r="L23" s="130" t="s">
        <v>119</v>
      </c>
      <c r="M23" s="140" t="s">
        <v>1248</v>
      </c>
      <c r="N23" s="136"/>
      <c r="O23" s="65" t="s">
        <v>119</v>
      </c>
      <c r="P23" s="65" t="s">
        <v>119</v>
      </c>
      <c r="Q23" s="65" t="s">
        <v>119</v>
      </c>
      <c r="R23" s="184" t="n">
        <v>1</v>
      </c>
      <c r="S23" s="66"/>
      <c r="AMD23" s="67"/>
      <c r="AME23" s="67"/>
      <c r="AMF23" s="67"/>
      <c r="AMG23" s="67"/>
      <c r="AMH23" s="67"/>
      <c r="AMI23" s="67"/>
      <c r="AMJ23" s="67"/>
    </row>
    <row r="24" s="135" customFormat="true" ht="13.5" hidden="false" customHeight="true" outlineLevel="0" collapsed="false">
      <c r="A24" s="126" t="n">
        <f aca="false">ROW()-8</f>
        <v>16</v>
      </c>
      <c r="B24" s="127"/>
      <c r="C24" s="129" t="s">
        <v>1262</v>
      </c>
      <c r="D24" s="139" t="s">
        <v>1244</v>
      </c>
      <c r="E24" s="139"/>
      <c r="F24" s="139"/>
      <c r="G24" s="139"/>
      <c r="H24" s="62" t="s">
        <v>1263</v>
      </c>
      <c r="I24" s="63"/>
      <c r="J24" s="62" t="s">
        <v>1264</v>
      </c>
      <c r="K24" s="62" t="s">
        <v>163</v>
      </c>
      <c r="L24" s="130" t="s">
        <v>119</v>
      </c>
      <c r="M24" s="140" t="s">
        <v>1248</v>
      </c>
      <c r="N24" s="136" t="s">
        <v>1265</v>
      </c>
      <c r="O24" s="65" t="s">
        <v>119</v>
      </c>
      <c r="P24" s="65" t="s">
        <v>119</v>
      </c>
      <c r="Q24" s="65"/>
      <c r="R24" s="184" t="n">
        <v>1</v>
      </c>
      <c r="S24" s="66"/>
      <c r="AMD24" s="67"/>
      <c r="AME24" s="67"/>
      <c r="AMF24" s="67"/>
      <c r="AMG24" s="67"/>
      <c r="AMH24" s="67"/>
      <c r="AMI24" s="67"/>
      <c r="AMJ24" s="67"/>
    </row>
    <row r="25" s="135" customFormat="true" ht="13.5" hidden="false" customHeight="true" outlineLevel="0" collapsed="false">
      <c r="A25" s="126" t="n">
        <f aca="false">ROW()-8</f>
        <v>17</v>
      </c>
      <c r="B25" s="127"/>
      <c r="C25" s="129" t="s">
        <v>1266</v>
      </c>
      <c r="D25" s="139" t="s">
        <v>1244</v>
      </c>
      <c r="E25" s="139"/>
      <c r="F25" s="139"/>
      <c r="G25" s="139"/>
      <c r="H25" s="62" t="s">
        <v>1267</v>
      </c>
      <c r="I25" s="63"/>
      <c r="J25" s="62" t="s">
        <v>1268</v>
      </c>
      <c r="K25" s="62" t="s">
        <v>163</v>
      </c>
      <c r="L25" s="130" t="s">
        <v>119</v>
      </c>
      <c r="M25" s="140" t="s">
        <v>1248</v>
      </c>
      <c r="N25" s="136" t="s">
        <v>1269</v>
      </c>
      <c r="O25" s="65" t="s">
        <v>119</v>
      </c>
      <c r="P25" s="65" t="s">
        <v>119</v>
      </c>
      <c r="Q25" s="65"/>
      <c r="R25" s="184" t="n">
        <v>1</v>
      </c>
      <c r="S25" s="66"/>
      <c r="AMD25" s="67"/>
      <c r="AME25" s="67"/>
      <c r="AMF25" s="67"/>
      <c r="AMG25" s="67"/>
      <c r="AMH25" s="67"/>
      <c r="AMI25" s="67"/>
      <c r="AMJ25" s="67"/>
    </row>
    <row r="26" s="134" customFormat="true" ht="13.5" hidden="false" customHeight="true" outlineLevel="0" collapsed="false">
      <c r="A26" s="185" t="n">
        <f aca="false">ROW()-8</f>
        <v>18</v>
      </c>
      <c r="B26" s="156"/>
      <c r="C26" s="156" t="s">
        <v>1869</v>
      </c>
      <c r="D26" s="156"/>
      <c r="E26" s="156"/>
      <c r="F26" s="156"/>
      <c r="G26" s="156"/>
      <c r="H26" s="142" t="s">
        <v>1870</v>
      </c>
      <c r="I26" s="175"/>
      <c r="J26" s="175" t="s">
        <v>1871</v>
      </c>
      <c r="K26" s="142" t="s">
        <v>117</v>
      </c>
      <c r="L26" s="186"/>
      <c r="M26" s="142" t="s">
        <v>118</v>
      </c>
      <c r="N26" s="142"/>
      <c r="R26" s="134" t="s">
        <v>119</v>
      </c>
      <c r="S26" s="66"/>
      <c r="T26" s="159"/>
      <c r="AMD26" s="145"/>
      <c r="AME26" s="145"/>
      <c r="AMF26" s="145"/>
      <c r="AMG26" s="145"/>
      <c r="AMH26" s="145"/>
      <c r="AMI26" s="145"/>
      <c r="AMJ26" s="145"/>
    </row>
    <row r="27" s="135" customFormat="true" ht="13.5" hidden="true" customHeight="true" outlineLevel="0" collapsed="false">
      <c r="A27" s="126" t="n">
        <f aca="false">ROW()-8</f>
        <v>19</v>
      </c>
      <c r="B27" s="127"/>
      <c r="C27" s="129" t="s">
        <v>1270</v>
      </c>
      <c r="D27" s="139"/>
      <c r="E27" s="139"/>
      <c r="F27" s="139"/>
      <c r="G27" s="139"/>
      <c r="H27" s="136" t="s">
        <v>1271</v>
      </c>
      <c r="I27" s="63"/>
      <c r="J27" s="62" t="s">
        <v>1272</v>
      </c>
      <c r="K27" s="62" t="s">
        <v>163</v>
      </c>
      <c r="L27" s="130" t="s">
        <v>119</v>
      </c>
      <c r="M27" s="140" t="s">
        <v>1273</v>
      </c>
      <c r="N27" s="136"/>
      <c r="O27" s="65"/>
      <c r="P27" s="65" t="s">
        <v>119</v>
      </c>
      <c r="Q27" s="65" t="s">
        <v>119</v>
      </c>
      <c r="S27" s="66"/>
      <c r="AMD27" s="67"/>
      <c r="AME27" s="67"/>
      <c r="AMF27" s="67"/>
      <c r="AMG27" s="67"/>
      <c r="AMH27" s="67"/>
      <c r="AMI27" s="67"/>
      <c r="AMJ27" s="67"/>
    </row>
    <row r="28" s="135" customFormat="true" ht="13.5" hidden="true" customHeight="true" outlineLevel="0" collapsed="false">
      <c r="A28" s="126" t="n">
        <f aca="false">ROW()-8</f>
        <v>20</v>
      </c>
      <c r="B28" s="127"/>
      <c r="C28" s="129"/>
      <c r="D28" s="129" t="s">
        <v>1274</v>
      </c>
      <c r="E28" s="129"/>
      <c r="F28" s="129"/>
      <c r="G28" s="129"/>
      <c r="H28" s="136" t="s">
        <v>1275</v>
      </c>
      <c r="I28" s="63" t="s">
        <v>1276</v>
      </c>
      <c r="J28" s="62" t="s">
        <v>143</v>
      </c>
      <c r="K28" s="62" t="s">
        <v>163</v>
      </c>
      <c r="L28" s="130"/>
      <c r="M28" s="62" t="s">
        <v>118</v>
      </c>
      <c r="N28" s="136" t="s">
        <v>1277</v>
      </c>
      <c r="O28" s="65"/>
      <c r="P28" s="65" t="s">
        <v>119</v>
      </c>
      <c r="Q28" s="65" t="s">
        <v>119</v>
      </c>
      <c r="S28" s="66"/>
      <c r="AMD28" s="67"/>
      <c r="AME28" s="67"/>
      <c r="AMF28" s="67"/>
      <c r="AMG28" s="67"/>
      <c r="AMH28" s="67"/>
      <c r="AMI28" s="67"/>
      <c r="AMJ28" s="67"/>
    </row>
    <row r="29" s="135" customFormat="true" ht="13.5" hidden="true" customHeight="true" outlineLevel="0" collapsed="false">
      <c r="A29" s="126" t="n">
        <f aca="false">ROW()-8</f>
        <v>21</v>
      </c>
      <c r="B29" s="127"/>
      <c r="C29" s="129"/>
      <c r="D29" s="129" t="s">
        <v>1278</v>
      </c>
      <c r="E29" s="129"/>
      <c r="F29" s="129"/>
      <c r="G29" s="129"/>
      <c r="H29" s="62" t="s">
        <v>1279</v>
      </c>
      <c r="I29" s="63" t="s">
        <v>1280</v>
      </c>
      <c r="J29" s="62" t="s">
        <v>1281</v>
      </c>
      <c r="K29" s="62" t="s">
        <v>163</v>
      </c>
      <c r="L29" s="130"/>
      <c r="M29" s="62" t="s">
        <v>118</v>
      </c>
      <c r="N29" s="142" t="s">
        <v>1282</v>
      </c>
      <c r="O29" s="65"/>
      <c r="P29" s="65"/>
      <c r="Q29" s="65"/>
      <c r="S29" s="189"/>
      <c r="AMD29" s="67"/>
      <c r="AME29" s="67"/>
      <c r="AMF29" s="67"/>
      <c r="AMG29" s="67"/>
      <c r="AMH29" s="67"/>
      <c r="AMI29" s="67"/>
      <c r="AMJ29" s="67"/>
    </row>
    <row r="30" s="135" customFormat="true" ht="13.5" hidden="true" customHeight="true" outlineLevel="0" collapsed="false">
      <c r="A30" s="126" t="n">
        <f aca="false">ROW()-8</f>
        <v>22</v>
      </c>
      <c r="B30" s="127"/>
      <c r="C30" s="129"/>
      <c r="D30" s="129" t="s">
        <v>1283</v>
      </c>
      <c r="E30" s="129"/>
      <c r="F30" s="129"/>
      <c r="G30" s="129"/>
      <c r="H30" s="136" t="s">
        <v>1284</v>
      </c>
      <c r="I30" s="61" t="s">
        <v>1285</v>
      </c>
      <c r="J30" s="63" t="s">
        <v>1286</v>
      </c>
      <c r="K30" s="62" t="s">
        <v>163</v>
      </c>
      <c r="L30" s="130"/>
      <c r="M30" s="62" t="s">
        <v>118</v>
      </c>
      <c r="N30" s="63" t="s">
        <v>1287</v>
      </c>
      <c r="O30" s="65"/>
      <c r="P30" s="65" t="s">
        <v>119</v>
      </c>
      <c r="Q30" s="134"/>
      <c r="S30" s="66"/>
      <c r="AMD30" s="67"/>
      <c r="AME30" s="67"/>
      <c r="AMF30" s="67"/>
      <c r="AMG30" s="67"/>
      <c r="AMH30" s="67"/>
      <c r="AMI30" s="67"/>
      <c r="AMJ30" s="67"/>
    </row>
    <row r="31" s="135" customFormat="true" ht="13.5" hidden="true" customHeight="true" outlineLevel="0" collapsed="false">
      <c r="A31" s="126" t="n">
        <f aca="false">ROW()-8</f>
        <v>23</v>
      </c>
      <c r="B31" s="127"/>
      <c r="C31" s="129"/>
      <c r="D31" s="129" t="s">
        <v>1288</v>
      </c>
      <c r="E31" s="129"/>
      <c r="F31" s="129"/>
      <c r="G31" s="129"/>
      <c r="H31" s="62" t="s">
        <v>1289</v>
      </c>
      <c r="I31" s="63" t="s">
        <v>1290</v>
      </c>
      <c r="J31" s="63" t="s">
        <v>1291</v>
      </c>
      <c r="K31" s="62" t="s">
        <v>163</v>
      </c>
      <c r="L31" s="130"/>
      <c r="M31" s="62" t="s">
        <v>118</v>
      </c>
      <c r="N31" s="136" t="s">
        <v>1292</v>
      </c>
      <c r="O31" s="65"/>
      <c r="P31" s="65" t="s">
        <v>119</v>
      </c>
      <c r="Q31" s="65" t="s">
        <v>119</v>
      </c>
      <c r="S31" s="66"/>
      <c r="AMD31" s="67"/>
      <c r="AME31" s="67"/>
      <c r="AMF31" s="67"/>
      <c r="AMG31" s="67"/>
      <c r="AMH31" s="67"/>
      <c r="AMI31" s="67"/>
      <c r="AMJ31" s="67"/>
    </row>
    <row r="32" s="135" customFormat="true" ht="13.5" hidden="true" customHeight="true" outlineLevel="0" collapsed="false">
      <c r="A32" s="126" t="n">
        <f aca="false">ROW()-8</f>
        <v>24</v>
      </c>
      <c r="B32" s="127"/>
      <c r="C32" s="69"/>
      <c r="D32" s="129" t="s">
        <v>1293</v>
      </c>
      <c r="E32" s="129"/>
      <c r="F32" s="129"/>
      <c r="G32" s="129"/>
      <c r="H32" s="62" t="s">
        <v>1294</v>
      </c>
      <c r="I32" s="63" t="s">
        <v>1295</v>
      </c>
      <c r="J32" s="63" t="s">
        <v>1296</v>
      </c>
      <c r="K32" s="62" t="s">
        <v>163</v>
      </c>
      <c r="L32" s="130"/>
      <c r="M32" s="62" t="s">
        <v>118</v>
      </c>
      <c r="N32" s="62" t="s">
        <v>1297</v>
      </c>
      <c r="O32" s="65"/>
      <c r="P32" s="143" t="s">
        <v>119</v>
      </c>
      <c r="Q32" s="65" t="s">
        <v>119</v>
      </c>
      <c r="S32" s="66"/>
      <c r="AMD32" s="67"/>
      <c r="AME32" s="67"/>
      <c r="AMF32" s="67"/>
      <c r="AMG32" s="67"/>
      <c r="AMH32" s="67"/>
      <c r="AMI32" s="67"/>
      <c r="AMJ32" s="67"/>
    </row>
    <row r="33" s="135" customFormat="true" ht="13.5" hidden="true" customHeight="true" outlineLevel="0" collapsed="false">
      <c r="A33" s="126" t="n">
        <f aca="false">ROW()-8</f>
        <v>25</v>
      </c>
      <c r="B33" s="127"/>
      <c r="C33" s="129" t="s">
        <v>1298</v>
      </c>
      <c r="D33" s="139"/>
      <c r="E33" s="139"/>
      <c r="F33" s="139"/>
      <c r="G33" s="139"/>
      <c r="H33" s="62"/>
      <c r="I33" s="63"/>
      <c r="J33" s="62" t="s">
        <v>1299</v>
      </c>
      <c r="K33" s="62" t="s">
        <v>163</v>
      </c>
      <c r="L33" s="130" t="s">
        <v>119</v>
      </c>
      <c r="M33" s="140" t="s">
        <v>1299</v>
      </c>
      <c r="N33" s="136"/>
      <c r="O33" s="65" t="s">
        <v>119</v>
      </c>
      <c r="P33" s="65"/>
      <c r="Q33" s="65"/>
      <c r="S33" s="189"/>
      <c r="AMD33" s="67"/>
      <c r="AME33" s="67"/>
      <c r="AMF33" s="67"/>
      <c r="AMG33" s="67"/>
      <c r="AMH33" s="67"/>
      <c r="AMI33" s="67"/>
      <c r="AMJ33" s="67"/>
    </row>
    <row r="34" s="135" customFormat="true" ht="13.5" hidden="true" customHeight="true" outlineLevel="0" collapsed="false">
      <c r="A34" s="126" t="n">
        <f aca="false">ROW()-8</f>
        <v>26</v>
      </c>
      <c r="B34" s="127"/>
      <c r="C34" s="129"/>
      <c r="D34" s="129" t="s">
        <v>1300</v>
      </c>
      <c r="E34" s="129"/>
      <c r="F34" s="129"/>
      <c r="G34" s="129"/>
      <c r="H34" s="62" t="s">
        <v>1301</v>
      </c>
      <c r="I34" s="63" t="s">
        <v>1302</v>
      </c>
      <c r="J34" s="62" t="s">
        <v>1303</v>
      </c>
      <c r="K34" s="62" t="s">
        <v>163</v>
      </c>
      <c r="L34" s="130"/>
      <c r="M34" s="62" t="s">
        <v>118</v>
      </c>
      <c r="N34" s="136" t="s">
        <v>1304</v>
      </c>
      <c r="O34" s="65" t="s">
        <v>119</v>
      </c>
      <c r="P34" s="65"/>
      <c r="Q34" s="65"/>
      <c r="S34" s="66"/>
      <c r="AMD34" s="67"/>
      <c r="AME34" s="67"/>
      <c r="AMF34" s="67"/>
      <c r="AMG34" s="67"/>
      <c r="AMH34" s="67"/>
      <c r="AMI34" s="67"/>
      <c r="AMJ34" s="67"/>
    </row>
    <row r="35" s="135" customFormat="true" ht="13.5" hidden="true" customHeight="true" outlineLevel="0" collapsed="false">
      <c r="A35" s="126" t="n">
        <f aca="false">ROW()-8</f>
        <v>27</v>
      </c>
      <c r="B35" s="127"/>
      <c r="C35" s="129"/>
      <c r="D35" s="129" t="s">
        <v>1305</v>
      </c>
      <c r="E35" s="129"/>
      <c r="F35" s="129"/>
      <c r="G35" s="129"/>
      <c r="H35" s="62" t="s">
        <v>1306</v>
      </c>
      <c r="I35" s="63" t="s">
        <v>1307</v>
      </c>
      <c r="J35" s="62" t="s">
        <v>1308</v>
      </c>
      <c r="K35" s="62" t="s">
        <v>163</v>
      </c>
      <c r="L35" s="130"/>
      <c r="M35" s="62" t="s">
        <v>118</v>
      </c>
      <c r="N35" s="136" t="s">
        <v>1309</v>
      </c>
      <c r="O35" s="65" t="s">
        <v>119</v>
      </c>
      <c r="P35" s="65"/>
      <c r="Q35" s="65"/>
      <c r="S35" s="66"/>
      <c r="AMD35" s="67"/>
      <c r="AME35" s="67"/>
      <c r="AMF35" s="67"/>
      <c r="AMG35" s="67"/>
      <c r="AMH35" s="67"/>
      <c r="AMI35" s="67"/>
      <c r="AMJ35" s="67"/>
    </row>
    <row r="36" s="135" customFormat="true" ht="13.5" hidden="true" customHeight="true" outlineLevel="0" collapsed="false">
      <c r="A36" s="126" t="n">
        <f aca="false">ROW()-8</f>
        <v>28</v>
      </c>
      <c r="B36" s="127"/>
      <c r="C36" s="129"/>
      <c r="D36" s="129" t="s">
        <v>1310</v>
      </c>
      <c r="E36" s="129"/>
      <c r="F36" s="129"/>
      <c r="G36" s="129"/>
      <c r="H36" s="62" t="s">
        <v>1311</v>
      </c>
      <c r="I36" s="63" t="s">
        <v>1312</v>
      </c>
      <c r="J36" s="62" t="s">
        <v>1313</v>
      </c>
      <c r="K36" s="62" t="s">
        <v>163</v>
      </c>
      <c r="L36" s="130"/>
      <c r="M36" s="62" t="s">
        <v>118</v>
      </c>
      <c r="N36" s="62"/>
      <c r="O36" s="65" t="s">
        <v>119</v>
      </c>
      <c r="P36" s="65"/>
      <c r="Q36" s="65"/>
      <c r="S36" s="66"/>
      <c r="AMD36" s="67"/>
      <c r="AME36" s="67"/>
      <c r="AMF36" s="67"/>
      <c r="AMG36" s="67"/>
      <c r="AMH36" s="67"/>
      <c r="AMI36" s="67"/>
      <c r="AMJ36" s="67"/>
    </row>
    <row r="37" s="135" customFormat="true" ht="13.5" hidden="false" customHeight="true" outlineLevel="0" collapsed="false">
      <c r="A37" s="126" t="n">
        <f aca="false">ROW()-8</f>
        <v>29</v>
      </c>
      <c r="B37" s="127" t="s">
        <v>1314</v>
      </c>
      <c r="C37" s="139"/>
      <c r="D37" s="139"/>
      <c r="E37" s="139"/>
      <c r="F37" s="139"/>
      <c r="G37" s="139"/>
      <c r="H37" s="62" t="s">
        <v>1315</v>
      </c>
      <c r="I37" s="63"/>
      <c r="J37" s="63" t="s">
        <v>1316</v>
      </c>
      <c r="K37" s="62" t="s">
        <v>117</v>
      </c>
      <c r="L37" s="130" t="s">
        <v>119</v>
      </c>
      <c r="M37" s="140" t="s">
        <v>1316</v>
      </c>
      <c r="N37" s="62"/>
      <c r="O37" s="65" t="s">
        <v>119</v>
      </c>
      <c r="P37" s="65" t="s">
        <v>119</v>
      </c>
      <c r="Q37" s="64" t="s">
        <v>163</v>
      </c>
      <c r="R37" s="135" t="s">
        <v>119</v>
      </c>
      <c r="S37" s="66"/>
      <c r="T37" s="188"/>
      <c r="AMD37" s="67"/>
      <c r="AME37" s="67"/>
      <c r="AMF37" s="67"/>
      <c r="AMG37" s="67"/>
      <c r="AMH37" s="67"/>
      <c r="AMI37" s="67"/>
      <c r="AMJ37" s="67"/>
    </row>
    <row r="38" s="135" customFormat="true" ht="13.5" hidden="true" customHeight="true" outlineLevel="0" collapsed="false">
      <c r="A38" s="126" t="n">
        <f aca="false">ROW()-8</f>
        <v>30</v>
      </c>
      <c r="B38" s="127"/>
      <c r="C38" s="127" t="s">
        <v>1317</v>
      </c>
      <c r="D38" s="127"/>
      <c r="E38" s="127"/>
      <c r="F38" s="127"/>
      <c r="G38" s="127"/>
      <c r="H38" s="62" t="s">
        <v>1318</v>
      </c>
      <c r="I38" s="63" t="s">
        <v>1319</v>
      </c>
      <c r="J38" s="62" t="s">
        <v>1320</v>
      </c>
      <c r="K38" s="62" t="s">
        <v>117</v>
      </c>
      <c r="L38" s="130"/>
      <c r="M38" s="62" t="s">
        <v>118</v>
      </c>
      <c r="N38" s="62"/>
      <c r="O38" s="65" t="s">
        <v>119</v>
      </c>
      <c r="P38" s="65"/>
      <c r="Q38" s="65"/>
      <c r="S38" s="66"/>
      <c r="AMD38" s="67"/>
      <c r="AME38" s="67"/>
      <c r="AMF38" s="67"/>
      <c r="AMG38" s="67"/>
      <c r="AMH38" s="67"/>
      <c r="AMI38" s="67"/>
      <c r="AMJ38" s="67"/>
    </row>
    <row r="39" s="135" customFormat="true" ht="13.5" hidden="true" customHeight="true" outlineLevel="0" collapsed="false">
      <c r="A39" s="126" t="n">
        <f aca="false">ROW()-8</f>
        <v>31</v>
      </c>
      <c r="B39" s="127"/>
      <c r="C39" s="141" t="s">
        <v>1321</v>
      </c>
      <c r="D39" s="141"/>
      <c r="E39" s="144"/>
      <c r="F39" s="144"/>
      <c r="G39" s="144"/>
      <c r="H39" s="62" t="s">
        <v>1322</v>
      </c>
      <c r="I39" s="63" t="s">
        <v>1323</v>
      </c>
      <c r="J39" s="62" t="s">
        <v>1324</v>
      </c>
      <c r="K39" s="62" t="s">
        <v>163</v>
      </c>
      <c r="L39" s="130"/>
      <c r="M39" s="62" t="s">
        <v>118</v>
      </c>
      <c r="N39" s="62"/>
      <c r="O39" s="65" t="s">
        <v>119</v>
      </c>
      <c r="P39" s="65"/>
      <c r="Q39" s="65"/>
      <c r="S39" s="66"/>
      <c r="AMD39" s="145"/>
      <c r="AME39" s="145"/>
      <c r="AMF39" s="145"/>
      <c r="AMG39" s="145"/>
      <c r="AMH39" s="145"/>
      <c r="AMI39" s="145"/>
      <c r="AMJ39" s="145"/>
    </row>
    <row r="40" s="135" customFormat="true" ht="13.5" hidden="false" customHeight="true" outlineLevel="0" collapsed="false">
      <c r="A40" s="126" t="n">
        <f aca="false">ROW()-8</f>
        <v>32</v>
      </c>
      <c r="B40" s="127"/>
      <c r="C40" s="127" t="s">
        <v>1325</v>
      </c>
      <c r="D40" s="127"/>
      <c r="E40" s="127"/>
      <c r="F40" s="127"/>
      <c r="G40" s="127"/>
      <c r="H40" s="136" t="s">
        <v>1326</v>
      </c>
      <c r="I40" s="63" t="s">
        <v>1327</v>
      </c>
      <c r="J40" s="62" t="s">
        <v>126</v>
      </c>
      <c r="K40" s="62" t="s">
        <v>163</v>
      </c>
      <c r="L40" s="130"/>
      <c r="M40" s="62" t="s">
        <v>118</v>
      </c>
      <c r="N40" s="136"/>
      <c r="O40" s="65" t="s">
        <v>119</v>
      </c>
      <c r="P40" s="65" t="s">
        <v>119</v>
      </c>
      <c r="Q40" s="65"/>
      <c r="R40" s="135" t="s">
        <v>119</v>
      </c>
      <c r="S40" s="66"/>
      <c r="T40" s="188"/>
      <c r="AMD40" s="67"/>
      <c r="AME40" s="67"/>
      <c r="AMF40" s="67"/>
      <c r="AMG40" s="67"/>
      <c r="AMH40" s="67"/>
      <c r="AMI40" s="67"/>
      <c r="AMJ40" s="67"/>
    </row>
    <row r="41" s="135" customFormat="true" ht="13.5" hidden="true" customHeight="true" outlineLevel="0" collapsed="false">
      <c r="A41" s="126" t="n">
        <f aca="false">ROW()-8</f>
        <v>33</v>
      </c>
      <c r="B41" s="127"/>
      <c r="C41" s="129" t="s">
        <v>1328</v>
      </c>
      <c r="D41" s="139"/>
      <c r="E41" s="133"/>
      <c r="F41" s="133"/>
      <c r="G41" s="133"/>
      <c r="H41" s="62" t="s">
        <v>1329</v>
      </c>
      <c r="I41" s="63"/>
      <c r="J41" s="63" t="s">
        <v>1330</v>
      </c>
      <c r="K41" s="62" t="s">
        <v>1247</v>
      </c>
      <c r="L41" s="130" t="s">
        <v>119</v>
      </c>
      <c r="M41" s="146" t="s">
        <v>1330</v>
      </c>
      <c r="N41" s="147"/>
      <c r="O41" s="148" t="s">
        <v>119</v>
      </c>
      <c r="P41" s="143" t="s">
        <v>119</v>
      </c>
      <c r="Q41" s="65"/>
      <c r="S41" s="66"/>
      <c r="AMD41" s="67"/>
      <c r="AME41" s="67"/>
      <c r="AMF41" s="67"/>
      <c r="AMG41" s="67"/>
      <c r="AMH41" s="67"/>
      <c r="AMI41" s="67"/>
      <c r="AMJ41" s="67"/>
    </row>
    <row r="42" s="135" customFormat="true" ht="13.5" hidden="true" customHeight="true" outlineLevel="0" collapsed="false">
      <c r="A42" s="126" t="n">
        <f aca="false">ROW()-8</f>
        <v>34</v>
      </c>
      <c r="B42" s="127"/>
      <c r="C42" s="129"/>
      <c r="D42" s="129" t="s">
        <v>1331</v>
      </c>
      <c r="E42" s="129"/>
      <c r="F42" s="129"/>
      <c r="G42" s="129"/>
      <c r="H42" s="62" t="s">
        <v>1332</v>
      </c>
      <c r="I42" s="63" t="s">
        <v>1333</v>
      </c>
      <c r="J42" s="63" t="s">
        <v>162</v>
      </c>
      <c r="K42" s="62" t="s">
        <v>117</v>
      </c>
      <c r="L42" s="130"/>
      <c r="M42" s="62" t="s">
        <v>118</v>
      </c>
      <c r="N42" s="137" t="s">
        <v>1334</v>
      </c>
      <c r="O42" s="148" t="s">
        <v>119</v>
      </c>
      <c r="P42" s="143" t="s">
        <v>119</v>
      </c>
      <c r="Q42" s="65"/>
      <c r="S42" s="66"/>
      <c r="AMD42" s="67"/>
      <c r="AME42" s="67"/>
      <c r="AMF42" s="67"/>
      <c r="AMG42" s="67"/>
      <c r="AMH42" s="67"/>
      <c r="AMI42" s="67"/>
      <c r="AMJ42" s="67"/>
    </row>
    <row r="43" s="135" customFormat="true" ht="13.5" hidden="true" customHeight="true" outlineLevel="0" collapsed="false">
      <c r="A43" s="126" t="n">
        <f aca="false">ROW()-8</f>
        <v>35</v>
      </c>
      <c r="B43" s="127"/>
      <c r="C43" s="129"/>
      <c r="D43" s="129" t="s">
        <v>1335</v>
      </c>
      <c r="E43" s="129"/>
      <c r="F43" s="129"/>
      <c r="G43" s="129"/>
      <c r="H43" s="62" t="s">
        <v>1336</v>
      </c>
      <c r="I43" s="63" t="s">
        <v>1337</v>
      </c>
      <c r="J43" s="63" t="s">
        <v>1338</v>
      </c>
      <c r="K43" s="62" t="s">
        <v>117</v>
      </c>
      <c r="L43" s="130"/>
      <c r="M43" s="62" t="s">
        <v>118</v>
      </c>
      <c r="N43" s="137" t="s">
        <v>1339</v>
      </c>
      <c r="O43" s="148" t="s">
        <v>119</v>
      </c>
      <c r="P43" s="143" t="s">
        <v>119</v>
      </c>
      <c r="Q43" s="65"/>
      <c r="S43" s="66"/>
      <c r="AMD43" s="67"/>
      <c r="AME43" s="67"/>
      <c r="AMF43" s="67"/>
      <c r="AMG43" s="67"/>
      <c r="AMH43" s="67"/>
      <c r="AMI43" s="67"/>
      <c r="AMJ43" s="67"/>
    </row>
    <row r="44" s="135" customFormat="true" ht="13.5" hidden="false" customHeight="true" outlineLevel="0" collapsed="false">
      <c r="A44" s="126" t="n">
        <f aca="false">ROW()-8</f>
        <v>36</v>
      </c>
      <c r="B44" s="127"/>
      <c r="C44" s="127" t="s">
        <v>1340</v>
      </c>
      <c r="D44" s="139"/>
      <c r="E44" s="139"/>
      <c r="F44" s="139"/>
      <c r="G44" s="139"/>
      <c r="H44" s="62"/>
      <c r="I44" s="63"/>
      <c r="J44" s="63" t="s">
        <v>1341</v>
      </c>
      <c r="K44" s="62" t="s">
        <v>163</v>
      </c>
      <c r="L44" s="130" t="s">
        <v>119</v>
      </c>
      <c r="M44" s="140" t="s">
        <v>1341</v>
      </c>
      <c r="N44" s="62"/>
      <c r="O44" s="65" t="s">
        <v>119</v>
      </c>
      <c r="P44" s="65" t="s">
        <v>119</v>
      </c>
      <c r="Q44" s="65"/>
      <c r="R44" s="135" t="s">
        <v>119</v>
      </c>
      <c r="S44" s="66"/>
      <c r="T44" s="188"/>
      <c r="AMD44" s="67"/>
      <c r="AME44" s="67"/>
      <c r="AMF44" s="67"/>
      <c r="AMG44" s="67"/>
      <c r="AMH44" s="67"/>
      <c r="AMI44" s="67"/>
      <c r="AMJ44" s="67"/>
    </row>
    <row r="45" s="135" customFormat="true" ht="13.5" hidden="true" customHeight="true" outlineLevel="0" collapsed="false">
      <c r="A45" s="126" t="n">
        <f aca="false">ROW()-8</f>
        <v>37</v>
      </c>
      <c r="B45" s="127"/>
      <c r="C45" s="127"/>
      <c r="D45" s="129" t="s">
        <v>1342</v>
      </c>
      <c r="E45" s="139"/>
      <c r="F45" s="139"/>
      <c r="G45" s="139"/>
      <c r="H45" s="62" t="s">
        <v>1343</v>
      </c>
      <c r="I45" s="63"/>
      <c r="J45" s="63" t="s">
        <v>1344</v>
      </c>
      <c r="K45" s="62" t="s">
        <v>163</v>
      </c>
      <c r="L45" s="130" t="s">
        <v>119</v>
      </c>
      <c r="M45" s="149" t="s">
        <v>1344</v>
      </c>
      <c r="N45" s="62"/>
      <c r="O45" s="65"/>
      <c r="P45" s="65" t="s">
        <v>119</v>
      </c>
      <c r="Q45" s="65"/>
      <c r="S45" s="66"/>
      <c r="AMD45" s="67"/>
      <c r="AME45" s="67"/>
      <c r="AMF45" s="67"/>
      <c r="AMG45" s="67"/>
      <c r="AMH45" s="67"/>
      <c r="AMI45" s="67"/>
      <c r="AMJ45" s="67"/>
    </row>
    <row r="46" s="135" customFormat="true" ht="13.5" hidden="true" customHeight="true" outlineLevel="0" collapsed="false">
      <c r="A46" s="126" t="n">
        <f aca="false">ROW()-8</f>
        <v>38</v>
      </c>
      <c r="B46" s="127"/>
      <c r="C46" s="127"/>
      <c r="D46" s="129"/>
      <c r="E46" s="129" t="s">
        <v>1345</v>
      </c>
      <c r="F46" s="129"/>
      <c r="G46" s="129"/>
      <c r="H46" s="62" t="s">
        <v>1346</v>
      </c>
      <c r="I46" s="63" t="s">
        <v>1347</v>
      </c>
      <c r="J46" s="63" t="s">
        <v>126</v>
      </c>
      <c r="K46" s="62" t="s">
        <v>163</v>
      </c>
      <c r="L46" s="130"/>
      <c r="M46" s="62" t="s">
        <v>118</v>
      </c>
      <c r="N46" s="62"/>
      <c r="O46" s="65"/>
      <c r="P46" s="65" t="s">
        <v>119</v>
      </c>
      <c r="Q46" s="65"/>
      <c r="S46" s="189"/>
      <c r="AMD46" s="67"/>
      <c r="AME46" s="67"/>
      <c r="AMF46" s="67"/>
      <c r="AMG46" s="67"/>
      <c r="AMH46" s="67"/>
      <c r="AMI46" s="67"/>
      <c r="AMJ46" s="67"/>
    </row>
    <row r="47" s="135" customFormat="true" ht="13.5" hidden="true" customHeight="true" outlineLevel="0" collapsed="false">
      <c r="A47" s="126" t="n">
        <f aca="false">ROW()-8</f>
        <v>39</v>
      </c>
      <c r="B47" s="127"/>
      <c r="C47" s="127"/>
      <c r="D47" s="129"/>
      <c r="E47" s="129" t="s">
        <v>1348</v>
      </c>
      <c r="F47" s="129"/>
      <c r="G47" s="129"/>
      <c r="H47" s="63" t="s">
        <v>1349</v>
      </c>
      <c r="I47" s="63" t="s">
        <v>1350</v>
      </c>
      <c r="J47" s="63" t="s">
        <v>1351</v>
      </c>
      <c r="K47" s="62" t="s">
        <v>163</v>
      </c>
      <c r="L47" s="130"/>
      <c r="M47" s="62" t="s">
        <v>118</v>
      </c>
      <c r="N47" s="62"/>
      <c r="O47" s="65"/>
      <c r="P47" s="65" t="s">
        <v>119</v>
      </c>
      <c r="Q47" s="65"/>
      <c r="S47" s="66"/>
      <c r="AMD47" s="67"/>
      <c r="AME47" s="67"/>
      <c r="AMF47" s="67"/>
      <c r="AMG47" s="67"/>
      <c r="AMH47" s="67"/>
      <c r="AMI47" s="67"/>
      <c r="AMJ47" s="67"/>
    </row>
    <row r="48" s="135" customFormat="true" ht="13.5" hidden="true" customHeight="true" outlineLevel="0" collapsed="false">
      <c r="A48" s="126" t="n">
        <f aca="false">ROW()-8</f>
        <v>40</v>
      </c>
      <c r="B48" s="127"/>
      <c r="C48" s="127"/>
      <c r="D48" s="129"/>
      <c r="E48" s="129" t="s">
        <v>1352</v>
      </c>
      <c r="F48" s="129"/>
      <c r="G48" s="129"/>
      <c r="H48" s="63" t="s">
        <v>1353</v>
      </c>
      <c r="I48" s="63" t="s">
        <v>1354</v>
      </c>
      <c r="J48" s="63" t="s">
        <v>1355</v>
      </c>
      <c r="K48" s="62" t="s">
        <v>163</v>
      </c>
      <c r="L48" s="130"/>
      <c r="M48" s="62" t="s">
        <v>118</v>
      </c>
      <c r="N48" s="62"/>
      <c r="O48" s="65"/>
      <c r="P48" s="65" t="s">
        <v>119</v>
      </c>
      <c r="Q48" s="65"/>
      <c r="S48" s="187"/>
      <c r="AMD48" s="67"/>
      <c r="AME48" s="67"/>
      <c r="AMF48" s="67"/>
      <c r="AMG48" s="67"/>
      <c r="AMH48" s="67"/>
      <c r="AMI48" s="67"/>
      <c r="AMJ48" s="67"/>
    </row>
    <row r="49" s="135" customFormat="true" ht="13.5" hidden="false" customHeight="true" outlineLevel="0" collapsed="false">
      <c r="A49" s="126" t="n">
        <f aca="false">ROW()-8</f>
        <v>41</v>
      </c>
      <c r="B49" s="127"/>
      <c r="C49" s="127"/>
      <c r="D49" s="129" t="s">
        <v>1356</v>
      </c>
      <c r="E49" s="132"/>
      <c r="F49" s="69"/>
      <c r="G49" s="69"/>
      <c r="H49" s="63" t="s">
        <v>1357</v>
      </c>
      <c r="I49" s="63" t="s">
        <v>1358</v>
      </c>
      <c r="J49" s="63" t="s">
        <v>1359</v>
      </c>
      <c r="K49" s="62" t="s">
        <v>117</v>
      </c>
      <c r="L49" s="130"/>
      <c r="M49" s="62" t="s">
        <v>118</v>
      </c>
      <c r="N49" s="62" t="s">
        <v>1360</v>
      </c>
      <c r="O49" s="65" t="s">
        <v>119</v>
      </c>
      <c r="P49" s="65" t="s">
        <v>119</v>
      </c>
      <c r="Q49" s="65"/>
      <c r="R49" s="135" t="s">
        <v>119</v>
      </c>
      <c r="S49" s="66"/>
      <c r="T49" s="188"/>
      <c r="AMD49" s="67"/>
      <c r="AME49" s="67"/>
      <c r="AMF49" s="67"/>
      <c r="AMG49" s="67"/>
      <c r="AMH49" s="67"/>
      <c r="AMI49" s="67"/>
      <c r="AMJ49" s="67"/>
    </row>
    <row r="50" s="135" customFormat="true" ht="13.5" hidden="false" customHeight="true" outlineLevel="0" collapsed="false">
      <c r="A50" s="126" t="n">
        <f aca="false">ROW()-8</f>
        <v>42</v>
      </c>
      <c r="B50" s="127"/>
      <c r="C50" s="150"/>
      <c r="D50" s="129" t="s">
        <v>1361</v>
      </c>
      <c r="E50" s="133"/>
      <c r="F50" s="133"/>
      <c r="G50" s="133"/>
      <c r="H50" s="62" t="s">
        <v>1362</v>
      </c>
      <c r="I50" s="63" t="s">
        <v>1363</v>
      </c>
      <c r="J50" s="63" t="s">
        <v>1364</v>
      </c>
      <c r="K50" s="62" t="s">
        <v>163</v>
      </c>
      <c r="L50" s="130"/>
      <c r="M50" s="62" t="s">
        <v>118</v>
      </c>
      <c r="N50" s="62"/>
      <c r="O50" s="65" t="s">
        <v>119</v>
      </c>
      <c r="P50" s="65" t="s">
        <v>119</v>
      </c>
      <c r="Q50" s="65"/>
      <c r="R50" s="135" t="s">
        <v>119</v>
      </c>
      <c r="S50" s="66"/>
      <c r="T50" s="188"/>
      <c r="AMD50" s="151"/>
      <c r="AME50" s="151"/>
      <c r="AMF50" s="151"/>
      <c r="AMG50" s="151"/>
      <c r="AMH50" s="151"/>
      <c r="AMI50" s="151"/>
      <c r="AMJ50" s="151"/>
    </row>
    <row r="51" s="135" customFormat="true" ht="13.5" hidden="false" customHeight="true" outlineLevel="0" collapsed="false">
      <c r="A51" s="126" t="n">
        <f aca="false">ROW()-8</f>
        <v>43</v>
      </c>
      <c r="B51" s="127"/>
      <c r="C51" s="150"/>
      <c r="D51" s="129" t="s">
        <v>1365</v>
      </c>
      <c r="E51" s="139"/>
      <c r="F51" s="139"/>
      <c r="G51" s="139"/>
      <c r="H51" s="62" t="s">
        <v>1366</v>
      </c>
      <c r="I51" s="63"/>
      <c r="J51" s="63" t="s">
        <v>1367</v>
      </c>
      <c r="K51" s="62" t="s">
        <v>163</v>
      </c>
      <c r="L51" s="130" t="s">
        <v>119</v>
      </c>
      <c r="M51" s="140" t="s">
        <v>1367</v>
      </c>
      <c r="N51" s="62"/>
      <c r="O51" s="65" t="s">
        <v>119</v>
      </c>
      <c r="P51" s="65" t="s">
        <v>119</v>
      </c>
      <c r="Q51" s="65"/>
      <c r="R51" s="135" t="s">
        <v>119</v>
      </c>
      <c r="S51" s="66"/>
      <c r="T51" s="188"/>
      <c r="AMD51" s="151"/>
      <c r="AME51" s="151"/>
      <c r="AMF51" s="151"/>
      <c r="AMG51" s="151"/>
      <c r="AMH51" s="151"/>
      <c r="AMI51" s="151"/>
      <c r="AMJ51" s="151"/>
    </row>
    <row r="52" s="135" customFormat="true" ht="13.5" hidden="false" customHeight="true" outlineLevel="0" collapsed="false">
      <c r="A52" s="126" t="n">
        <f aca="false">ROW()-8</f>
        <v>44</v>
      </c>
      <c r="B52" s="127"/>
      <c r="C52" s="150"/>
      <c r="D52" s="129"/>
      <c r="E52" s="129" t="s">
        <v>1368</v>
      </c>
      <c r="F52" s="129"/>
      <c r="G52" s="129"/>
      <c r="H52" s="62" t="s">
        <v>1369</v>
      </c>
      <c r="I52" s="63" t="s">
        <v>1370</v>
      </c>
      <c r="J52" s="63" t="s">
        <v>1359</v>
      </c>
      <c r="K52" s="62" t="s">
        <v>117</v>
      </c>
      <c r="L52" s="130"/>
      <c r="M52" s="62" t="s">
        <v>118</v>
      </c>
      <c r="N52" s="62" t="s">
        <v>1371</v>
      </c>
      <c r="O52" s="65" t="s">
        <v>119</v>
      </c>
      <c r="P52" s="65" t="s">
        <v>119</v>
      </c>
      <c r="Q52" s="65"/>
      <c r="R52" s="135" t="s">
        <v>119</v>
      </c>
      <c r="S52" s="66"/>
      <c r="T52" s="188"/>
      <c r="AMD52" s="151"/>
      <c r="AME52" s="151"/>
      <c r="AMF52" s="151"/>
      <c r="AMG52" s="151"/>
      <c r="AMH52" s="151"/>
      <c r="AMI52" s="151"/>
      <c r="AMJ52" s="151"/>
    </row>
    <row r="53" s="135" customFormat="true" ht="13.5" hidden="false" customHeight="true" outlineLevel="0" collapsed="false">
      <c r="A53" s="126" t="n">
        <f aca="false">ROW()-8</f>
        <v>45</v>
      </c>
      <c r="B53" s="127"/>
      <c r="C53" s="127"/>
      <c r="D53" s="129"/>
      <c r="E53" s="129" t="s">
        <v>1372</v>
      </c>
      <c r="F53" s="129"/>
      <c r="G53" s="129"/>
      <c r="H53" s="62" t="s">
        <v>1373</v>
      </c>
      <c r="I53" s="63" t="s">
        <v>1374</v>
      </c>
      <c r="J53" s="63" t="s">
        <v>1281</v>
      </c>
      <c r="K53" s="62" t="s">
        <v>163</v>
      </c>
      <c r="L53" s="130"/>
      <c r="M53" s="62" t="s">
        <v>118</v>
      </c>
      <c r="N53" s="62"/>
      <c r="O53" s="65" t="s">
        <v>119</v>
      </c>
      <c r="P53" s="65" t="s">
        <v>119</v>
      </c>
      <c r="Q53" s="65"/>
      <c r="R53" s="135" t="s">
        <v>119</v>
      </c>
      <c r="S53" s="190"/>
      <c r="T53" s="188"/>
      <c r="AMD53" s="67"/>
      <c r="AME53" s="67"/>
      <c r="AMF53" s="67"/>
      <c r="AMG53" s="67"/>
      <c r="AMH53" s="67"/>
      <c r="AMI53" s="67"/>
      <c r="AMJ53" s="67"/>
    </row>
    <row r="54" s="135" customFormat="true" ht="13.5" hidden="false" customHeight="true" outlineLevel="0" collapsed="false">
      <c r="A54" s="126" t="n">
        <f aca="false">ROW()-8</f>
        <v>46</v>
      </c>
      <c r="B54" s="127"/>
      <c r="C54" s="127"/>
      <c r="D54" s="129"/>
      <c r="E54" s="129" t="s">
        <v>1345</v>
      </c>
      <c r="F54" s="129"/>
      <c r="G54" s="129"/>
      <c r="H54" s="62" t="s">
        <v>1375</v>
      </c>
      <c r="I54" s="63" t="s">
        <v>1376</v>
      </c>
      <c r="J54" s="63" t="s">
        <v>126</v>
      </c>
      <c r="K54" s="62" t="s">
        <v>163</v>
      </c>
      <c r="L54" s="130"/>
      <c r="M54" s="62" t="s">
        <v>118</v>
      </c>
      <c r="N54" s="62"/>
      <c r="O54" s="65" t="s">
        <v>119</v>
      </c>
      <c r="P54" s="65" t="s">
        <v>119</v>
      </c>
      <c r="Q54" s="65"/>
      <c r="R54" s="135" t="s">
        <v>119</v>
      </c>
      <c r="S54" s="190"/>
      <c r="T54" s="188"/>
      <c r="AMD54" s="67"/>
      <c r="AME54" s="67"/>
      <c r="AMF54" s="67"/>
      <c r="AMG54" s="67"/>
      <c r="AMH54" s="67"/>
      <c r="AMI54" s="67"/>
      <c r="AMJ54" s="67"/>
    </row>
    <row r="55" s="135" customFormat="true" ht="13.5" hidden="false" customHeight="true" outlineLevel="0" collapsed="false">
      <c r="A55" s="126" t="n">
        <f aca="false">ROW()-8</f>
        <v>47</v>
      </c>
      <c r="B55" s="127"/>
      <c r="C55" s="127" t="s">
        <v>1377</v>
      </c>
      <c r="D55" s="139"/>
      <c r="E55" s="139"/>
      <c r="F55" s="139"/>
      <c r="G55" s="139"/>
      <c r="H55" s="62" t="s">
        <v>1378</v>
      </c>
      <c r="I55" s="63"/>
      <c r="J55" s="63" t="s">
        <v>1379</v>
      </c>
      <c r="K55" s="62" t="s">
        <v>163</v>
      </c>
      <c r="L55" s="130" t="s">
        <v>119</v>
      </c>
      <c r="M55" s="140" t="s">
        <v>1379</v>
      </c>
      <c r="N55" s="62"/>
      <c r="O55" s="65" t="s">
        <v>119</v>
      </c>
      <c r="P55" s="65" t="s">
        <v>119</v>
      </c>
      <c r="Q55" s="65"/>
      <c r="R55" s="135" t="s">
        <v>119</v>
      </c>
      <c r="S55" s="190"/>
      <c r="T55" s="188"/>
      <c r="AMD55" s="67"/>
      <c r="AME55" s="67"/>
      <c r="AMF55" s="67"/>
      <c r="AMG55" s="67"/>
      <c r="AMH55" s="67"/>
      <c r="AMI55" s="67"/>
      <c r="AMJ55" s="67"/>
    </row>
    <row r="56" s="135" customFormat="true" ht="13.5" hidden="false" customHeight="true" outlineLevel="0" collapsed="false">
      <c r="A56" s="126" t="n">
        <f aca="false">ROW()-8</f>
        <v>48</v>
      </c>
      <c r="B56" s="127"/>
      <c r="C56" s="127"/>
      <c r="D56" s="129" t="s">
        <v>1380</v>
      </c>
      <c r="E56" s="127"/>
      <c r="F56" s="127"/>
      <c r="G56" s="127"/>
      <c r="H56" s="62" t="s">
        <v>1381</v>
      </c>
      <c r="I56" s="63" t="s">
        <v>1382</v>
      </c>
      <c r="J56" s="63" t="s">
        <v>126</v>
      </c>
      <c r="K56" s="62" t="s">
        <v>163</v>
      </c>
      <c r="L56" s="130"/>
      <c r="M56" s="62" t="s">
        <v>118</v>
      </c>
      <c r="N56" s="62"/>
      <c r="O56" s="65" t="s">
        <v>119</v>
      </c>
      <c r="P56" s="65" t="s">
        <v>119</v>
      </c>
      <c r="Q56" s="65"/>
      <c r="R56" s="135" t="s">
        <v>119</v>
      </c>
      <c r="S56" s="66"/>
      <c r="T56" s="188"/>
      <c r="AMD56" s="61"/>
      <c r="AME56" s="61"/>
      <c r="AMF56" s="61"/>
      <c r="AMG56" s="61"/>
      <c r="AMH56" s="61"/>
      <c r="AMI56" s="61"/>
      <c r="AMJ56" s="61"/>
    </row>
    <row r="57" s="135" customFormat="true" ht="13.5" hidden="false" customHeight="true" outlineLevel="0" collapsed="false">
      <c r="A57" s="126" t="n">
        <f aca="false">ROW()-8</f>
        <v>49</v>
      </c>
      <c r="B57" s="127"/>
      <c r="C57" s="127"/>
      <c r="D57" s="129" t="s">
        <v>1383</v>
      </c>
      <c r="E57" s="127"/>
      <c r="F57" s="127"/>
      <c r="G57" s="127"/>
      <c r="H57" s="62" t="s">
        <v>1384</v>
      </c>
      <c r="I57" s="63" t="n">
        <v>59350</v>
      </c>
      <c r="J57" s="63" t="s">
        <v>1385</v>
      </c>
      <c r="K57" s="62" t="s">
        <v>163</v>
      </c>
      <c r="L57" s="130"/>
      <c r="M57" s="62" t="s">
        <v>118</v>
      </c>
      <c r="N57" s="62" t="s">
        <v>1386</v>
      </c>
      <c r="O57" s="65" t="s">
        <v>119</v>
      </c>
      <c r="P57" s="65" t="s">
        <v>119</v>
      </c>
      <c r="Q57" s="65"/>
      <c r="R57" s="135" t="s">
        <v>119</v>
      </c>
      <c r="S57" s="66"/>
      <c r="T57" s="188"/>
      <c r="AMD57" s="67"/>
      <c r="AME57" s="67"/>
      <c r="AMF57" s="67"/>
      <c r="AMG57" s="67"/>
      <c r="AMH57" s="67"/>
      <c r="AMI57" s="67"/>
      <c r="AMJ57" s="67"/>
    </row>
    <row r="58" s="135" customFormat="true" ht="13.5" hidden="false" customHeight="true" outlineLevel="0" collapsed="false">
      <c r="A58" s="126" t="n">
        <f aca="false">ROW()-8</f>
        <v>50</v>
      </c>
      <c r="B58" s="127"/>
      <c r="C58" s="127"/>
      <c r="D58" s="129" t="s">
        <v>1387</v>
      </c>
      <c r="E58" s="129"/>
      <c r="F58" s="129"/>
      <c r="G58" s="129"/>
      <c r="H58" s="136" t="s">
        <v>1388</v>
      </c>
      <c r="I58" s="63" t="s">
        <v>1389</v>
      </c>
      <c r="J58" s="63" t="s">
        <v>1390</v>
      </c>
      <c r="K58" s="62" t="s">
        <v>163</v>
      </c>
      <c r="L58" s="130"/>
      <c r="M58" s="152" t="s">
        <v>118</v>
      </c>
      <c r="N58" s="62"/>
      <c r="O58" s="65" t="s">
        <v>119</v>
      </c>
      <c r="P58" s="65"/>
      <c r="Q58" s="65"/>
      <c r="R58" s="184" t="n">
        <v>1</v>
      </c>
      <c r="S58" s="66"/>
      <c r="AMD58" s="67"/>
      <c r="AME58" s="67"/>
      <c r="AMF58" s="67"/>
      <c r="AMG58" s="67"/>
      <c r="AMH58" s="67"/>
      <c r="AMI58" s="67"/>
      <c r="AMJ58" s="67"/>
    </row>
    <row r="59" s="135" customFormat="true" ht="12.75" hidden="true" customHeight="true" outlineLevel="0" collapsed="false">
      <c r="A59" s="126" t="n">
        <f aca="false">ROW()-8</f>
        <v>51</v>
      </c>
      <c r="B59" s="127"/>
      <c r="C59" s="127" t="s">
        <v>1391</v>
      </c>
      <c r="D59" s="139"/>
      <c r="E59" s="139"/>
      <c r="F59" s="139"/>
      <c r="G59" s="139"/>
      <c r="H59" s="62" t="s">
        <v>1392</v>
      </c>
      <c r="I59" s="63"/>
      <c r="J59" s="63" t="s">
        <v>1393</v>
      </c>
      <c r="K59" s="62" t="s">
        <v>163</v>
      </c>
      <c r="L59" s="130" t="s">
        <v>119</v>
      </c>
      <c r="M59" s="140" t="s">
        <v>1393</v>
      </c>
      <c r="N59" s="62"/>
      <c r="O59" s="65" t="s">
        <v>119</v>
      </c>
      <c r="P59" s="65" t="s">
        <v>119</v>
      </c>
      <c r="Q59" s="65"/>
      <c r="S59" s="191"/>
      <c r="AMD59" s="153"/>
      <c r="AME59" s="153"/>
      <c r="AMF59" s="153"/>
      <c r="AMG59" s="153"/>
      <c r="AMH59" s="153"/>
      <c r="AMI59" s="153"/>
      <c r="AMJ59" s="153"/>
    </row>
    <row r="60" s="135" customFormat="true" ht="12.75" hidden="true" customHeight="true" outlineLevel="0" collapsed="false">
      <c r="A60" s="126" t="n">
        <f aca="false">ROW()-8</f>
        <v>52</v>
      </c>
      <c r="B60" s="127"/>
      <c r="C60" s="127"/>
      <c r="D60" s="129" t="s">
        <v>1394</v>
      </c>
      <c r="E60" s="133"/>
      <c r="F60" s="133"/>
      <c r="G60" s="133"/>
      <c r="H60" s="62" t="s">
        <v>1395</v>
      </c>
      <c r="I60" s="63" t="s">
        <v>1396</v>
      </c>
      <c r="J60" s="63" t="s">
        <v>1397</v>
      </c>
      <c r="K60" s="62" t="s">
        <v>163</v>
      </c>
      <c r="L60" s="130"/>
      <c r="M60" s="152" t="s">
        <v>118</v>
      </c>
      <c r="N60" s="62"/>
      <c r="O60" s="65" t="s">
        <v>119</v>
      </c>
      <c r="P60" s="65" t="s">
        <v>119</v>
      </c>
      <c r="Q60" s="65"/>
      <c r="S60" s="66"/>
      <c r="AMD60" s="153"/>
      <c r="AME60" s="153"/>
      <c r="AMF60" s="153"/>
      <c r="AMG60" s="153"/>
      <c r="AMH60" s="153"/>
      <c r="AMI60" s="153"/>
      <c r="AMJ60" s="153"/>
    </row>
    <row r="61" s="135" customFormat="true" ht="12.75" hidden="true" customHeight="true" outlineLevel="0" collapsed="false">
      <c r="A61" s="126" t="n">
        <f aca="false">ROW()-8</f>
        <v>53</v>
      </c>
      <c r="B61" s="127"/>
      <c r="C61" s="127"/>
      <c r="D61" s="129" t="s">
        <v>1398</v>
      </c>
      <c r="E61" s="133"/>
      <c r="F61" s="133"/>
      <c r="G61" s="133"/>
      <c r="H61" s="62" t="s">
        <v>1399</v>
      </c>
      <c r="I61" s="63" t="s">
        <v>1400</v>
      </c>
      <c r="J61" s="63" t="s">
        <v>1401</v>
      </c>
      <c r="K61" s="62" t="s">
        <v>163</v>
      </c>
      <c r="L61" s="130"/>
      <c r="M61" s="152" t="s">
        <v>118</v>
      </c>
      <c r="N61" s="62"/>
      <c r="O61" s="65" t="s">
        <v>119</v>
      </c>
      <c r="P61" s="65" t="s">
        <v>119</v>
      </c>
      <c r="Q61" s="65"/>
      <c r="S61" s="66"/>
      <c r="AMD61" s="153"/>
      <c r="AME61" s="153"/>
      <c r="AMF61" s="153"/>
      <c r="AMG61" s="153"/>
      <c r="AMH61" s="153"/>
      <c r="AMI61" s="153"/>
      <c r="AMJ61" s="153"/>
    </row>
    <row r="62" s="135" customFormat="true" ht="12.75" hidden="true" customHeight="true" outlineLevel="0" collapsed="false">
      <c r="A62" s="126" t="n">
        <f aca="false">ROW()-8</f>
        <v>54</v>
      </c>
      <c r="B62" s="127"/>
      <c r="C62" s="150"/>
      <c r="D62" s="129" t="s">
        <v>1402</v>
      </c>
      <c r="E62" s="133"/>
      <c r="F62" s="133"/>
      <c r="G62" s="133"/>
      <c r="H62" s="62" t="s">
        <v>1403</v>
      </c>
      <c r="I62" s="63" t="s">
        <v>1404</v>
      </c>
      <c r="J62" s="63" t="s">
        <v>1405</v>
      </c>
      <c r="K62" s="62" t="s">
        <v>163</v>
      </c>
      <c r="L62" s="130"/>
      <c r="M62" s="152" t="s">
        <v>118</v>
      </c>
      <c r="N62" s="62"/>
      <c r="O62" s="65" t="s">
        <v>119</v>
      </c>
      <c r="P62" s="65" t="s">
        <v>119</v>
      </c>
      <c r="Q62" s="65"/>
      <c r="S62" s="192"/>
      <c r="AMD62" s="154"/>
      <c r="AME62" s="154"/>
      <c r="AMF62" s="154"/>
      <c r="AMG62" s="154"/>
      <c r="AMH62" s="154"/>
      <c r="AMI62" s="154"/>
      <c r="AMJ62" s="154"/>
    </row>
    <row r="63" s="135" customFormat="true" ht="12.75" hidden="true" customHeight="true" outlineLevel="0" collapsed="false">
      <c r="A63" s="126" t="n">
        <f aca="false">ROW()-8</f>
        <v>55</v>
      </c>
      <c r="B63" s="127"/>
      <c r="C63" s="150"/>
      <c r="D63" s="129" t="s">
        <v>1406</v>
      </c>
      <c r="E63" s="133"/>
      <c r="F63" s="133"/>
      <c r="G63" s="133"/>
      <c r="H63" s="62" t="s">
        <v>1407</v>
      </c>
      <c r="I63" s="63" t="s">
        <v>1408</v>
      </c>
      <c r="J63" s="63" t="s">
        <v>1409</v>
      </c>
      <c r="K63" s="62" t="s">
        <v>1247</v>
      </c>
      <c r="L63" s="130"/>
      <c r="M63" s="152" t="s">
        <v>118</v>
      </c>
      <c r="N63" s="62"/>
      <c r="O63" s="65" t="s">
        <v>119</v>
      </c>
      <c r="P63" s="65" t="s">
        <v>119</v>
      </c>
      <c r="Q63" s="65"/>
      <c r="S63" s="192"/>
      <c r="AMD63" s="154"/>
      <c r="AME63" s="154"/>
      <c r="AMF63" s="154"/>
      <c r="AMG63" s="154"/>
      <c r="AMH63" s="154"/>
      <c r="AMI63" s="154"/>
      <c r="AMJ63" s="154"/>
    </row>
    <row r="64" s="135" customFormat="true" ht="12.75" hidden="true" customHeight="true" outlineLevel="0" collapsed="false">
      <c r="A64" s="126" t="n">
        <f aca="false">ROW()-8</f>
        <v>56</v>
      </c>
      <c r="B64" s="127"/>
      <c r="C64" s="150"/>
      <c r="D64" s="129" t="s">
        <v>1410</v>
      </c>
      <c r="E64" s="133"/>
      <c r="F64" s="133"/>
      <c r="G64" s="133"/>
      <c r="H64" s="62" t="s">
        <v>1411</v>
      </c>
      <c r="I64" s="63" t="s">
        <v>1412</v>
      </c>
      <c r="J64" s="63" t="s">
        <v>1413</v>
      </c>
      <c r="K64" s="62" t="s">
        <v>163</v>
      </c>
      <c r="L64" s="130"/>
      <c r="M64" s="152" t="s">
        <v>118</v>
      </c>
      <c r="N64" s="62"/>
      <c r="O64" s="65" t="s">
        <v>119</v>
      </c>
      <c r="P64" s="65" t="s">
        <v>119</v>
      </c>
      <c r="Q64" s="65"/>
      <c r="S64" s="192"/>
      <c r="AMD64" s="154"/>
      <c r="AME64" s="154"/>
      <c r="AMF64" s="154"/>
      <c r="AMG64" s="154"/>
      <c r="AMH64" s="154"/>
      <c r="AMI64" s="154"/>
      <c r="AMJ64" s="154"/>
    </row>
    <row r="65" s="135" customFormat="true" ht="12.75" hidden="true" customHeight="true" outlineLevel="0" collapsed="false">
      <c r="A65" s="126" t="n">
        <f aca="false">ROW()-8</f>
        <v>57</v>
      </c>
      <c r="B65" s="127"/>
      <c r="C65" s="150"/>
      <c r="D65" s="129" t="s">
        <v>1414</v>
      </c>
      <c r="E65" s="133"/>
      <c r="F65" s="133"/>
      <c r="G65" s="133"/>
      <c r="H65" s="62" t="s">
        <v>1415</v>
      </c>
      <c r="I65" s="63" t="s">
        <v>1416</v>
      </c>
      <c r="J65" s="63" t="s">
        <v>1417</v>
      </c>
      <c r="K65" s="62" t="s">
        <v>163</v>
      </c>
      <c r="L65" s="130"/>
      <c r="M65" s="152" t="s">
        <v>118</v>
      </c>
      <c r="N65" s="62"/>
      <c r="O65" s="65" t="s">
        <v>119</v>
      </c>
      <c r="P65" s="65" t="s">
        <v>119</v>
      </c>
      <c r="Q65" s="65"/>
      <c r="S65" s="193"/>
      <c r="AMD65" s="155"/>
      <c r="AME65" s="155"/>
      <c r="AMF65" s="155"/>
      <c r="AMG65" s="155"/>
      <c r="AMH65" s="155"/>
      <c r="AMI65" s="155"/>
      <c r="AMJ65" s="155"/>
    </row>
    <row r="66" s="135" customFormat="true" ht="12.75" hidden="true" customHeight="true" outlineLevel="0" collapsed="false">
      <c r="A66" s="126" t="n">
        <f aca="false">ROW()-8</f>
        <v>58</v>
      </c>
      <c r="B66" s="127"/>
      <c r="C66" s="156"/>
      <c r="D66" s="129" t="s">
        <v>1418</v>
      </c>
      <c r="E66" s="133"/>
      <c r="F66" s="133"/>
      <c r="G66" s="133"/>
      <c r="H66" s="62" t="s">
        <v>1419</v>
      </c>
      <c r="I66" s="62" t="s">
        <v>1419</v>
      </c>
      <c r="J66" s="63" t="s">
        <v>1420</v>
      </c>
      <c r="K66" s="62" t="s">
        <v>163</v>
      </c>
      <c r="L66" s="130"/>
      <c r="M66" s="152" t="s">
        <v>118</v>
      </c>
      <c r="N66" s="62"/>
      <c r="O66" s="65" t="s">
        <v>119</v>
      </c>
      <c r="P66" s="65" t="s">
        <v>119</v>
      </c>
      <c r="Q66" s="65"/>
      <c r="S66" s="193"/>
      <c r="AMD66" s="157"/>
      <c r="AME66" s="157"/>
      <c r="AMF66" s="157"/>
      <c r="AMG66" s="157"/>
      <c r="AMH66" s="157"/>
      <c r="AMI66" s="157"/>
      <c r="AMJ66" s="157"/>
    </row>
    <row r="67" s="135" customFormat="true" ht="12.75" hidden="true" customHeight="true" outlineLevel="0" collapsed="false">
      <c r="A67" s="126" t="n">
        <f aca="false">ROW()-8</f>
        <v>59</v>
      </c>
      <c r="B67" s="127"/>
      <c r="C67" s="156"/>
      <c r="D67" s="129" t="s">
        <v>1421</v>
      </c>
      <c r="E67" s="133"/>
      <c r="F67" s="133"/>
      <c r="G67" s="133"/>
      <c r="H67" s="62" t="s">
        <v>1422</v>
      </c>
      <c r="I67" s="63" t="s">
        <v>1423</v>
      </c>
      <c r="J67" s="63" t="s">
        <v>1424</v>
      </c>
      <c r="K67" s="62" t="s">
        <v>163</v>
      </c>
      <c r="L67" s="130"/>
      <c r="M67" s="152" t="s">
        <v>118</v>
      </c>
      <c r="N67" s="62"/>
      <c r="O67" s="65" t="s">
        <v>119</v>
      </c>
      <c r="P67" s="65" t="s">
        <v>119</v>
      </c>
      <c r="Q67" s="65"/>
      <c r="S67" s="193"/>
      <c r="AMD67" s="153"/>
      <c r="AME67" s="153"/>
      <c r="AMF67" s="153"/>
      <c r="AMG67" s="153"/>
      <c r="AMH67" s="153"/>
      <c r="AMI67" s="153"/>
      <c r="AMJ67" s="153"/>
    </row>
    <row r="68" s="135" customFormat="true" ht="12.75" hidden="true" customHeight="true" outlineLevel="0" collapsed="false">
      <c r="A68" s="126" t="n">
        <f aca="false">ROW()-8</f>
        <v>60</v>
      </c>
      <c r="B68" s="127"/>
      <c r="C68" s="156"/>
      <c r="D68" s="129" t="s">
        <v>1425</v>
      </c>
      <c r="E68" s="129"/>
      <c r="F68" s="129"/>
      <c r="G68" s="129"/>
      <c r="H68" s="62" t="s">
        <v>1426</v>
      </c>
      <c r="I68" s="158" t="s">
        <v>1427</v>
      </c>
      <c r="J68" s="63" t="s">
        <v>1428</v>
      </c>
      <c r="K68" s="62" t="s">
        <v>163</v>
      </c>
      <c r="L68" s="130"/>
      <c r="M68" s="62" t="s">
        <v>118</v>
      </c>
      <c r="N68" s="62" t="s">
        <v>1429</v>
      </c>
      <c r="O68" s="65" t="s">
        <v>119</v>
      </c>
      <c r="P68" s="65" t="s">
        <v>119</v>
      </c>
      <c r="Q68" s="65"/>
      <c r="S68" s="194"/>
      <c r="AMD68" s="153"/>
      <c r="AME68" s="153"/>
      <c r="AMF68" s="153"/>
      <c r="AMG68" s="153"/>
      <c r="AMH68" s="153"/>
      <c r="AMI68" s="153"/>
      <c r="AMJ68" s="153"/>
    </row>
    <row r="69" s="135" customFormat="true" ht="13.5" hidden="false" customHeight="true" outlineLevel="0" collapsed="false">
      <c r="A69" s="126" t="n">
        <f aca="false">ROW()-8</f>
        <v>61</v>
      </c>
      <c r="B69" s="127"/>
      <c r="C69" s="127" t="s">
        <v>1430</v>
      </c>
      <c r="D69" s="139"/>
      <c r="E69" s="139"/>
      <c r="F69" s="139"/>
      <c r="G69" s="139"/>
      <c r="H69" s="62" t="s">
        <v>1431</v>
      </c>
      <c r="I69" s="63"/>
      <c r="J69" s="63" t="s">
        <v>1432</v>
      </c>
      <c r="K69" s="62" t="s">
        <v>163</v>
      </c>
      <c r="L69" s="130" t="s">
        <v>119</v>
      </c>
      <c r="M69" s="140" t="s">
        <v>1432</v>
      </c>
      <c r="N69" s="62"/>
      <c r="O69" s="65" t="s">
        <v>119</v>
      </c>
      <c r="P69" s="65" t="s">
        <v>119</v>
      </c>
      <c r="Q69" s="65"/>
      <c r="R69" s="135" t="s">
        <v>119</v>
      </c>
      <c r="S69" s="195"/>
      <c r="T69" s="188"/>
      <c r="AMD69" s="67"/>
      <c r="AME69" s="67"/>
      <c r="AMF69" s="67"/>
      <c r="AMG69" s="67"/>
      <c r="AMH69" s="67"/>
      <c r="AMI69" s="67"/>
      <c r="AMJ69" s="67"/>
    </row>
    <row r="70" s="135" customFormat="true" ht="13.5" hidden="true" customHeight="true" outlineLevel="0" collapsed="false">
      <c r="A70" s="126" t="n">
        <f aca="false">ROW()-8</f>
        <v>62</v>
      </c>
      <c r="B70" s="127"/>
      <c r="C70" s="127"/>
      <c r="D70" s="129" t="s">
        <v>1433</v>
      </c>
      <c r="E70" s="129"/>
      <c r="F70" s="129"/>
      <c r="G70" s="129"/>
      <c r="H70" s="62" t="s">
        <v>1434</v>
      </c>
      <c r="I70" s="63" t="s">
        <v>1214</v>
      </c>
      <c r="J70" s="63" t="s">
        <v>134</v>
      </c>
      <c r="K70" s="62" t="s">
        <v>117</v>
      </c>
      <c r="L70" s="130"/>
      <c r="M70" s="62" t="s">
        <v>134</v>
      </c>
      <c r="N70" s="62" t="s">
        <v>1216</v>
      </c>
      <c r="O70" s="65" t="s">
        <v>119</v>
      </c>
      <c r="P70" s="65" t="s">
        <v>119</v>
      </c>
      <c r="Q70" s="65"/>
      <c r="S70" s="192"/>
      <c r="T70" s="196"/>
      <c r="AMD70" s="67"/>
      <c r="AME70" s="67"/>
      <c r="AMF70" s="67"/>
      <c r="AMG70" s="67"/>
      <c r="AMH70" s="67"/>
      <c r="AMI70" s="67"/>
      <c r="AMJ70" s="67"/>
    </row>
    <row r="71" s="135" customFormat="true" ht="13.5" hidden="false" customHeight="true" outlineLevel="0" collapsed="false">
      <c r="A71" s="126" t="n">
        <f aca="false">ROW()-8</f>
        <v>63</v>
      </c>
      <c r="B71" s="127"/>
      <c r="C71" s="127"/>
      <c r="D71" s="127" t="s">
        <v>1435</v>
      </c>
      <c r="E71" s="139"/>
      <c r="F71" s="139"/>
      <c r="G71" s="139"/>
      <c r="H71" s="62" t="s">
        <v>1436</v>
      </c>
      <c r="I71" s="63"/>
      <c r="J71" s="63" t="s">
        <v>1437</v>
      </c>
      <c r="K71" s="62" t="s">
        <v>163</v>
      </c>
      <c r="L71" s="130" t="s">
        <v>119</v>
      </c>
      <c r="M71" s="140" t="s">
        <v>1437</v>
      </c>
      <c r="N71" s="62"/>
      <c r="O71" s="65" t="s">
        <v>119</v>
      </c>
      <c r="P71" s="65" t="s">
        <v>119</v>
      </c>
      <c r="Q71" s="65"/>
      <c r="R71" s="135" t="s">
        <v>119</v>
      </c>
      <c r="S71" s="192"/>
      <c r="T71" s="188"/>
      <c r="AMD71" s="67"/>
      <c r="AME71" s="67"/>
      <c r="AMF71" s="67"/>
      <c r="AMG71" s="67"/>
      <c r="AMH71" s="67"/>
      <c r="AMI71" s="67"/>
      <c r="AMJ71" s="67"/>
    </row>
    <row r="72" s="135" customFormat="true" ht="13.5" hidden="false" customHeight="true" outlineLevel="0" collapsed="false">
      <c r="A72" s="126" t="n">
        <f aca="false">ROW()-8</f>
        <v>64</v>
      </c>
      <c r="B72" s="127"/>
      <c r="C72" s="127"/>
      <c r="D72" s="127"/>
      <c r="E72" s="127" t="s">
        <v>1438</v>
      </c>
      <c r="F72" s="139"/>
      <c r="G72" s="139"/>
      <c r="H72" s="62" t="s">
        <v>1439</v>
      </c>
      <c r="I72" s="63"/>
      <c r="J72" s="63" t="s">
        <v>1440</v>
      </c>
      <c r="K72" s="62" t="s">
        <v>117</v>
      </c>
      <c r="L72" s="130" t="s">
        <v>119</v>
      </c>
      <c r="M72" s="140" t="s">
        <v>1440</v>
      </c>
      <c r="N72" s="62"/>
      <c r="O72" s="65" t="s">
        <v>119</v>
      </c>
      <c r="P72" s="65" t="s">
        <v>119</v>
      </c>
      <c r="Q72" s="65"/>
      <c r="R72" s="135" t="s">
        <v>119</v>
      </c>
      <c r="S72" s="66"/>
      <c r="T72" s="188"/>
      <c r="AMD72" s="67"/>
      <c r="AME72" s="67"/>
      <c r="AMF72" s="67"/>
      <c r="AMG72" s="67"/>
      <c r="AMH72" s="67"/>
      <c r="AMI72" s="67"/>
      <c r="AMJ72" s="67"/>
    </row>
    <row r="73" s="135" customFormat="true" ht="13.5" hidden="false" customHeight="true" outlineLevel="0" collapsed="false">
      <c r="A73" s="126" t="n">
        <f aca="false">ROW()-8</f>
        <v>65</v>
      </c>
      <c r="B73" s="127"/>
      <c r="C73" s="127"/>
      <c r="D73" s="127"/>
      <c r="E73" s="127"/>
      <c r="F73" s="127" t="s">
        <v>1441</v>
      </c>
      <c r="G73" s="127"/>
      <c r="H73" s="62" t="s">
        <v>1442</v>
      </c>
      <c r="I73" s="63" t="s">
        <v>1443</v>
      </c>
      <c r="J73" s="63" t="s">
        <v>1444</v>
      </c>
      <c r="K73" s="62" t="s">
        <v>117</v>
      </c>
      <c r="L73" s="130"/>
      <c r="M73" s="62" t="s">
        <v>1364</v>
      </c>
      <c r="N73" s="62"/>
      <c r="O73" s="65" t="s">
        <v>119</v>
      </c>
      <c r="P73" s="65" t="s">
        <v>119</v>
      </c>
      <c r="Q73" s="65"/>
      <c r="R73" s="135" t="s">
        <v>119</v>
      </c>
      <c r="S73" s="66"/>
      <c r="T73" s="188"/>
      <c r="AMD73" s="67"/>
      <c r="AME73" s="67"/>
      <c r="AMF73" s="67"/>
      <c r="AMG73" s="67"/>
      <c r="AMH73" s="67"/>
      <c r="AMI73" s="67"/>
      <c r="AMJ73" s="67"/>
    </row>
    <row r="74" s="135" customFormat="true" ht="13.5" hidden="false" customHeight="true" outlineLevel="0" collapsed="false">
      <c r="A74" s="126" t="n">
        <f aca="false">ROW()-8</f>
        <v>66</v>
      </c>
      <c r="B74" s="127"/>
      <c r="C74" s="127"/>
      <c r="D74" s="127"/>
      <c r="E74" s="127"/>
      <c r="F74" s="127" t="s">
        <v>1445</v>
      </c>
      <c r="G74" s="127"/>
      <c r="H74" s="62" t="s">
        <v>1446</v>
      </c>
      <c r="I74" s="63" t="s">
        <v>1447</v>
      </c>
      <c r="J74" s="63" t="s">
        <v>1448</v>
      </c>
      <c r="K74" s="62" t="s">
        <v>117</v>
      </c>
      <c r="L74" s="130"/>
      <c r="M74" s="62" t="s">
        <v>1364</v>
      </c>
      <c r="N74" s="62"/>
      <c r="O74" s="65" t="s">
        <v>119</v>
      </c>
      <c r="P74" s="65" t="s">
        <v>119</v>
      </c>
      <c r="Q74" s="65"/>
      <c r="R74" s="135" t="s">
        <v>119</v>
      </c>
      <c r="S74" s="66"/>
      <c r="T74" s="188"/>
      <c r="AMD74" s="153"/>
      <c r="AME74" s="153"/>
      <c r="AMF74" s="153"/>
      <c r="AMG74" s="153"/>
      <c r="AMH74" s="153"/>
      <c r="AMI74" s="153"/>
      <c r="AMJ74" s="153"/>
    </row>
    <row r="75" s="135" customFormat="true" ht="13.5" hidden="false" customHeight="true" outlineLevel="0" collapsed="false">
      <c r="A75" s="126" t="n">
        <f aca="false">ROW()-8</f>
        <v>67</v>
      </c>
      <c r="B75" s="127"/>
      <c r="C75" s="150"/>
      <c r="D75" s="150"/>
      <c r="E75" s="150"/>
      <c r="F75" s="150" t="s">
        <v>1449</v>
      </c>
      <c r="G75" s="133"/>
      <c r="H75" s="62" t="s">
        <v>1450</v>
      </c>
      <c r="I75" s="63" t="n">
        <v>120</v>
      </c>
      <c r="J75" s="62" t="s">
        <v>1451</v>
      </c>
      <c r="K75" s="62" t="s">
        <v>163</v>
      </c>
      <c r="L75" s="130"/>
      <c r="M75" s="62" t="s">
        <v>1364</v>
      </c>
      <c r="N75" s="62"/>
      <c r="O75" s="65" t="s">
        <v>119</v>
      </c>
      <c r="P75" s="65" t="s">
        <v>119</v>
      </c>
      <c r="Q75" s="65"/>
      <c r="R75" s="135" t="s">
        <v>119</v>
      </c>
      <c r="S75" s="66"/>
      <c r="T75" s="188"/>
      <c r="AMD75" s="154"/>
      <c r="AME75" s="154"/>
      <c r="AMF75" s="154"/>
      <c r="AMG75" s="154"/>
      <c r="AMH75" s="154"/>
      <c r="AMI75" s="154"/>
      <c r="AMJ75" s="154"/>
    </row>
    <row r="76" s="135" customFormat="true" ht="13.5" hidden="false" customHeight="true" outlineLevel="0" collapsed="false">
      <c r="A76" s="126" t="n">
        <f aca="false">ROW()-8</f>
        <v>68</v>
      </c>
      <c r="B76" s="127"/>
      <c r="C76" s="127"/>
      <c r="D76" s="129"/>
      <c r="E76" s="129"/>
      <c r="F76" s="129" t="s">
        <v>1452</v>
      </c>
      <c r="G76" s="133"/>
      <c r="H76" s="62" t="s">
        <v>1453</v>
      </c>
      <c r="I76" s="63" t="n">
        <v>96</v>
      </c>
      <c r="J76" s="62" t="s">
        <v>1454</v>
      </c>
      <c r="K76" s="62" t="s">
        <v>163</v>
      </c>
      <c r="L76" s="130"/>
      <c r="M76" s="62" t="s">
        <v>1364</v>
      </c>
      <c r="N76" s="62"/>
      <c r="O76" s="159" t="s">
        <v>119</v>
      </c>
      <c r="P76" s="65"/>
      <c r="Q76" s="65"/>
      <c r="R76" s="184" t="n">
        <v>1</v>
      </c>
      <c r="S76" s="66"/>
      <c r="T76" s="188"/>
      <c r="AMD76" s="153"/>
      <c r="AME76" s="153"/>
      <c r="AMF76" s="153"/>
      <c r="AMG76" s="153"/>
      <c r="AMH76" s="153"/>
      <c r="AMI76" s="153"/>
      <c r="AMJ76" s="153"/>
    </row>
    <row r="77" s="135" customFormat="true" ht="14.25" hidden="false" customHeight="true" outlineLevel="0" collapsed="false">
      <c r="A77" s="126" t="n">
        <f aca="false">ROW()-8</f>
        <v>69</v>
      </c>
      <c r="B77" s="127"/>
      <c r="C77" s="127"/>
      <c r="D77" s="129"/>
      <c r="E77" s="129"/>
      <c r="F77" s="129" t="s">
        <v>1455</v>
      </c>
      <c r="G77" s="133"/>
      <c r="H77" s="62" t="s">
        <v>1456</v>
      </c>
      <c r="I77" s="63" t="n">
        <v>34</v>
      </c>
      <c r="J77" s="62" t="s">
        <v>1457</v>
      </c>
      <c r="K77" s="62" t="s">
        <v>163</v>
      </c>
      <c r="L77" s="130"/>
      <c r="M77" s="62" t="s">
        <v>1364</v>
      </c>
      <c r="N77" s="136"/>
      <c r="O77" s="159" t="s">
        <v>119</v>
      </c>
      <c r="P77" s="65"/>
      <c r="Q77" s="65"/>
      <c r="R77" s="184" t="n">
        <v>1</v>
      </c>
      <c r="S77" s="192"/>
      <c r="T77" s="188"/>
      <c r="AMD77" s="153"/>
      <c r="AME77" s="153"/>
      <c r="AMF77" s="153"/>
      <c r="AMG77" s="153"/>
      <c r="AMH77" s="153"/>
      <c r="AMI77" s="153"/>
      <c r="AMJ77" s="153"/>
    </row>
    <row r="78" s="135" customFormat="true" ht="14.25" hidden="false" customHeight="true" outlineLevel="0" collapsed="false">
      <c r="A78" s="126" t="n">
        <f aca="false">ROW()-8</f>
        <v>70</v>
      </c>
      <c r="B78" s="127"/>
      <c r="C78" s="150"/>
      <c r="D78" s="129"/>
      <c r="E78" s="129"/>
      <c r="F78" s="129" t="s">
        <v>1458</v>
      </c>
      <c r="G78" s="129"/>
      <c r="H78" s="62" t="s">
        <v>1459</v>
      </c>
      <c r="I78" s="63" t="s">
        <v>1460</v>
      </c>
      <c r="J78" s="63" t="s">
        <v>1461</v>
      </c>
      <c r="K78" s="62" t="s">
        <v>117</v>
      </c>
      <c r="L78" s="130"/>
      <c r="M78" s="62" t="s">
        <v>118</v>
      </c>
      <c r="N78" s="136" t="s">
        <v>1462</v>
      </c>
      <c r="O78" s="65" t="s">
        <v>119</v>
      </c>
      <c r="P78" s="65" t="s">
        <v>119</v>
      </c>
      <c r="Q78" s="65"/>
      <c r="R78" s="184" t="n">
        <v>1</v>
      </c>
      <c r="S78" s="193"/>
      <c r="T78" s="188"/>
      <c r="AMD78" s="154"/>
      <c r="AME78" s="154"/>
      <c r="AMF78" s="154"/>
      <c r="AMG78" s="154"/>
      <c r="AMH78" s="154"/>
      <c r="AMI78" s="154"/>
      <c r="AMJ78" s="154"/>
    </row>
    <row r="79" s="135" customFormat="true" ht="14.25" hidden="false" customHeight="true" outlineLevel="0" collapsed="false">
      <c r="A79" s="126" t="n">
        <f aca="false">ROW()-8</f>
        <v>71</v>
      </c>
      <c r="B79" s="127"/>
      <c r="C79" s="150"/>
      <c r="D79" s="129"/>
      <c r="E79" s="129" t="s">
        <v>1463</v>
      </c>
      <c r="F79" s="129"/>
      <c r="G79" s="129"/>
      <c r="H79" s="62" t="s">
        <v>1464</v>
      </c>
      <c r="I79" s="63" t="s">
        <v>1465</v>
      </c>
      <c r="J79" s="63" t="s">
        <v>1466</v>
      </c>
      <c r="K79" s="62" t="s">
        <v>163</v>
      </c>
      <c r="L79" s="130"/>
      <c r="M79" s="62" t="s">
        <v>184</v>
      </c>
      <c r="N79" s="136"/>
      <c r="O79" s="65"/>
      <c r="P79" s="65" t="s">
        <v>119</v>
      </c>
      <c r="Q79" s="65"/>
      <c r="R79" s="184" t="n">
        <v>1</v>
      </c>
      <c r="S79" s="193"/>
      <c r="T79" s="188"/>
      <c r="AMD79" s="154"/>
      <c r="AME79" s="154"/>
      <c r="AMF79" s="154"/>
      <c r="AMG79" s="154"/>
      <c r="AMH79" s="154"/>
      <c r="AMI79" s="154"/>
      <c r="AMJ79" s="154"/>
    </row>
    <row r="80" s="134" customFormat="true" ht="14.25" hidden="false" customHeight="true" outlineLevel="0" collapsed="false">
      <c r="A80" s="185" t="n">
        <f aca="false">ROW()-8</f>
        <v>72</v>
      </c>
      <c r="B80" s="156"/>
      <c r="C80" s="156"/>
      <c r="D80" s="156"/>
      <c r="E80" s="156" t="s">
        <v>1872</v>
      </c>
      <c r="F80" s="156"/>
      <c r="G80" s="156"/>
      <c r="H80" s="142"/>
      <c r="I80" s="175"/>
      <c r="J80" s="175" t="s">
        <v>1873</v>
      </c>
      <c r="K80" s="62"/>
      <c r="L80" s="130"/>
      <c r="M80" s="142" t="s">
        <v>118</v>
      </c>
      <c r="N80" s="62"/>
      <c r="O80" s="65"/>
      <c r="P80" s="65"/>
      <c r="Q80" s="65"/>
      <c r="R80" s="134" t="s">
        <v>119</v>
      </c>
      <c r="S80" s="192"/>
      <c r="T80" s="159"/>
      <c r="AMD80" s="153"/>
      <c r="AME80" s="153"/>
      <c r="AMF80" s="153"/>
      <c r="AMG80" s="153"/>
      <c r="AMH80" s="153"/>
      <c r="AMI80" s="153"/>
      <c r="AMJ80" s="153"/>
    </row>
    <row r="81" s="135" customFormat="true" ht="14.25" hidden="true" customHeight="true" outlineLevel="0" collapsed="false">
      <c r="A81" s="126" t="n">
        <f aca="false">ROW()-8</f>
        <v>73</v>
      </c>
      <c r="B81" s="127"/>
      <c r="C81" s="127"/>
      <c r="D81" s="127"/>
      <c r="E81" s="127" t="s">
        <v>1467</v>
      </c>
      <c r="F81" s="127"/>
      <c r="G81" s="127"/>
      <c r="H81" s="62" t="s">
        <v>1468</v>
      </c>
      <c r="I81" s="63" t="s">
        <v>1469</v>
      </c>
      <c r="J81" s="63" t="s">
        <v>1470</v>
      </c>
      <c r="K81" s="62" t="s">
        <v>163</v>
      </c>
      <c r="L81" s="130"/>
      <c r="M81" s="62" t="s">
        <v>118</v>
      </c>
      <c r="N81" s="136"/>
      <c r="O81" s="65"/>
      <c r="P81" s="65"/>
      <c r="Q81" s="65"/>
      <c r="S81" s="192"/>
      <c r="AMD81" s="153"/>
      <c r="AME81" s="153"/>
      <c r="AMF81" s="153"/>
      <c r="AMG81" s="153"/>
      <c r="AMH81" s="153"/>
      <c r="AMI81" s="153"/>
      <c r="AMJ81" s="153"/>
    </row>
    <row r="82" s="134" customFormat="true" ht="14.25" hidden="false" customHeight="true" outlineLevel="0" collapsed="false">
      <c r="A82" s="185" t="n">
        <f aca="false">ROW()-8</f>
        <v>74</v>
      </c>
      <c r="B82" s="156"/>
      <c r="C82" s="156"/>
      <c r="D82" s="156" t="s">
        <v>1874</v>
      </c>
      <c r="E82" s="156"/>
      <c r="F82" s="156"/>
      <c r="G82" s="156"/>
      <c r="H82" s="142" t="s">
        <v>1875</v>
      </c>
      <c r="I82" s="175"/>
      <c r="J82" s="175" t="s">
        <v>1876</v>
      </c>
      <c r="K82" s="62"/>
      <c r="L82" s="130"/>
      <c r="M82" s="142" t="s">
        <v>118</v>
      </c>
      <c r="N82" s="62"/>
      <c r="O82" s="65"/>
      <c r="P82" s="65"/>
      <c r="Q82" s="65"/>
      <c r="R82" s="134" t="s">
        <v>119</v>
      </c>
      <c r="S82" s="66"/>
      <c r="T82" s="159"/>
      <c r="AMD82" s="153"/>
      <c r="AME82" s="153"/>
      <c r="AMF82" s="153"/>
      <c r="AMG82" s="153"/>
      <c r="AMH82" s="153"/>
      <c r="AMI82" s="153"/>
      <c r="AMJ82" s="153"/>
    </row>
    <row r="83" s="134" customFormat="true" ht="14.25" hidden="false" customHeight="true" outlineLevel="0" collapsed="false">
      <c r="A83" s="185" t="n">
        <f aca="false">ROW()-8</f>
        <v>75</v>
      </c>
      <c r="B83" s="156"/>
      <c r="C83" s="156"/>
      <c r="D83" s="156" t="s">
        <v>1877</v>
      </c>
      <c r="E83" s="156"/>
      <c r="F83" s="156"/>
      <c r="G83" s="156"/>
      <c r="H83" s="142" t="s">
        <v>1878</v>
      </c>
      <c r="I83" s="175"/>
      <c r="J83" s="175" t="s">
        <v>1879</v>
      </c>
      <c r="K83" s="62"/>
      <c r="L83" s="130"/>
      <c r="M83" s="142" t="s">
        <v>118</v>
      </c>
      <c r="N83" s="62"/>
      <c r="O83" s="65"/>
      <c r="P83" s="65"/>
      <c r="Q83" s="65"/>
      <c r="R83" s="134" t="s">
        <v>119</v>
      </c>
      <c r="S83" s="66"/>
      <c r="T83" s="159"/>
      <c r="AMD83" s="153"/>
      <c r="AME83" s="153"/>
      <c r="AMF83" s="153"/>
      <c r="AMG83" s="153"/>
      <c r="AMH83" s="153"/>
      <c r="AMI83" s="153"/>
      <c r="AMJ83" s="153"/>
    </row>
    <row r="84" s="134" customFormat="true" ht="14.25" hidden="false" customHeight="true" outlineLevel="0" collapsed="false">
      <c r="A84" s="185" t="n">
        <f aca="false">ROW()-8</f>
        <v>76</v>
      </c>
      <c r="B84" s="156"/>
      <c r="C84" s="156"/>
      <c r="D84" s="156" t="s">
        <v>1880</v>
      </c>
      <c r="E84" s="156"/>
      <c r="F84" s="156"/>
      <c r="G84" s="156"/>
      <c r="H84" s="142" t="s">
        <v>1881</v>
      </c>
      <c r="I84" s="175"/>
      <c r="J84" s="175" t="s">
        <v>1882</v>
      </c>
      <c r="K84" s="62"/>
      <c r="L84" s="130"/>
      <c r="M84" s="142" t="s">
        <v>118</v>
      </c>
      <c r="N84" s="62"/>
      <c r="O84" s="65"/>
      <c r="P84" s="65"/>
      <c r="Q84" s="65"/>
      <c r="R84" s="134" t="s">
        <v>119</v>
      </c>
      <c r="S84" s="66"/>
      <c r="T84" s="159"/>
      <c r="AMD84" s="153"/>
      <c r="AME84" s="153"/>
      <c r="AMF84" s="153"/>
      <c r="AMG84" s="153"/>
      <c r="AMH84" s="153"/>
      <c r="AMI84" s="153"/>
      <c r="AMJ84" s="153"/>
    </row>
    <row r="85" s="135" customFormat="true" ht="14.25" hidden="true" customHeight="true" outlineLevel="0" collapsed="false">
      <c r="A85" s="126" t="n">
        <f aca="false">ROW()-8</f>
        <v>77</v>
      </c>
      <c r="B85" s="127"/>
      <c r="C85" s="127"/>
      <c r="D85" s="127" t="s">
        <v>1471</v>
      </c>
      <c r="E85" s="127"/>
      <c r="F85" s="127"/>
      <c r="G85" s="127"/>
      <c r="H85" s="62" t="s">
        <v>1472</v>
      </c>
      <c r="I85" s="63"/>
      <c r="J85" s="63" t="s">
        <v>1473</v>
      </c>
      <c r="K85" s="62" t="s">
        <v>163</v>
      </c>
      <c r="L85" s="130"/>
      <c r="M85" s="62" t="s">
        <v>118</v>
      </c>
      <c r="N85" s="136"/>
      <c r="O85" s="65" t="s">
        <v>119</v>
      </c>
      <c r="P85" s="65"/>
      <c r="Q85" s="65"/>
      <c r="S85" s="191"/>
      <c r="AMD85" s="153"/>
      <c r="AME85" s="153"/>
      <c r="AMF85" s="153"/>
      <c r="AMG85" s="153"/>
      <c r="AMH85" s="153"/>
      <c r="AMI85" s="153"/>
      <c r="AMJ85" s="153"/>
    </row>
    <row r="86" s="135" customFormat="true" ht="14.25" hidden="true" customHeight="true" outlineLevel="0" collapsed="false">
      <c r="A86" s="126" t="n">
        <f aca="false">ROW()-8</f>
        <v>78</v>
      </c>
      <c r="B86" s="127"/>
      <c r="C86" s="127" t="s">
        <v>1474</v>
      </c>
      <c r="D86" s="127"/>
      <c r="E86" s="139"/>
      <c r="F86" s="139"/>
      <c r="G86" s="139"/>
      <c r="H86" s="62" t="s">
        <v>1475</v>
      </c>
      <c r="I86" s="63"/>
      <c r="J86" s="63" t="s">
        <v>1476</v>
      </c>
      <c r="K86" s="62" t="s">
        <v>1247</v>
      </c>
      <c r="L86" s="130" t="s">
        <v>119</v>
      </c>
      <c r="M86" s="140" t="s">
        <v>1476</v>
      </c>
      <c r="N86" s="136"/>
      <c r="O86" s="65" t="s">
        <v>119</v>
      </c>
      <c r="P86" s="143" t="s">
        <v>119</v>
      </c>
      <c r="Q86" s="65" t="s">
        <v>119</v>
      </c>
      <c r="S86" s="66"/>
      <c r="AMD86" s="67"/>
      <c r="AME86" s="67"/>
      <c r="AMF86" s="67"/>
      <c r="AMG86" s="67"/>
      <c r="AMH86" s="67"/>
      <c r="AMI86" s="67"/>
      <c r="AMJ86" s="67"/>
    </row>
    <row r="87" s="135" customFormat="true" ht="14.25" hidden="true" customHeight="true" outlineLevel="0" collapsed="false">
      <c r="A87" s="126" t="n">
        <f aca="false">ROW()-8</f>
        <v>79</v>
      </c>
      <c r="B87" s="127"/>
      <c r="C87" s="127"/>
      <c r="D87" s="127" t="s">
        <v>1477</v>
      </c>
      <c r="E87" s="127"/>
      <c r="F87" s="127"/>
      <c r="G87" s="127"/>
      <c r="H87" s="62" t="s">
        <v>1478</v>
      </c>
      <c r="I87" s="63" t="s">
        <v>1479</v>
      </c>
      <c r="J87" s="63" t="s">
        <v>1313</v>
      </c>
      <c r="K87" s="62" t="s">
        <v>117</v>
      </c>
      <c r="L87" s="130"/>
      <c r="M87" s="62" t="s">
        <v>118</v>
      </c>
      <c r="N87" s="136" t="s">
        <v>1480</v>
      </c>
      <c r="O87" s="65" t="s">
        <v>119</v>
      </c>
      <c r="P87" s="143" t="s">
        <v>119</v>
      </c>
      <c r="Q87" s="65" t="s">
        <v>119</v>
      </c>
      <c r="S87" s="66"/>
      <c r="AMD87" s="67"/>
      <c r="AME87" s="67"/>
      <c r="AMF87" s="67"/>
      <c r="AMG87" s="67"/>
      <c r="AMH87" s="67"/>
      <c r="AMI87" s="67"/>
      <c r="AMJ87" s="67"/>
    </row>
    <row r="88" s="135" customFormat="true" ht="14.25" hidden="true" customHeight="true" outlineLevel="0" collapsed="false">
      <c r="A88" s="126" t="n">
        <f aca="false">ROW()-8</f>
        <v>80</v>
      </c>
      <c r="B88" s="127"/>
      <c r="C88" s="127"/>
      <c r="D88" s="127" t="s">
        <v>1481</v>
      </c>
      <c r="E88" s="127"/>
      <c r="F88" s="127"/>
      <c r="G88" s="127"/>
      <c r="H88" s="62" t="s">
        <v>1482</v>
      </c>
      <c r="I88" s="63" t="s">
        <v>1483</v>
      </c>
      <c r="J88" s="63" t="s">
        <v>1281</v>
      </c>
      <c r="K88" s="62" t="s">
        <v>163</v>
      </c>
      <c r="L88" s="130"/>
      <c r="M88" s="62" t="s">
        <v>118</v>
      </c>
      <c r="N88" s="136" t="s">
        <v>1484</v>
      </c>
      <c r="O88" s="64" t="s">
        <v>117</v>
      </c>
      <c r="P88" s="143" t="s">
        <v>119</v>
      </c>
      <c r="Q88" s="65" t="s">
        <v>119</v>
      </c>
      <c r="S88" s="66"/>
      <c r="AMD88" s="67"/>
      <c r="AME88" s="67"/>
      <c r="AMF88" s="67"/>
      <c r="AMG88" s="67"/>
      <c r="AMH88" s="67"/>
      <c r="AMI88" s="67"/>
      <c r="AMJ88" s="67"/>
    </row>
    <row r="89" s="135" customFormat="true" ht="14.25" hidden="true" customHeight="true" outlineLevel="0" collapsed="false">
      <c r="A89" s="126" t="n">
        <f aca="false">ROW()-8</f>
        <v>81</v>
      </c>
      <c r="B89" s="127"/>
      <c r="C89" s="127"/>
      <c r="D89" s="127" t="s">
        <v>1335</v>
      </c>
      <c r="E89" s="127"/>
      <c r="F89" s="127"/>
      <c r="G89" s="127"/>
      <c r="H89" s="62" t="s">
        <v>1485</v>
      </c>
      <c r="I89" s="63" t="s">
        <v>1486</v>
      </c>
      <c r="J89" s="63" t="s">
        <v>1487</v>
      </c>
      <c r="K89" s="62" t="s">
        <v>117</v>
      </c>
      <c r="L89" s="130"/>
      <c r="M89" s="152" t="s">
        <v>118</v>
      </c>
      <c r="N89" s="136"/>
      <c r="O89" s="65" t="s">
        <v>119</v>
      </c>
      <c r="P89" s="143" t="s">
        <v>119</v>
      </c>
      <c r="Q89" s="65" t="s">
        <v>119</v>
      </c>
      <c r="S89" s="180"/>
      <c r="AMD89" s="61"/>
      <c r="AME89" s="61"/>
      <c r="AMF89" s="61"/>
      <c r="AMG89" s="61"/>
      <c r="AMH89" s="61"/>
      <c r="AMI89" s="61"/>
      <c r="AMJ89" s="61"/>
    </row>
    <row r="90" s="135" customFormat="true" ht="14.25" hidden="true" customHeight="true" outlineLevel="0" collapsed="false">
      <c r="A90" s="126" t="n">
        <f aca="false">ROW()-8</f>
        <v>82</v>
      </c>
      <c r="B90" s="127"/>
      <c r="C90" s="127" t="s">
        <v>1488</v>
      </c>
      <c r="D90" s="127"/>
      <c r="E90" s="127"/>
      <c r="F90" s="127"/>
      <c r="G90" s="127"/>
      <c r="H90" s="62"/>
      <c r="I90" s="63" t="s">
        <v>1489</v>
      </c>
      <c r="J90" s="62" t="s">
        <v>1490</v>
      </c>
      <c r="K90" s="62" t="s">
        <v>117</v>
      </c>
      <c r="L90" s="130"/>
      <c r="M90" s="152" t="s">
        <v>118</v>
      </c>
      <c r="N90" s="136" t="s">
        <v>1491</v>
      </c>
      <c r="O90" s="65" t="s">
        <v>119</v>
      </c>
      <c r="P90" s="65"/>
      <c r="Q90" s="65"/>
      <c r="S90" s="180"/>
      <c r="AMD90" s="67"/>
      <c r="AME90" s="67"/>
      <c r="AMF90" s="67"/>
      <c r="AMG90" s="67"/>
      <c r="AMH90" s="67"/>
      <c r="AMI90" s="67"/>
      <c r="AMJ90" s="67"/>
    </row>
    <row r="91" s="135" customFormat="true" ht="13.5" hidden="true" customHeight="true" outlineLevel="0" collapsed="false">
      <c r="A91" s="126" t="n">
        <f aca="false">ROW()-8</f>
        <v>83</v>
      </c>
      <c r="B91" s="127"/>
      <c r="C91" s="127" t="s">
        <v>1492</v>
      </c>
      <c r="D91" s="127"/>
      <c r="E91" s="127"/>
      <c r="F91" s="127"/>
      <c r="G91" s="127"/>
      <c r="H91" s="62" t="s">
        <v>1493</v>
      </c>
      <c r="I91" s="63" t="s">
        <v>1494</v>
      </c>
      <c r="J91" s="63" t="s">
        <v>1313</v>
      </c>
      <c r="K91" s="62" t="s">
        <v>163</v>
      </c>
      <c r="L91" s="130"/>
      <c r="M91" s="62" t="s">
        <v>118</v>
      </c>
      <c r="N91" s="136"/>
      <c r="O91" s="65" t="s">
        <v>119</v>
      </c>
      <c r="P91" s="65" t="s">
        <v>119</v>
      </c>
      <c r="Q91" s="65"/>
      <c r="S91" s="180"/>
      <c r="AMD91" s="67"/>
      <c r="AME91" s="67"/>
      <c r="AMF91" s="67"/>
      <c r="AMG91" s="67"/>
      <c r="AMH91" s="67"/>
      <c r="AMI91" s="67"/>
      <c r="AMJ91" s="67"/>
    </row>
    <row r="92" s="135" customFormat="true" ht="13.5" hidden="false" customHeight="true" outlineLevel="0" collapsed="false">
      <c r="A92" s="126" t="n">
        <f aca="false">ROW()-8</f>
        <v>84</v>
      </c>
      <c r="B92" s="127" t="s">
        <v>1495</v>
      </c>
      <c r="C92" s="139"/>
      <c r="D92" s="139"/>
      <c r="E92" s="139"/>
      <c r="F92" s="139"/>
      <c r="G92" s="139"/>
      <c r="H92" s="62" t="s">
        <v>1496</v>
      </c>
      <c r="I92" s="63"/>
      <c r="J92" s="63" t="s">
        <v>1497</v>
      </c>
      <c r="K92" s="62" t="s">
        <v>163</v>
      </c>
      <c r="L92" s="130" t="s">
        <v>119</v>
      </c>
      <c r="M92" s="140" t="s">
        <v>1498</v>
      </c>
      <c r="N92" s="136"/>
      <c r="O92" s="65" t="s">
        <v>119</v>
      </c>
      <c r="P92" s="65" t="s">
        <v>119</v>
      </c>
      <c r="Q92" s="65" t="s">
        <v>119</v>
      </c>
      <c r="R92" s="135" t="s">
        <v>119</v>
      </c>
      <c r="S92" s="180"/>
      <c r="T92" s="188"/>
      <c r="AMD92" s="67"/>
      <c r="AME92" s="67"/>
      <c r="AMF92" s="67"/>
      <c r="AMG92" s="67"/>
      <c r="AMH92" s="67"/>
      <c r="AMI92" s="67"/>
      <c r="AMJ92" s="67"/>
    </row>
    <row r="93" s="135" customFormat="true" ht="13.5" hidden="true" customHeight="true" outlineLevel="0" collapsed="false">
      <c r="A93" s="126" t="n">
        <f aca="false">ROW()-8</f>
        <v>85</v>
      </c>
      <c r="B93" s="127"/>
      <c r="C93" s="129" t="s">
        <v>1499</v>
      </c>
      <c r="D93" s="129"/>
      <c r="E93" s="129"/>
      <c r="F93" s="129"/>
      <c r="G93" s="129"/>
      <c r="H93" s="62" t="s">
        <v>1500</v>
      </c>
      <c r="I93" s="63" t="s">
        <v>1501</v>
      </c>
      <c r="J93" s="63" t="s">
        <v>1502</v>
      </c>
      <c r="K93" s="62" t="s">
        <v>117</v>
      </c>
      <c r="L93" s="130"/>
      <c r="M93" s="62" t="s">
        <v>118</v>
      </c>
      <c r="N93" s="136"/>
      <c r="O93" s="65" t="s">
        <v>119</v>
      </c>
      <c r="P93" s="65"/>
      <c r="Q93" s="65"/>
      <c r="S93" s="180"/>
      <c r="AMD93" s="61"/>
      <c r="AME93" s="61"/>
      <c r="AMF93" s="61"/>
      <c r="AMG93" s="61"/>
      <c r="AMH93" s="61"/>
      <c r="AMI93" s="61"/>
      <c r="AMJ93" s="61"/>
    </row>
    <row r="94" s="135" customFormat="true" ht="13.5" hidden="false" customHeight="true" outlineLevel="0" collapsed="false">
      <c r="A94" s="126" t="n">
        <f aca="false">ROW()-8</f>
        <v>86</v>
      </c>
      <c r="B94" s="127"/>
      <c r="C94" s="129" t="s">
        <v>1503</v>
      </c>
      <c r="D94" s="127"/>
      <c r="E94" s="127"/>
      <c r="F94" s="127"/>
      <c r="G94" s="127"/>
      <c r="H94" s="62" t="s">
        <v>1504</v>
      </c>
      <c r="I94" s="63" t="s">
        <v>1505</v>
      </c>
      <c r="J94" s="63" t="s">
        <v>1506</v>
      </c>
      <c r="K94" s="62" t="s">
        <v>117</v>
      </c>
      <c r="L94" s="130"/>
      <c r="M94" s="62" t="s">
        <v>134</v>
      </c>
      <c r="N94" s="136" t="s">
        <v>1216</v>
      </c>
      <c r="O94" s="65" t="s">
        <v>119</v>
      </c>
      <c r="P94" s="65" t="s">
        <v>119</v>
      </c>
      <c r="Q94" s="134"/>
      <c r="R94" s="135" t="s">
        <v>119</v>
      </c>
      <c r="S94" s="180"/>
      <c r="T94" s="188"/>
      <c r="AMD94" s="67"/>
      <c r="AME94" s="67"/>
      <c r="AMF94" s="67"/>
      <c r="AMG94" s="67"/>
      <c r="AMH94" s="67"/>
      <c r="AMI94" s="67"/>
      <c r="AMJ94" s="67"/>
    </row>
    <row r="95" s="134" customFormat="true" ht="13.5" hidden="false" customHeight="true" outlineLevel="0" collapsed="false">
      <c r="A95" s="185" t="n">
        <f aca="false">ROW()-8</f>
        <v>87</v>
      </c>
      <c r="B95" s="156"/>
      <c r="C95" s="156" t="s">
        <v>1883</v>
      </c>
      <c r="D95" s="156"/>
      <c r="E95" s="156"/>
      <c r="F95" s="156"/>
      <c r="G95" s="156"/>
      <c r="H95" s="142" t="s">
        <v>1884</v>
      </c>
      <c r="I95" s="175" t="s">
        <v>1505</v>
      </c>
      <c r="J95" s="175" t="s">
        <v>1885</v>
      </c>
      <c r="K95" s="142" t="s">
        <v>117</v>
      </c>
      <c r="L95" s="186"/>
      <c r="M95" s="142" t="s">
        <v>134</v>
      </c>
      <c r="N95" s="142" t="s">
        <v>1216</v>
      </c>
      <c r="R95" s="134" t="s">
        <v>119</v>
      </c>
      <c r="S95" s="180"/>
      <c r="T95" s="159"/>
      <c r="AMD95" s="145"/>
      <c r="AME95" s="145"/>
      <c r="AMF95" s="145"/>
      <c r="AMG95" s="145"/>
      <c r="AMH95" s="145"/>
      <c r="AMI95" s="145"/>
      <c r="AMJ95" s="145"/>
    </row>
    <row r="96" s="135" customFormat="true" ht="13.5" hidden="false" customHeight="true" outlineLevel="0" collapsed="false">
      <c r="A96" s="126" t="n">
        <f aca="false">ROW()-8</f>
        <v>88</v>
      </c>
      <c r="B96" s="127"/>
      <c r="C96" s="156" t="s">
        <v>1886</v>
      </c>
      <c r="D96" s="129"/>
      <c r="E96" s="129"/>
      <c r="F96" s="129"/>
      <c r="G96" s="129"/>
      <c r="H96" s="142" t="s">
        <v>1887</v>
      </c>
      <c r="I96" s="63"/>
      <c r="J96" s="175" t="s">
        <v>1888</v>
      </c>
      <c r="K96" s="62"/>
      <c r="L96" s="130"/>
      <c r="M96" s="142" t="s">
        <v>118</v>
      </c>
      <c r="N96" s="62"/>
      <c r="O96" s="65"/>
      <c r="P96" s="65"/>
      <c r="Q96" s="65"/>
      <c r="R96" s="134" t="s">
        <v>119</v>
      </c>
      <c r="S96" s="180"/>
      <c r="T96" s="188"/>
      <c r="AMD96" s="145"/>
      <c r="AME96" s="145"/>
      <c r="AMF96" s="145"/>
      <c r="AMG96" s="145"/>
      <c r="AMH96" s="145"/>
      <c r="AMI96" s="145"/>
      <c r="AMJ96" s="145"/>
    </row>
    <row r="97" s="135" customFormat="true" ht="13.5" hidden="false" customHeight="true" outlineLevel="0" collapsed="false">
      <c r="A97" s="126" t="n">
        <f aca="false">ROW()-8</f>
        <v>89</v>
      </c>
      <c r="B97" s="127"/>
      <c r="C97" s="129" t="s">
        <v>1507</v>
      </c>
      <c r="D97" s="127"/>
      <c r="E97" s="133"/>
      <c r="F97" s="150"/>
      <c r="G97" s="150"/>
      <c r="H97" s="62" t="s">
        <v>1508</v>
      </c>
      <c r="I97" s="63" t="s">
        <v>1509</v>
      </c>
      <c r="J97" s="63" t="s">
        <v>1510</v>
      </c>
      <c r="K97" s="142" t="s">
        <v>163</v>
      </c>
      <c r="L97" s="130"/>
      <c r="M97" s="62" t="s">
        <v>118</v>
      </c>
      <c r="N97" s="136" t="s">
        <v>1511</v>
      </c>
      <c r="O97" s="65" t="s">
        <v>119</v>
      </c>
      <c r="P97" s="65"/>
      <c r="Q97" s="65"/>
      <c r="R97" s="135" t="s">
        <v>119</v>
      </c>
      <c r="S97" s="180"/>
      <c r="T97" s="188"/>
      <c r="AMD97" s="154"/>
      <c r="AME97" s="154"/>
      <c r="AMF97" s="154"/>
      <c r="AMG97" s="154"/>
      <c r="AMH97" s="154"/>
      <c r="AMI97" s="154"/>
      <c r="AMJ97" s="154"/>
    </row>
    <row r="98" s="135" customFormat="true" ht="13.5" hidden="false" customHeight="true" outlineLevel="0" collapsed="false">
      <c r="A98" s="126" t="n">
        <f aca="false">ROW()-8</f>
        <v>90</v>
      </c>
      <c r="B98" s="127"/>
      <c r="C98" s="127" t="s">
        <v>1512</v>
      </c>
      <c r="D98" s="127"/>
      <c r="E98" s="139"/>
      <c r="F98" s="139"/>
      <c r="G98" s="139"/>
      <c r="H98" s="62" t="s">
        <v>1513</v>
      </c>
      <c r="I98" s="63"/>
      <c r="J98" s="63" t="s">
        <v>1514</v>
      </c>
      <c r="K98" s="62" t="s">
        <v>1247</v>
      </c>
      <c r="L98" s="130" t="s">
        <v>119</v>
      </c>
      <c r="M98" s="140" t="s">
        <v>1514</v>
      </c>
      <c r="N98" s="62"/>
      <c r="O98" s="65" t="s">
        <v>119</v>
      </c>
      <c r="P98" s="65" t="s">
        <v>119</v>
      </c>
      <c r="Q98" s="65" t="s">
        <v>119</v>
      </c>
      <c r="R98" s="135" t="s">
        <v>119</v>
      </c>
      <c r="S98" s="180"/>
      <c r="T98" s="188"/>
      <c r="AMD98" s="67"/>
      <c r="AME98" s="67"/>
      <c r="AMF98" s="67"/>
      <c r="AMG98" s="67"/>
      <c r="AMH98" s="67"/>
      <c r="AMI98" s="67"/>
      <c r="AMJ98" s="67"/>
    </row>
    <row r="99" s="135" customFormat="true" ht="13.5" hidden="false" customHeight="true" outlineLevel="0" collapsed="false">
      <c r="A99" s="126" t="n">
        <f aca="false">ROW()-8</f>
        <v>91</v>
      </c>
      <c r="B99" s="127"/>
      <c r="C99" s="127"/>
      <c r="D99" s="129" t="s">
        <v>1515</v>
      </c>
      <c r="E99" s="129"/>
      <c r="F99" s="129"/>
      <c r="G99" s="129"/>
      <c r="H99" s="62" t="s">
        <v>1516</v>
      </c>
      <c r="I99" s="63"/>
      <c r="J99" s="63" t="s">
        <v>1215</v>
      </c>
      <c r="K99" s="62" t="s">
        <v>163</v>
      </c>
      <c r="L99" s="130"/>
      <c r="M99" s="62" t="s">
        <v>134</v>
      </c>
      <c r="N99" s="62" t="s">
        <v>1216</v>
      </c>
      <c r="O99" s="65" t="s">
        <v>119</v>
      </c>
      <c r="P99" s="65" t="s">
        <v>119</v>
      </c>
      <c r="Q99" s="65" t="s">
        <v>119</v>
      </c>
      <c r="R99" s="135" t="s">
        <v>119</v>
      </c>
      <c r="S99" s="180"/>
      <c r="T99" s="188"/>
      <c r="AMD99" s="67"/>
      <c r="AME99" s="67"/>
      <c r="AMF99" s="67"/>
      <c r="AMG99" s="67"/>
      <c r="AMH99" s="67"/>
      <c r="AMI99" s="67"/>
      <c r="AMJ99" s="67"/>
    </row>
    <row r="100" s="135" customFormat="true" ht="13.5" hidden="false" customHeight="true" outlineLevel="0" collapsed="false">
      <c r="A100" s="126" t="n">
        <f aca="false">ROW()-8</f>
        <v>92</v>
      </c>
      <c r="B100" s="127"/>
      <c r="C100" s="127"/>
      <c r="D100" s="129" t="s">
        <v>1517</v>
      </c>
      <c r="E100" s="129"/>
      <c r="F100" s="129"/>
      <c r="G100" s="129"/>
      <c r="H100" s="62" t="s">
        <v>1518</v>
      </c>
      <c r="I100" s="63" t="s">
        <v>1519</v>
      </c>
      <c r="J100" s="63" t="s">
        <v>1313</v>
      </c>
      <c r="K100" s="62" t="s">
        <v>163</v>
      </c>
      <c r="L100" s="130"/>
      <c r="M100" s="62" t="s">
        <v>118</v>
      </c>
      <c r="N100" s="62"/>
      <c r="O100" s="65" t="s">
        <v>119</v>
      </c>
      <c r="P100" s="65" t="s">
        <v>119</v>
      </c>
      <c r="Q100" s="65" t="s">
        <v>119</v>
      </c>
      <c r="R100" s="135" t="s">
        <v>119</v>
      </c>
      <c r="S100" s="180"/>
      <c r="T100" s="188"/>
      <c r="AMD100" s="67"/>
      <c r="AME100" s="67"/>
      <c r="AMF100" s="67"/>
      <c r="AMG100" s="67"/>
      <c r="AMH100" s="67"/>
      <c r="AMI100" s="67"/>
      <c r="AMJ100" s="67"/>
    </row>
    <row r="101" s="135" customFormat="true" ht="13.5" hidden="false" customHeight="true" outlineLevel="0" collapsed="false">
      <c r="A101" s="126" t="n">
        <f aca="false">ROW()-8</f>
        <v>93</v>
      </c>
      <c r="B101" s="127"/>
      <c r="C101" s="129" t="s">
        <v>1520</v>
      </c>
      <c r="D101" s="139"/>
      <c r="E101" s="139"/>
      <c r="F101" s="139"/>
      <c r="G101" s="139"/>
      <c r="H101" s="62" t="s">
        <v>1521</v>
      </c>
      <c r="I101" s="63"/>
      <c r="J101" s="62" t="s">
        <v>1522</v>
      </c>
      <c r="K101" s="62" t="s">
        <v>117</v>
      </c>
      <c r="L101" s="130" t="s">
        <v>119</v>
      </c>
      <c r="M101" s="140" t="s">
        <v>1522</v>
      </c>
      <c r="N101" s="62"/>
      <c r="O101" s="65" t="s">
        <v>119</v>
      </c>
      <c r="P101" s="65" t="s">
        <v>119</v>
      </c>
      <c r="Q101" s="65"/>
      <c r="R101" s="135" t="s">
        <v>119</v>
      </c>
      <c r="S101" s="180"/>
      <c r="T101" s="188"/>
      <c r="AMD101" s="67"/>
      <c r="AME101" s="67"/>
      <c r="AMF101" s="67"/>
      <c r="AMG101" s="67"/>
      <c r="AMH101" s="67"/>
      <c r="AMI101" s="67"/>
      <c r="AMJ101" s="67"/>
    </row>
    <row r="102" s="135" customFormat="true" ht="13.5" hidden="false" customHeight="true" outlineLevel="0" collapsed="false">
      <c r="A102" s="126" t="n">
        <f aca="false">ROW()-8</f>
        <v>94</v>
      </c>
      <c r="B102" s="127"/>
      <c r="C102" s="129"/>
      <c r="D102" s="129" t="s">
        <v>1523</v>
      </c>
      <c r="E102" s="139"/>
      <c r="F102" s="139"/>
      <c r="G102" s="139"/>
      <c r="H102" s="62" t="s">
        <v>1524</v>
      </c>
      <c r="I102" s="63"/>
      <c r="J102" s="63" t="s">
        <v>1525</v>
      </c>
      <c r="K102" s="62" t="s">
        <v>117</v>
      </c>
      <c r="L102" s="130" t="s">
        <v>119</v>
      </c>
      <c r="M102" s="140" t="s">
        <v>1526</v>
      </c>
      <c r="N102" s="136"/>
      <c r="O102" s="65" t="s">
        <v>119</v>
      </c>
      <c r="P102" s="65" t="s">
        <v>119</v>
      </c>
      <c r="Q102" s="65"/>
      <c r="R102" s="135" t="s">
        <v>119</v>
      </c>
      <c r="S102" s="180"/>
      <c r="T102" s="188"/>
      <c r="AMD102" s="67"/>
      <c r="AME102" s="67"/>
      <c r="AMF102" s="67"/>
      <c r="AMG102" s="67"/>
      <c r="AMH102" s="67"/>
      <c r="AMI102" s="67"/>
      <c r="AMJ102" s="67"/>
    </row>
    <row r="103" s="135" customFormat="true" ht="13.5" hidden="false" customHeight="true" outlineLevel="0" collapsed="false">
      <c r="A103" s="126" t="n">
        <f aca="false">ROW()-8</f>
        <v>95</v>
      </c>
      <c r="B103" s="127"/>
      <c r="C103" s="129"/>
      <c r="D103" s="129"/>
      <c r="E103" s="129" t="s">
        <v>1527</v>
      </c>
      <c r="F103" s="129"/>
      <c r="G103" s="129"/>
      <c r="H103" s="62" t="s">
        <v>1528</v>
      </c>
      <c r="I103" s="63" t="s">
        <v>1529</v>
      </c>
      <c r="J103" s="63" t="s">
        <v>1530</v>
      </c>
      <c r="K103" s="62" t="s">
        <v>117</v>
      </c>
      <c r="L103" s="130"/>
      <c r="M103" s="62" t="s">
        <v>118</v>
      </c>
      <c r="N103" s="136" t="s">
        <v>1531</v>
      </c>
      <c r="O103" s="159" t="s">
        <v>119</v>
      </c>
      <c r="P103" s="143" t="s">
        <v>119</v>
      </c>
      <c r="Q103" s="65"/>
      <c r="R103" s="135" t="s">
        <v>119</v>
      </c>
      <c r="S103" s="180"/>
      <c r="T103" s="188"/>
      <c r="AMD103" s="67"/>
      <c r="AME103" s="67"/>
      <c r="AMF103" s="67"/>
      <c r="AMG103" s="67"/>
      <c r="AMH103" s="67"/>
      <c r="AMI103" s="67"/>
      <c r="AMJ103" s="67"/>
    </row>
    <row r="104" s="135" customFormat="true" ht="13.5" hidden="false" customHeight="true" outlineLevel="0" collapsed="false">
      <c r="A104" s="126" t="n">
        <f aca="false">ROW()-8</f>
        <v>96</v>
      </c>
      <c r="B104" s="127"/>
      <c r="C104" s="129"/>
      <c r="D104" s="129"/>
      <c r="E104" s="129" t="s">
        <v>1532</v>
      </c>
      <c r="F104" s="129"/>
      <c r="G104" s="129"/>
      <c r="H104" s="62" t="s">
        <v>1533</v>
      </c>
      <c r="I104" s="63" t="s">
        <v>1534</v>
      </c>
      <c r="J104" s="63" t="s">
        <v>1281</v>
      </c>
      <c r="K104" s="62" t="s">
        <v>117</v>
      </c>
      <c r="L104" s="130"/>
      <c r="M104" s="62" t="s">
        <v>118</v>
      </c>
      <c r="N104" s="136" t="s">
        <v>1535</v>
      </c>
      <c r="O104" s="159" t="s">
        <v>119</v>
      </c>
      <c r="P104" s="143" t="s">
        <v>119</v>
      </c>
      <c r="Q104" s="65"/>
      <c r="R104" s="135" t="s">
        <v>119</v>
      </c>
      <c r="S104" s="180"/>
      <c r="T104" s="188"/>
      <c r="AMD104" s="67"/>
      <c r="AME104" s="67"/>
      <c r="AMF104" s="67"/>
      <c r="AMG104" s="67"/>
      <c r="AMH104" s="67"/>
      <c r="AMI104" s="67"/>
      <c r="AMJ104" s="67"/>
    </row>
    <row r="105" s="135" customFormat="true" ht="14.25" hidden="false" customHeight="true" outlineLevel="0" collapsed="false">
      <c r="A105" s="126" t="n">
        <f aca="false">ROW()-8</f>
        <v>97</v>
      </c>
      <c r="B105" s="30"/>
      <c r="C105" s="67"/>
      <c r="D105" s="67"/>
      <c r="E105" s="67" t="s">
        <v>1536</v>
      </c>
      <c r="F105" s="67"/>
      <c r="G105" s="60"/>
      <c r="H105" s="60" t="s">
        <v>1537</v>
      </c>
      <c r="I105" s="160" t="s">
        <v>1538</v>
      </c>
      <c r="J105" s="63" t="s">
        <v>1390</v>
      </c>
      <c r="K105" s="62" t="s">
        <v>117</v>
      </c>
      <c r="L105" s="130"/>
      <c r="M105" s="62" t="s">
        <v>118</v>
      </c>
      <c r="N105" s="136"/>
      <c r="O105" s="70" t="s">
        <v>119</v>
      </c>
      <c r="P105" s="70" t="s">
        <v>119</v>
      </c>
      <c r="Q105" s="65"/>
      <c r="R105" s="135" t="s">
        <v>119</v>
      </c>
      <c r="S105" s="180"/>
      <c r="T105" s="188"/>
      <c r="AMD105" s="0"/>
      <c r="AME105" s="0"/>
      <c r="AMF105" s="0"/>
      <c r="AMG105" s="0"/>
      <c r="AMH105" s="0"/>
      <c r="AMI105" s="0"/>
      <c r="AMJ105" s="0"/>
    </row>
    <row r="106" s="135" customFormat="true" ht="13.5" hidden="false" customHeight="true" outlineLevel="0" collapsed="false">
      <c r="A106" s="126" t="n">
        <f aca="false">ROW()-8</f>
        <v>98</v>
      </c>
      <c r="B106" s="127"/>
      <c r="C106" s="129"/>
      <c r="D106" s="129" t="s">
        <v>1539</v>
      </c>
      <c r="E106" s="139" t="s">
        <v>1540</v>
      </c>
      <c r="F106" s="139"/>
      <c r="G106" s="139"/>
      <c r="H106" s="62" t="s">
        <v>1541</v>
      </c>
      <c r="I106" s="63"/>
      <c r="J106" s="63" t="s">
        <v>1542</v>
      </c>
      <c r="K106" s="62" t="s">
        <v>163</v>
      </c>
      <c r="L106" s="130" t="s">
        <v>119</v>
      </c>
      <c r="M106" s="140" t="s">
        <v>1526</v>
      </c>
      <c r="N106" s="136"/>
      <c r="O106" s="65" t="s">
        <v>119</v>
      </c>
      <c r="P106" s="65" t="s">
        <v>119</v>
      </c>
      <c r="Q106" s="65"/>
      <c r="R106" s="135" t="s">
        <v>119</v>
      </c>
      <c r="S106" s="180"/>
      <c r="T106" s="188"/>
      <c r="AMD106" s="67"/>
      <c r="AME106" s="67"/>
      <c r="AMF106" s="67"/>
      <c r="AMG106" s="67"/>
      <c r="AMH106" s="67"/>
      <c r="AMI106" s="67"/>
      <c r="AMJ106" s="67"/>
    </row>
    <row r="107" s="135" customFormat="true" ht="13.5" hidden="true" customHeight="true" outlineLevel="0" collapsed="false">
      <c r="A107" s="126" t="n">
        <f aca="false">ROW()-8</f>
        <v>99</v>
      </c>
      <c r="B107" s="127"/>
      <c r="C107" s="129"/>
      <c r="D107" s="129" t="s">
        <v>1543</v>
      </c>
      <c r="E107" s="129"/>
      <c r="F107" s="129"/>
      <c r="G107" s="129"/>
      <c r="H107" s="62" t="s">
        <v>1544</v>
      </c>
      <c r="I107" s="63" t="s">
        <v>1545</v>
      </c>
      <c r="J107" s="63" t="s">
        <v>1546</v>
      </c>
      <c r="K107" s="62" t="s">
        <v>163</v>
      </c>
      <c r="L107" s="130"/>
      <c r="M107" s="62" t="s">
        <v>118</v>
      </c>
      <c r="N107" s="136" t="s">
        <v>1547</v>
      </c>
      <c r="O107" s="65" t="s">
        <v>119</v>
      </c>
      <c r="P107" s="65" t="s">
        <v>119</v>
      </c>
      <c r="Q107" s="65"/>
      <c r="R107" s="161"/>
      <c r="S107" s="180"/>
      <c r="AMD107" s="67"/>
      <c r="AME107" s="67"/>
      <c r="AMF107" s="67"/>
      <c r="AMG107" s="67"/>
      <c r="AMH107" s="67"/>
      <c r="AMI107" s="67"/>
      <c r="AMJ107" s="67"/>
    </row>
    <row r="108" s="135" customFormat="true" ht="13.5" hidden="true" customHeight="true" outlineLevel="0" collapsed="false">
      <c r="A108" s="126" t="n">
        <f aca="false">ROW()-8</f>
        <v>100</v>
      </c>
      <c r="B108" s="127"/>
      <c r="C108" s="129"/>
      <c r="D108" s="129" t="s">
        <v>1548</v>
      </c>
      <c r="E108" s="129"/>
      <c r="F108" s="129"/>
      <c r="G108" s="129"/>
      <c r="H108" s="62" t="s">
        <v>1549</v>
      </c>
      <c r="I108" s="63" t="s">
        <v>1550</v>
      </c>
      <c r="J108" s="63" t="s">
        <v>1281</v>
      </c>
      <c r="K108" s="62" t="s">
        <v>163</v>
      </c>
      <c r="L108" s="130"/>
      <c r="M108" s="62" t="s">
        <v>118</v>
      </c>
      <c r="N108" s="62" t="s">
        <v>1551</v>
      </c>
      <c r="O108" s="143" t="s">
        <v>119</v>
      </c>
      <c r="P108" s="65" t="s">
        <v>119</v>
      </c>
      <c r="Q108" s="65"/>
      <c r="R108" s="161"/>
      <c r="S108" s="180"/>
      <c r="AMD108" s="67"/>
      <c r="AME108" s="67"/>
      <c r="AMF108" s="67"/>
      <c r="AMG108" s="67"/>
      <c r="AMH108" s="67"/>
      <c r="AMI108" s="67"/>
      <c r="AMJ108" s="67"/>
    </row>
    <row r="109" s="135" customFormat="true" ht="13.5" hidden="true" customHeight="true" outlineLevel="0" collapsed="false">
      <c r="A109" s="126" t="n">
        <f aca="false">ROW()-8</f>
        <v>101</v>
      </c>
      <c r="B109" s="127"/>
      <c r="C109" s="129"/>
      <c r="D109" s="129" t="s">
        <v>1552</v>
      </c>
      <c r="E109" s="129"/>
      <c r="F109" s="129"/>
      <c r="G109" s="129"/>
      <c r="H109" s="62" t="s">
        <v>1553</v>
      </c>
      <c r="I109" s="63" t="s">
        <v>1554</v>
      </c>
      <c r="J109" s="63" t="s">
        <v>1555</v>
      </c>
      <c r="K109" s="62" t="s">
        <v>163</v>
      </c>
      <c r="L109" s="130"/>
      <c r="M109" s="62" t="s">
        <v>118</v>
      </c>
      <c r="N109" s="62" t="s">
        <v>1556</v>
      </c>
      <c r="O109" s="143" t="s">
        <v>119</v>
      </c>
      <c r="P109" s="65" t="s">
        <v>119</v>
      </c>
      <c r="Q109" s="65"/>
      <c r="R109" s="161"/>
      <c r="S109" s="180"/>
      <c r="AMD109" s="67"/>
      <c r="AME109" s="67"/>
      <c r="AMF109" s="67"/>
      <c r="AMG109" s="67"/>
      <c r="AMH109" s="67"/>
      <c r="AMI109" s="67"/>
      <c r="AMJ109" s="67"/>
    </row>
    <row r="110" s="135" customFormat="true" ht="13.5" hidden="true" customHeight="true" outlineLevel="0" collapsed="false">
      <c r="A110" s="126" t="n">
        <f aca="false">ROW()-8</f>
        <v>102</v>
      </c>
      <c r="B110" s="127"/>
      <c r="C110" s="129"/>
      <c r="D110" s="129" t="s">
        <v>1557</v>
      </c>
      <c r="E110" s="129"/>
      <c r="F110" s="129"/>
      <c r="G110" s="129"/>
      <c r="H110" s="62" t="s">
        <v>1558</v>
      </c>
      <c r="I110" s="63" t="s">
        <v>1559</v>
      </c>
      <c r="J110" s="63" t="s">
        <v>1313</v>
      </c>
      <c r="K110" s="62" t="s">
        <v>163</v>
      </c>
      <c r="L110" s="130"/>
      <c r="M110" s="62" t="s">
        <v>118</v>
      </c>
      <c r="N110" s="142"/>
      <c r="O110" s="65" t="s">
        <v>119</v>
      </c>
      <c r="P110" s="65" t="s">
        <v>119</v>
      </c>
      <c r="Q110" s="65"/>
      <c r="S110" s="180"/>
      <c r="AMD110" s="67"/>
      <c r="AME110" s="67"/>
      <c r="AMF110" s="67"/>
      <c r="AMG110" s="67"/>
      <c r="AMH110" s="67"/>
      <c r="AMI110" s="67"/>
      <c r="AMJ110" s="67"/>
    </row>
    <row r="111" s="135" customFormat="true" ht="13.5" hidden="false" customHeight="true" outlineLevel="0" collapsed="false">
      <c r="A111" s="126" t="n">
        <f aca="false">ROW()-8</f>
        <v>103</v>
      </c>
      <c r="B111" s="127"/>
      <c r="C111" s="129"/>
      <c r="D111" s="129" t="s">
        <v>1560</v>
      </c>
      <c r="E111" s="139"/>
      <c r="F111" s="139"/>
      <c r="G111" s="139"/>
      <c r="H111" s="62" t="s">
        <v>1561</v>
      </c>
      <c r="I111" s="63"/>
      <c r="J111" s="63" t="s">
        <v>1562</v>
      </c>
      <c r="K111" s="62" t="s">
        <v>163</v>
      </c>
      <c r="L111" s="130" t="s">
        <v>119</v>
      </c>
      <c r="M111" s="62" t="s">
        <v>1562</v>
      </c>
      <c r="N111" s="62"/>
      <c r="O111" s="65" t="s">
        <v>119</v>
      </c>
      <c r="P111" s="65" t="s">
        <v>119</v>
      </c>
      <c r="Q111" s="65"/>
      <c r="R111" s="135" t="s">
        <v>119</v>
      </c>
      <c r="S111" s="180"/>
      <c r="T111" s="188"/>
      <c r="AMD111" s="67"/>
      <c r="AME111" s="67"/>
      <c r="AMF111" s="67"/>
      <c r="AMG111" s="67"/>
      <c r="AMH111" s="67"/>
      <c r="AMI111" s="67"/>
      <c r="AMJ111" s="67"/>
    </row>
    <row r="112" s="135" customFormat="true" ht="13.5" hidden="false" customHeight="true" outlineLevel="0" collapsed="false">
      <c r="A112" s="126" t="n">
        <f aca="false">ROW()-8</f>
        <v>104</v>
      </c>
      <c r="B112" s="127"/>
      <c r="C112" s="129"/>
      <c r="D112" s="129"/>
      <c r="E112" s="129" t="s">
        <v>1563</v>
      </c>
      <c r="F112" s="129"/>
      <c r="G112" s="129"/>
      <c r="H112" s="62" t="s">
        <v>1564</v>
      </c>
      <c r="I112" s="63" t="s">
        <v>1565</v>
      </c>
      <c r="J112" s="63" t="s">
        <v>1359</v>
      </c>
      <c r="K112" s="62" t="s">
        <v>117</v>
      </c>
      <c r="L112" s="130"/>
      <c r="M112" s="62" t="s">
        <v>118</v>
      </c>
      <c r="N112" s="62" t="s">
        <v>1566</v>
      </c>
      <c r="O112" s="65" t="s">
        <v>119</v>
      </c>
      <c r="P112" s="65" t="s">
        <v>119</v>
      </c>
      <c r="Q112" s="65"/>
      <c r="R112" s="135" t="s">
        <v>119</v>
      </c>
      <c r="S112" s="180"/>
      <c r="T112" s="188"/>
      <c r="AMD112" s="67"/>
      <c r="AME112" s="67"/>
      <c r="AMF112" s="67"/>
      <c r="AMG112" s="67"/>
      <c r="AMH112" s="67"/>
      <c r="AMI112" s="67"/>
      <c r="AMJ112" s="67"/>
    </row>
    <row r="113" s="135" customFormat="true" ht="13.5" hidden="false" customHeight="true" outlineLevel="0" collapsed="false">
      <c r="A113" s="126" t="n">
        <f aca="false">ROW()-8</f>
        <v>105</v>
      </c>
      <c r="B113" s="127"/>
      <c r="C113" s="129"/>
      <c r="D113" s="129"/>
      <c r="E113" s="129" t="s">
        <v>1345</v>
      </c>
      <c r="F113" s="133"/>
      <c r="G113" s="133"/>
      <c r="H113" s="62" t="s">
        <v>1567</v>
      </c>
      <c r="I113" s="62" t="s">
        <v>1404</v>
      </c>
      <c r="J113" s="63" t="s">
        <v>1568</v>
      </c>
      <c r="K113" s="62" t="s">
        <v>163</v>
      </c>
      <c r="L113" s="130"/>
      <c r="M113" s="62" t="s">
        <v>118</v>
      </c>
      <c r="N113" s="62"/>
      <c r="O113" s="65" t="s">
        <v>119</v>
      </c>
      <c r="P113" s="65" t="s">
        <v>119</v>
      </c>
      <c r="Q113" s="65"/>
      <c r="R113" s="135" t="s">
        <v>119</v>
      </c>
      <c r="S113" s="180"/>
      <c r="T113" s="188"/>
      <c r="AMD113" s="67"/>
      <c r="AME113" s="67"/>
      <c r="AMF113" s="67"/>
      <c r="AMG113" s="67"/>
      <c r="AMH113" s="67"/>
      <c r="AMI113" s="67"/>
      <c r="AMJ113" s="67"/>
    </row>
    <row r="114" s="135" customFormat="true" ht="14.25" hidden="false" customHeight="true" outlineLevel="0" collapsed="false">
      <c r="A114" s="126" t="n">
        <f aca="false">ROW()-8</f>
        <v>106</v>
      </c>
      <c r="B114" s="127"/>
      <c r="C114" s="133"/>
      <c r="D114" s="133"/>
      <c r="E114" s="129" t="s">
        <v>1569</v>
      </c>
      <c r="F114" s="133"/>
      <c r="G114" s="133"/>
      <c r="H114" s="62" t="s">
        <v>1570</v>
      </c>
      <c r="I114" s="63" t="s">
        <v>1571</v>
      </c>
      <c r="J114" s="63" t="s">
        <v>1572</v>
      </c>
      <c r="K114" s="62" t="s">
        <v>163</v>
      </c>
      <c r="L114" s="130"/>
      <c r="M114" s="62" t="s">
        <v>118</v>
      </c>
      <c r="N114" s="62"/>
      <c r="O114" s="65" t="s">
        <v>119</v>
      </c>
      <c r="P114" s="65" t="s">
        <v>119</v>
      </c>
      <c r="Q114" s="65"/>
      <c r="R114" s="135" t="s">
        <v>119</v>
      </c>
      <c r="S114" s="180"/>
      <c r="T114" s="188"/>
      <c r="AMD114" s="154"/>
      <c r="AME114" s="154"/>
      <c r="AMF114" s="154"/>
      <c r="AMG114" s="154"/>
      <c r="AMH114" s="154"/>
      <c r="AMI114" s="154"/>
      <c r="AMJ114" s="154"/>
    </row>
    <row r="115" s="134" customFormat="true" ht="13.5" hidden="false" customHeight="true" outlineLevel="0" collapsed="false">
      <c r="A115" s="185" t="n">
        <f aca="false">ROW()-8</f>
        <v>107</v>
      </c>
      <c r="B115" s="156"/>
      <c r="C115" s="156" t="s">
        <v>1889</v>
      </c>
      <c r="D115" s="197" t="s">
        <v>1574</v>
      </c>
      <c r="E115" s="197"/>
      <c r="F115" s="197"/>
      <c r="G115" s="197"/>
      <c r="H115" s="142" t="s">
        <v>1890</v>
      </c>
      <c r="I115" s="175"/>
      <c r="J115" s="175" t="s">
        <v>1891</v>
      </c>
      <c r="K115" s="142" t="s">
        <v>163</v>
      </c>
      <c r="L115" s="186" t="s">
        <v>119</v>
      </c>
      <c r="M115" s="198" t="s">
        <v>1316</v>
      </c>
      <c r="N115" s="142"/>
      <c r="R115" s="134" t="s">
        <v>119</v>
      </c>
      <c r="S115" s="180"/>
      <c r="T115" s="159"/>
      <c r="AMD115" s="145"/>
      <c r="AME115" s="145"/>
      <c r="AMF115" s="145"/>
      <c r="AMG115" s="145"/>
      <c r="AMH115" s="145"/>
      <c r="AMI115" s="145"/>
      <c r="AMJ115" s="145"/>
    </row>
    <row r="116" s="184" customFormat="true" ht="13.5" hidden="true" customHeight="true" outlineLevel="0" collapsed="false">
      <c r="A116" s="199" t="n">
        <f aca="false">ROW()-8</f>
        <v>108</v>
      </c>
      <c r="B116" s="200"/>
      <c r="C116" s="200" t="s">
        <v>1235</v>
      </c>
      <c r="D116" s="201" t="s">
        <v>1576</v>
      </c>
      <c r="E116" s="201"/>
      <c r="F116" s="201"/>
      <c r="G116" s="201"/>
      <c r="H116" s="202" t="s">
        <v>1577</v>
      </c>
      <c r="I116" s="203"/>
      <c r="J116" s="203" t="s">
        <v>1237</v>
      </c>
      <c r="K116" s="202" t="s">
        <v>117</v>
      </c>
      <c r="L116" s="204" t="s">
        <v>119</v>
      </c>
      <c r="M116" s="205" t="s">
        <v>1237</v>
      </c>
      <c r="N116" s="202"/>
      <c r="O116" s="184" t="s">
        <v>119</v>
      </c>
      <c r="S116" s="180"/>
      <c r="AMD116" s="206"/>
      <c r="AME116" s="206"/>
      <c r="AMF116" s="206"/>
      <c r="AMG116" s="206"/>
      <c r="AMH116" s="206"/>
      <c r="AMI116" s="206"/>
      <c r="AMJ116" s="206"/>
    </row>
    <row r="117" s="135" customFormat="true" ht="13.5" hidden="false" customHeight="true" outlineLevel="0" collapsed="false">
      <c r="A117" s="126" t="n">
        <f aca="false">ROW()-8</f>
        <v>109</v>
      </c>
      <c r="B117" s="127"/>
      <c r="C117" s="129" t="s">
        <v>1578</v>
      </c>
      <c r="D117" s="139"/>
      <c r="E117" s="139"/>
      <c r="F117" s="139"/>
      <c r="G117" s="139"/>
      <c r="H117" s="62" t="s">
        <v>1579</v>
      </c>
      <c r="I117" s="63"/>
      <c r="J117" s="63" t="s">
        <v>1580</v>
      </c>
      <c r="K117" s="62" t="s">
        <v>117</v>
      </c>
      <c r="L117" s="130" t="s">
        <v>119</v>
      </c>
      <c r="M117" s="140" t="s">
        <v>1580</v>
      </c>
      <c r="N117" s="62"/>
      <c r="O117" s="159" t="s">
        <v>119</v>
      </c>
      <c r="P117" s="65"/>
      <c r="Q117" s="65"/>
      <c r="R117" s="135" t="s">
        <v>119</v>
      </c>
      <c r="S117" s="180"/>
      <c r="T117" s="188"/>
      <c r="AMD117" s="67"/>
      <c r="AME117" s="67"/>
      <c r="AMF117" s="67"/>
      <c r="AMG117" s="67"/>
      <c r="AMH117" s="67"/>
      <c r="AMI117" s="67"/>
      <c r="AMJ117" s="67"/>
    </row>
    <row r="118" s="135" customFormat="true" ht="13.5" hidden="false" customHeight="true" outlineLevel="0" collapsed="false">
      <c r="A118" s="126" t="n">
        <f aca="false">ROW()-8</f>
        <v>110</v>
      </c>
      <c r="B118" s="127"/>
      <c r="C118" s="129"/>
      <c r="D118" s="127" t="s">
        <v>1581</v>
      </c>
      <c r="E118" s="127"/>
      <c r="F118" s="129"/>
      <c r="G118" s="129"/>
      <c r="H118" s="62" t="s">
        <v>1582</v>
      </c>
      <c r="I118" s="63" t="s">
        <v>1583</v>
      </c>
      <c r="J118" s="62" t="s">
        <v>1584</v>
      </c>
      <c r="K118" s="62" t="s">
        <v>117</v>
      </c>
      <c r="L118" s="130"/>
      <c r="M118" s="62" t="s">
        <v>118</v>
      </c>
      <c r="N118" s="62"/>
      <c r="O118" s="159" t="s">
        <v>119</v>
      </c>
      <c r="P118" s="65"/>
      <c r="Q118" s="65"/>
      <c r="R118" s="135" t="s">
        <v>119</v>
      </c>
      <c r="S118" s="180"/>
      <c r="T118" s="188"/>
      <c r="AMD118" s="67"/>
      <c r="AME118" s="67"/>
      <c r="AMF118" s="67"/>
      <c r="AMG118" s="67"/>
      <c r="AMH118" s="67"/>
      <c r="AMI118" s="67"/>
      <c r="AMJ118" s="67"/>
    </row>
    <row r="119" s="135" customFormat="true" ht="13.5" hidden="false" customHeight="true" outlineLevel="0" collapsed="false">
      <c r="A119" s="126" t="n">
        <f aca="false">ROW()-8</f>
        <v>111</v>
      </c>
      <c r="B119" s="127"/>
      <c r="C119" s="129"/>
      <c r="D119" s="127" t="s">
        <v>1585</v>
      </c>
      <c r="E119" s="127"/>
      <c r="F119" s="129"/>
      <c r="G119" s="129"/>
      <c r="H119" s="62" t="s">
        <v>1586</v>
      </c>
      <c r="I119" s="63" t="s">
        <v>1587</v>
      </c>
      <c r="J119" s="62" t="s">
        <v>1588</v>
      </c>
      <c r="K119" s="62" t="s">
        <v>117</v>
      </c>
      <c r="L119" s="130"/>
      <c r="M119" s="62" t="s">
        <v>118</v>
      </c>
      <c r="N119" s="62"/>
      <c r="O119" s="159" t="s">
        <v>119</v>
      </c>
      <c r="P119" s="65"/>
      <c r="Q119" s="65"/>
      <c r="R119" s="184" t="n">
        <v>1</v>
      </c>
      <c r="S119" s="180"/>
      <c r="AMD119" s="67"/>
      <c r="AME119" s="67"/>
      <c r="AMF119" s="67"/>
      <c r="AMG119" s="67"/>
      <c r="AMH119" s="67"/>
      <c r="AMI119" s="67"/>
      <c r="AMJ119" s="67"/>
    </row>
    <row r="120" s="135" customFormat="true" ht="13.5" hidden="true" customHeight="true" outlineLevel="0" collapsed="false">
      <c r="A120" s="126" t="n">
        <f aca="false">ROW()-8</f>
        <v>112</v>
      </c>
      <c r="B120" s="127"/>
      <c r="C120" s="129"/>
      <c r="D120" s="129" t="s">
        <v>1589</v>
      </c>
      <c r="E120" s="129"/>
      <c r="F120" s="129"/>
      <c r="G120" s="129"/>
      <c r="H120" s="62" t="s">
        <v>1590</v>
      </c>
      <c r="I120" s="63" t="s">
        <v>1591</v>
      </c>
      <c r="J120" s="63" t="s">
        <v>1592</v>
      </c>
      <c r="K120" s="62" t="s">
        <v>163</v>
      </c>
      <c r="L120" s="130"/>
      <c r="M120" s="62" t="s">
        <v>118</v>
      </c>
      <c r="N120" s="62"/>
      <c r="O120" s="65" t="s">
        <v>119</v>
      </c>
      <c r="P120" s="65"/>
      <c r="Q120" s="65"/>
      <c r="S120" s="180"/>
      <c r="AMD120" s="67"/>
      <c r="AME120" s="67"/>
      <c r="AMF120" s="67"/>
      <c r="AMG120" s="67"/>
      <c r="AMH120" s="67"/>
      <c r="AMI120" s="67"/>
      <c r="AMJ120" s="67"/>
    </row>
    <row r="121" s="135" customFormat="true" ht="13.5" hidden="true" customHeight="true" outlineLevel="0" collapsed="false">
      <c r="A121" s="126" t="n">
        <f aca="false">ROW()-8</f>
        <v>113</v>
      </c>
      <c r="B121" s="127"/>
      <c r="C121" s="129"/>
      <c r="D121" s="127" t="s">
        <v>1593</v>
      </c>
      <c r="E121" s="139" t="s">
        <v>1540</v>
      </c>
      <c r="F121" s="139"/>
      <c r="G121" s="139"/>
      <c r="H121" s="62" t="s">
        <v>1594</v>
      </c>
      <c r="I121" s="63"/>
      <c r="J121" s="63" t="s">
        <v>1595</v>
      </c>
      <c r="K121" s="62" t="s">
        <v>163</v>
      </c>
      <c r="L121" s="130" t="s">
        <v>119</v>
      </c>
      <c r="M121" s="140" t="s">
        <v>1526</v>
      </c>
      <c r="N121" s="62"/>
      <c r="O121" s="65" t="s">
        <v>119</v>
      </c>
      <c r="P121" s="65"/>
      <c r="Q121" s="65"/>
      <c r="S121" s="180"/>
      <c r="AMD121" s="67"/>
      <c r="AME121" s="67"/>
      <c r="AMF121" s="67"/>
      <c r="AMG121" s="67"/>
      <c r="AMH121" s="67"/>
      <c r="AMI121" s="67"/>
      <c r="AMJ121" s="67"/>
    </row>
    <row r="122" s="135" customFormat="true" ht="13.5" hidden="false" customHeight="true" outlineLevel="0" collapsed="false">
      <c r="A122" s="126" t="n">
        <f aca="false">ROW()-8</f>
        <v>114</v>
      </c>
      <c r="B122" s="127"/>
      <c r="C122" s="129"/>
      <c r="D122" s="127" t="s">
        <v>1596</v>
      </c>
      <c r="E122" s="129"/>
      <c r="F122" s="129"/>
      <c r="G122" s="129"/>
      <c r="H122" s="62" t="s">
        <v>1597</v>
      </c>
      <c r="I122" s="63" t="s">
        <v>1598</v>
      </c>
      <c r="J122" s="62" t="s">
        <v>1599</v>
      </c>
      <c r="K122" s="62" t="s">
        <v>163</v>
      </c>
      <c r="L122" s="130"/>
      <c r="M122" s="62" t="s">
        <v>118</v>
      </c>
      <c r="N122" s="62"/>
      <c r="O122" s="65" t="s">
        <v>119</v>
      </c>
      <c r="P122" s="65"/>
      <c r="Q122" s="65"/>
      <c r="R122" s="135" t="s">
        <v>119</v>
      </c>
      <c r="S122" s="180"/>
      <c r="T122" s="188"/>
      <c r="AMD122" s="67"/>
      <c r="AME122" s="67"/>
      <c r="AMF122" s="67"/>
      <c r="AMG122" s="67"/>
      <c r="AMH122" s="67"/>
      <c r="AMI122" s="67"/>
      <c r="AMJ122" s="67"/>
    </row>
    <row r="123" s="135" customFormat="true" ht="13.5" hidden="false" customHeight="true" outlineLevel="0" collapsed="false">
      <c r="A123" s="126" t="n">
        <f aca="false">ROW()-8</f>
        <v>115</v>
      </c>
      <c r="B123" s="127"/>
      <c r="C123" s="129" t="s">
        <v>1600</v>
      </c>
      <c r="D123" s="139"/>
      <c r="E123" s="139"/>
      <c r="F123" s="139"/>
      <c r="G123" s="139"/>
      <c r="H123" s="62" t="s">
        <v>1601</v>
      </c>
      <c r="I123" s="63"/>
      <c r="J123" s="63" t="s">
        <v>1602</v>
      </c>
      <c r="K123" s="62" t="s">
        <v>1247</v>
      </c>
      <c r="L123" s="130" t="s">
        <v>119</v>
      </c>
      <c r="M123" s="140" t="s">
        <v>1602</v>
      </c>
      <c r="N123" s="62"/>
      <c r="O123" s="65" t="s">
        <v>119</v>
      </c>
      <c r="P123" s="65"/>
      <c r="Q123" s="65"/>
      <c r="R123" s="135" t="s">
        <v>119</v>
      </c>
      <c r="S123" s="180"/>
      <c r="T123" s="188"/>
      <c r="AMD123" s="162"/>
      <c r="AME123" s="162"/>
      <c r="AMF123" s="162"/>
      <c r="AMG123" s="162"/>
      <c r="AMH123" s="162"/>
      <c r="AMI123" s="162"/>
      <c r="AMJ123" s="162"/>
    </row>
    <row r="124" s="135" customFormat="true" ht="13.5" hidden="false" customHeight="true" outlineLevel="0" collapsed="false">
      <c r="A124" s="126" t="n">
        <f aca="false">ROW()-8</f>
        <v>116</v>
      </c>
      <c r="B124" s="127"/>
      <c r="C124" s="129"/>
      <c r="D124" s="129" t="s">
        <v>1603</v>
      </c>
      <c r="E124" s="129"/>
      <c r="F124" s="129"/>
      <c r="G124" s="129"/>
      <c r="H124" s="62" t="s">
        <v>1604</v>
      </c>
      <c r="I124" s="63" t="s">
        <v>1605</v>
      </c>
      <c r="J124" s="63" t="s">
        <v>1606</v>
      </c>
      <c r="K124" s="62" t="s">
        <v>163</v>
      </c>
      <c r="L124" s="130"/>
      <c r="M124" s="62" t="s">
        <v>118</v>
      </c>
      <c r="N124" s="62"/>
      <c r="O124" s="65" t="s">
        <v>119</v>
      </c>
      <c r="P124" s="65"/>
      <c r="Q124" s="65"/>
      <c r="R124" s="135" t="s">
        <v>119</v>
      </c>
      <c r="S124" s="180"/>
      <c r="T124" s="188"/>
      <c r="AMD124" s="162"/>
      <c r="AME124" s="162"/>
      <c r="AMF124" s="162"/>
      <c r="AMG124" s="162"/>
      <c r="AMH124" s="162"/>
      <c r="AMI124" s="162"/>
      <c r="AMJ124" s="162"/>
    </row>
    <row r="125" s="135" customFormat="true" ht="13.5" hidden="false" customHeight="true" outlineLevel="0" collapsed="false">
      <c r="A125" s="126" t="n">
        <f aca="false">ROW()-8</f>
        <v>117</v>
      </c>
      <c r="B125" s="127"/>
      <c r="C125" s="129"/>
      <c r="D125" s="129" t="s">
        <v>1607</v>
      </c>
      <c r="E125" s="129"/>
      <c r="F125" s="129"/>
      <c r="G125" s="129"/>
      <c r="H125" s="62" t="s">
        <v>1608</v>
      </c>
      <c r="I125" s="63" t="s">
        <v>1609</v>
      </c>
      <c r="J125" s="62" t="s">
        <v>1610</v>
      </c>
      <c r="K125" s="62" t="s">
        <v>163</v>
      </c>
      <c r="L125" s="130"/>
      <c r="M125" s="62" t="s">
        <v>118</v>
      </c>
      <c r="N125" s="62"/>
      <c r="O125" s="65" t="s">
        <v>119</v>
      </c>
      <c r="P125" s="65"/>
      <c r="Q125" s="65"/>
      <c r="R125" s="135" t="s">
        <v>119</v>
      </c>
      <c r="S125" s="180"/>
      <c r="T125" s="188"/>
      <c r="AMD125" s="162"/>
      <c r="AME125" s="162"/>
      <c r="AMF125" s="162"/>
      <c r="AMG125" s="162"/>
      <c r="AMH125" s="162"/>
      <c r="AMI125" s="162"/>
      <c r="AMJ125" s="162"/>
    </row>
    <row r="126" s="135" customFormat="true" ht="13.5" hidden="false" customHeight="true" outlineLevel="0" collapsed="false">
      <c r="A126" s="126" t="n">
        <f aca="false">ROW()-8</f>
        <v>118</v>
      </c>
      <c r="B126" s="127"/>
      <c r="C126" s="129"/>
      <c r="D126" s="129" t="s">
        <v>1611</v>
      </c>
      <c r="E126" s="129"/>
      <c r="F126" s="129"/>
      <c r="G126" s="129"/>
      <c r="H126" s="62" t="s">
        <v>1612</v>
      </c>
      <c r="I126" s="63" t="s">
        <v>1613</v>
      </c>
      <c r="J126" s="62" t="s">
        <v>1614</v>
      </c>
      <c r="K126" s="62" t="s">
        <v>163</v>
      </c>
      <c r="L126" s="130"/>
      <c r="M126" s="62" t="s">
        <v>1615</v>
      </c>
      <c r="N126" s="62"/>
      <c r="O126" s="65" t="s">
        <v>119</v>
      </c>
      <c r="P126" s="65"/>
      <c r="Q126" s="65"/>
      <c r="R126" s="135" t="s">
        <v>119</v>
      </c>
      <c r="S126" s="180"/>
      <c r="T126" s="188"/>
      <c r="AMD126" s="162"/>
      <c r="AME126" s="162"/>
      <c r="AMF126" s="162"/>
      <c r="AMG126" s="162"/>
      <c r="AMH126" s="162"/>
      <c r="AMI126" s="162"/>
      <c r="AMJ126" s="162"/>
    </row>
    <row r="127" s="135" customFormat="true" ht="13.5" hidden="false" customHeight="true" outlineLevel="0" collapsed="false">
      <c r="A127" s="126" t="n">
        <f aca="false">ROW()-8</f>
        <v>119</v>
      </c>
      <c r="B127" s="127"/>
      <c r="C127" s="129"/>
      <c r="D127" s="129" t="s">
        <v>130</v>
      </c>
      <c r="E127" s="129"/>
      <c r="F127" s="129"/>
      <c r="G127" s="129"/>
      <c r="H127" s="62" t="s">
        <v>1616</v>
      </c>
      <c r="I127" s="163" t="s">
        <v>1617</v>
      </c>
      <c r="J127" s="62" t="s">
        <v>130</v>
      </c>
      <c r="K127" s="62" t="s">
        <v>117</v>
      </c>
      <c r="L127" s="130"/>
      <c r="M127" s="62" t="s">
        <v>118</v>
      </c>
      <c r="N127" s="62"/>
      <c r="O127" s="65" t="s">
        <v>119</v>
      </c>
      <c r="P127" s="65"/>
      <c r="Q127" s="65"/>
      <c r="R127" s="135" t="s">
        <v>119</v>
      </c>
      <c r="S127" s="180"/>
      <c r="T127" s="188"/>
      <c r="AMD127" s="162"/>
      <c r="AME127" s="162"/>
      <c r="AMF127" s="162"/>
      <c r="AMG127" s="162"/>
      <c r="AMH127" s="162"/>
      <c r="AMI127" s="162"/>
      <c r="AMJ127" s="162"/>
    </row>
    <row r="128" s="135" customFormat="true" ht="13.5" hidden="false" customHeight="true" outlineLevel="0" collapsed="false">
      <c r="A128" s="126" t="n">
        <f aca="false">ROW()-8</f>
        <v>120</v>
      </c>
      <c r="B128" s="127"/>
      <c r="C128" s="129"/>
      <c r="D128" s="129" t="s">
        <v>1618</v>
      </c>
      <c r="E128" s="129"/>
      <c r="F128" s="129"/>
      <c r="G128" s="129"/>
      <c r="H128" s="62" t="s">
        <v>1619</v>
      </c>
      <c r="I128" s="63"/>
      <c r="J128" s="62" t="s">
        <v>1620</v>
      </c>
      <c r="K128" s="62" t="s">
        <v>163</v>
      </c>
      <c r="L128" s="130"/>
      <c r="M128" s="62" t="s">
        <v>118</v>
      </c>
      <c r="N128" s="62"/>
      <c r="O128" s="65" t="s">
        <v>119</v>
      </c>
      <c r="P128" s="65"/>
      <c r="Q128" s="65"/>
      <c r="R128" s="135" t="s">
        <v>119</v>
      </c>
      <c r="S128" s="180"/>
      <c r="T128" s="188"/>
      <c r="AMD128" s="162"/>
      <c r="AME128" s="162"/>
      <c r="AMF128" s="162"/>
      <c r="AMG128" s="162"/>
      <c r="AMH128" s="162"/>
      <c r="AMI128" s="162"/>
      <c r="AMJ128" s="162"/>
    </row>
    <row r="129" s="135" customFormat="true" ht="12.75" hidden="false" customHeight="true" outlineLevel="0" collapsed="false">
      <c r="A129" s="126" t="n">
        <f aca="false">ROW()-8</f>
        <v>121</v>
      </c>
      <c r="B129" s="127"/>
      <c r="C129" s="129"/>
      <c r="D129" s="129" t="s">
        <v>1621</v>
      </c>
      <c r="E129" s="129"/>
      <c r="F129" s="129"/>
      <c r="G129" s="129"/>
      <c r="H129" s="62" t="s">
        <v>1622</v>
      </c>
      <c r="I129" s="63"/>
      <c r="J129" s="62" t="s">
        <v>1623</v>
      </c>
      <c r="K129" s="62" t="s">
        <v>163</v>
      </c>
      <c r="L129" s="130"/>
      <c r="M129" s="62" t="s">
        <v>118</v>
      </c>
      <c r="N129" s="62"/>
      <c r="O129" s="65" t="s">
        <v>119</v>
      </c>
      <c r="P129" s="65"/>
      <c r="Q129" s="65"/>
      <c r="R129" s="135" t="s">
        <v>119</v>
      </c>
      <c r="S129" s="180"/>
      <c r="T129" s="188"/>
      <c r="AMD129" s="162"/>
      <c r="AME129" s="162"/>
      <c r="AMF129" s="162"/>
      <c r="AMG129" s="162"/>
      <c r="AMH129" s="162"/>
      <c r="AMI129" s="162"/>
      <c r="AMJ129" s="162"/>
    </row>
    <row r="130" s="135" customFormat="true" ht="13.5" hidden="true" customHeight="true" outlineLevel="0" collapsed="false">
      <c r="A130" s="126" t="n">
        <f aca="false">ROW()-8</f>
        <v>122</v>
      </c>
      <c r="B130" s="127" t="s">
        <v>1624</v>
      </c>
      <c r="C130" s="164"/>
      <c r="D130" s="129"/>
      <c r="E130" s="129"/>
      <c r="F130" s="129"/>
      <c r="G130" s="129"/>
      <c r="H130" s="62" t="s">
        <v>1625</v>
      </c>
      <c r="I130" s="63" t="s">
        <v>1583</v>
      </c>
      <c r="J130" s="63" t="s">
        <v>1626</v>
      </c>
      <c r="K130" s="62" t="s">
        <v>117</v>
      </c>
      <c r="L130" s="130"/>
      <c r="M130" s="62" t="s">
        <v>118</v>
      </c>
      <c r="N130" s="152" t="s">
        <v>1892</v>
      </c>
      <c r="O130" s="65"/>
      <c r="P130" s="65" t="s">
        <v>119</v>
      </c>
      <c r="Q130" s="64" t="s">
        <v>163</v>
      </c>
      <c r="S130" s="180"/>
      <c r="AMD130" s="67"/>
      <c r="AME130" s="67"/>
      <c r="AMF130" s="67"/>
      <c r="AMG130" s="67"/>
      <c r="AMH130" s="67"/>
      <c r="AMI130" s="67"/>
      <c r="AMJ130" s="67"/>
    </row>
    <row r="131" s="135" customFormat="true" ht="14.25" hidden="true" customHeight="true" outlineLevel="0" collapsed="false">
      <c r="A131" s="126" t="n">
        <f aca="false">ROW()-8</f>
        <v>123</v>
      </c>
      <c r="B131" s="127" t="s">
        <v>1628</v>
      </c>
      <c r="C131" s="139"/>
      <c r="D131" s="139"/>
      <c r="E131" s="139"/>
      <c r="F131" s="139"/>
      <c r="G131" s="139"/>
      <c r="H131" s="62" t="s">
        <v>1629</v>
      </c>
      <c r="I131" s="63"/>
      <c r="J131" s="63" t="s">
        <v>1630</v>
      </c>
      <c r="K131" s="62" t="s">
        <v>1247</v>
      </c>
      <c r="L131" s="130" t="s">
        <v>119</v>
      </c>
      <c r="M131" s="149" t="s">
        <v>1630</v>
      </c>
      <c r="N131" s="98"/>
      <c r="O131" s="143"/>
      <c r="P131" s="143" t="s">
        <v>119</v>
      </c>
      <c r="Q131" s="143" t="s">
        <v>119</v>
      </c>
      <c r="S131" s="180"/>
      <c r="AMD131" s="67"/>
      <c r="AME131" s="67"/>
      <c r="AMF131" s="67"/>
      <c r="AMG131" s="67"/>
      <c r="AMH131" s="67"/>
      <c r="AMI131" s="67"/>
      <c r="AMJ131" s="67"/>
    </row>
    <row r="132" s="135" customFormat="true" ht="13.5" hidden="true" customHeight="true" outlineLevel="0" collapsed="false">
      <c r="A132" s="126" t="n">
        <f aca="false">ROW()-8</f>
        <v>124</v>
      </c>
      <c r="B132" s="127"/>
      <c r="C132" s="127" t="s">
        <v>1631</v>
      </c>
      <c r="D132" s="129"/>
      <c r="E132" s="141"/>
      <c r="F132" s="129"/>
      <c r="G132" s="129"/>
      <c r="H132" s="62" t="s">
        <v>1632</v>
      </c>
      <c r="I132" s="63" t="s">
        <v>1633</v>
      </c>
      <c r="J132" s="63" t="s">
        <v>1634</v>
      </c>
      <c r="K132" s="62" t="s">
        <v>117</v>
      </c>
      <c r="L132" s="130"/>
      <c r="M132" s="63" t="s">
        <v>118</v>
      </c>
      <c r="N132" s="63" t="s">
        <v>1893</v>
      </c>
      <c r="O132" s="65"/>
      <c r="P132" s="143" t="s">
        <v>119</v>
      </c>
      <c r="Q132" s="143" t="s">
        <v>119</v>
      </c>
      <c r="S132" s="180"/>
      <c r="AMD132" s="67"/>
      <c r="AME132" s="67"/>
      <c r="AMF132" s="67"/>
      <c r="AMG132" s="67"/>
      <c r="AMH132" s="67"/>
      <c r="AMI132" s="67"/>
      <c r="AMJ132" s="67"/>
    </row>
    <row r="133" s="135" customFormat="true" ht="13.5" hidden="true" customHeight="true" outlineLevel="0" collapsed="false">
      <c r="A133" s="126" t="n">
        <f aca="false">ROW()-8</f>
        <v>125</v>
      </c>
      <c r="B133" s="127"/>
      <c r="C133" s="127" t="s">
        <v>1636</v>
      </c>
      <c r="D133" s="139"/>
      <c r="E133" s="139"/>
      <c r="F133" s="139"/>
      <c r="G133" s="139"/>
      <c r="H133" s="62" t="s">
        <v>1637</v>
      </c>
      <c r="I133" s="63"/>
      <c r="J133" s="63" t="s">
        <v>1638</v>
      </c>
      <c r="K133" s="62" t="s">
        <v>163</v>
      </c>
      <c r="L133" s="130" t="s">
        <v>119</v>
      </c>
      <c r="M133" s="140" t="s">
        <v>1638</v>
      </c>
      <c r="N133" s="64"/>
      <c r="O133" s="143"/>
      <c r="P133" s="143" t="s">
        <v>119</v>
      </c>
      <c r="Q133" s="143" t="s">
        <v>119</v>
      </c>
      <c r="S133" s="180"/>
      <c r="AMD133" s="67"/>
      <c r="AME133" s="67"/>
      <c r="AMF133" s="67"/>
      <c r="AMG133" s="67"/>
      <c r="AMH133" s="67"/>
      <c r="AMI133" s="67"/>
      <c r="AMJ133" s="67"/>
    </row>
    <row r="134" s="135" customFormat="true" ht="13.5" hidden="true" customHeight="true" outlineLevel="0" collapsed="false">
      <c r="A134" s="126" t="n">
        <f aca="false">ROW()-8</f>
        <v>126</v>
      </c>
      <c r="B134" s="127"/>
      <c r="C134" s="127"/>
      <c r="D134" s="129" t="s">
        <v>1639</v>
      </c>
      <c r="E134" s="139"/>
      <c r="F134" s="139"/>
      <c r="G134" s="139"/>
      <c r="H134" s="62" t="s">
        <v>1640</v>
      </c>
      <c r="I134" s="63"/>
      <c r="J134" s="63" t="s">
        <v>1641</v>
      </c>
      <c r="K134" s="62" t="s">
        <v>1247</v>
      </c>
      <c r="L134" s="130" t="s">
        <v>119</v>
      </c>
      <c r="M134" s="149" t="s">
        <v>1641</v>
      </c>
      <c r="N134" s="64"/>
      <c r="O134" s="65"/>
      <c r="P134" s="143" t="s">
        <v>119</v>
      </c>
      <c r="Q134" s="143" t="s">
        <v>119</v>
      </c>
      <c r="S134" s="180"/>
      <c r="AMD134" s="67"/>
      <c r="AME134" s="67"/>
      <c r="AMF134" s="67"/>
      <c r="AMG134" s="67"/>
      <c r="AMH134" s="67"/>
      <c r="AMI134" s="67"/>
      <c r="AMJ134" s="67"/>
    </row>
    <row r="135" s="135" customFormat="true" ht="13.5" hidden="true" customHeight="true" outlineLevel="0" collapsed="false">
      <c r="A135" s="126" t="n">
        <f aca="false">ROW()-8</f>
        <v>127</v>
      </c>
      <c r="B135" s="127"/>
      <c r="C135" s="127"/>
      <c r="D135" s="129"/>
      <c r="E135" s="129" t="s">
        <v>1331</v>
      </c>
      <c r="F135" s="129"/>
      <c r="G135" s="129"/>
      <c r="H135" s="62" t="s">
        <v>1642</v>
      </c>
      <c r="I135" s="63" t="s">
        <v>1643</v>
      </c>
      <c r="J135" s="63" t="s">
        <v>162</v>
      </c>
      <c r="K135" s="62" t="s">
        <v>117</v>
      </c>
      <c r="L135" s="130"/>
      <c r="M135" s="62" t="s">
        <v>118</v>
      </c>
      <c r="N135" s="137" t="s">
        <v>1644</v>
      </c>
      <c r="O135" s="143"/>
      <c r="P135" s="143" t="s">
        <v>119</v>
      </c>
      <c r="Q135" s="143" t="s">
        <v>119</v>
      </c>
      <c r="S135" s="180"/>
      <c r="AMD135" s="67"/>
      <c r="AME135" s="67"/>
      <c r="AMF135" s="67"/>
      <c r="AMG135" s="67"/>
      <c r="AMH135" s="67"/>
      <c r="AMI135" s="67"/>
      <c r="AMJ135" s="67"/>
    </row>
    <row r="136" s="135" customFormat="true" ht="13.5" hidden="true" customHeight="true" outlineLevel="0" collapsed="false">
      <c r="A136" s="126" t="n">
        <f aca="false">ROW()-8</f>
        <v>128</v>
      </c>
      <c r="B136" s="127"/>
      <c r="C136" s="127"/>
      <c r="D136" s="129"/>
      <c r="E136" s="129" t="s">
        <v>1335</v>
      </c>
      <c r="F136" s="129"/>
      <c r="G136" s="129"/>
      <c r="H136" s="62" t="s">
        <v>1645</v>
      </c>
      <c r="I136" s="63" t="s">
        <v>1598</v>
      </c>
      <c r="J136" s="63" t="s">
        <v>1338</v>
      </c>
      <c r="K136" s="62" t="s">
        <v>117</v>
      </c>
      <c r="L136" s="130"/>
      <c r="M136" s="62" t="s">
        <v>118</v>
      </c>
      <c r="N136" s="64"/>
      <c r="O136" s="143"/>
      <c r="P136" s="143" t="s">
        <v>119</v>
      </c>
      <c r="Q136" s="143" t="s">
        <v>119</v>
      </c>
      <c r="S136" s="180"/>
      <c r="AMD136" s="67"/>
      <c r="AME136" s="67"/>
      <c r="AMF136" s="67"/>
      <c r="AMG136" s="67"/>
      <c r="AMH136" s="67"/>
      <c r="AMI136" s="67"/>
      <c r="AMJ136" s="67"/>
    </row>
    <row r="137" s="135" customFormat="true" ht="13.5" hidden="true" customHeight="true" outlineLevel="0" collapsed="false">
      <c r="A137" s="126" t="n">
        <f aca="false">ROW()-8</f>
        <v>129</v>
      </c>
      <c r="B137" s="127"/>
      <c r="C137" s="127"/>
      <c r="D137" s="127" t="s">
        <v>1646</v>
      </c>
      <c r="E137" s="139"/>
      <c r="F137" s="139"/>
      <c r="G137" s="139"/>
      <c r="H137" s="62"/>
      <c r="I137" s="63"/>
      <c r="J137" s="63" t="s">
        <v>1647</v>
      </c>
      <c r="K137" s="62" t="s">
        <v>163</v>
      </c>
      <c r="L137" s="130" t="s">
        <v>119</v>
      </c>
      <c r="M137" s="149" t="s">
        <v>1647</v>
      </c>
      <c r="N137" s="64"/>
      <c r="O137" s="143"/>
      <c r="P137" s="143" t="s">
        <v>119</v>
      </c>
      <c r="Q137" s="143" t="s">
        <v>119</v>
      </c>
      <c r="S137" s="180"/>
      <c r="AMD137" s="67"/>
      <c r="AME137" s="67"/>
      <c r="AMF137" s="67"/>
      <c r="AMG137" s="67"/>
      <c r="AMH137" s="67"/>
      <c r="AMI137" s="67"/>
      <c r="AMJ137" s="67"/>
    </row>
    <row r="138" s="135" customFormat="true" ht="13.5" hidden="true" customHeight="true" outlineLevel="0" collapsed="false">
      <c r="A138" s="126" t="n">
        <f aca="false">ROW()-8</f>
        <v>130</v>
      </c>
      <c r="B138" s="127"/>
      <c r="C138" s="127"/>
      <c r="D138" s="127"/>
      <c r="E138" s="129" t="s">
        <v>1560</v>
      </c>
      <c r="F138" s="139"/>
      <c r="G138" s="139"/>
      <c r="H138" s="62" t="s">
        <v>1648</v>
      </c>
      <c r="I138" s="63"/>
      <c r="J138" s="63" t="s">
        <v>1562</v>
      </c>
      <c r="K138" s="62" t="s">
        <v>117</v>
      </c>
      <c r="L138" s="130" t="s">
        <v>119</v>
      </c>
      <c r="M138" s="140" t="s">
        <v>1562</v>
      </c>
      <c r="N138" s="64"/>
      <c r="O138" s="143"/>
      <c r="P138" s="143" t="s">
        <v>119</v>
      </c>
      <c r="Q138" s="143" t="s">
        <v>119</v>
      </c>
      <c r="S138" s="180"/>
      <c r="AMD138" s="67"/>
      <c r="AME138" s="67"/>
      <c r="AMF138" s="67"/>
      <c r="AMG138" s="67"/>
      <c r="AMH138" s="67"/>
      <c r="AMI138" s="67"/>
      <c r="AMJ138" s="67"/>
    </row>
    <row r="139" s="135" customFormat="true" ht="13.5" hidden="true" customHeight="true" outlineLevel="0" collapsed="false">
      <c r="A139" s="126" t="n">
        <f aca="false">ROW()-8</f>
        <v>131</v>
      </c>
      <c r="B139" s="127"/>
      <c r="C139" s="129"/>
      <c r="D139" s="129"/>
      <c r="E139" s="129"/>
      <c r="F139" s="129" t="s">
        <v>1563</v>
      </c>
      <c r="G139" s="129"/>
      <c r="H139" s="62" t="s">
        <v>1564</v>
      </c>
      <c r="I139" s="63" t="s">
        <v>1565</v>
      </c>
      <c r="J139" s="63" t="s">
        <v>1359</v>
      </c>
      <c r="K139" s="62" t="s">
        <v>117</v>
      </c>
      <c r="L139" s="130"/>
      <c r="M139" s="62" t="s">
        <v>118</v>
      </c>
      <c r="N139" s="62" t="s">
        <v>1566</v>
      </c>
      <c r="O139" s="65"/>
      <c r="P139" s="65"/>
      <c r="Q139" s="143" t="s">
        <v>119</v>
      </c>
      <c r="S139" s="180"/>
      <c r="AMD139" s="67"/>
      <c r="AME139" s="67"/>
      <c r="AMF139" s="67"/>
      <c r="AMG139" s="67"/>
      <c r="AMH139" s="67"/>
      <c r="AMI139" s="67"/>
      <c r="AMJ139" s="67"/>
    </row>
    <row r="140" s="135" customFormat="true" ht="13.5" hidden="true" customHeight="true" outlineLevel="0" collapsed="false">
      <c r="A140" s="126" t="n">
        <f aca="false">ROW()-8</f>
        <v>132</v>
      </c>
      <c r="B140" s="127"/>
      <c r="C140" s="129"/>
      <c r="D140" s="129"/>
      <c r="E140" s="129"/>
      <c r="F140" s="129" t="s">
        <v>1345</v>
      </c>
      <c r="G140" s="133"/>
      <c r="H140" s="62" t="s">
        <v>1567</v>
      </c>
      <c r="I140" s="62" t="s">
        <v>1404</v>
      </c>
      <c r="J140" s="63" t="s">
        <v>1568</v>
      </c>
      <c r="K140" s="62" t="s">
        <v>163</v>
      </c>
      <c r="L140" s="130"/>
      <c r="M140" s="62" t="s">
        <v>118</v>
      </c>
      <c r="N140" s="62"/>
      <c r="O140" s="65"/>
      <c r="P140" s="65"/>
      <c r="Q140" s="143" t="s">
        <v>119</v>
      </c>
      <c r="S140" s="180"/>
      <c r="AMD140" s="67"/>
      <c r="AME140" s="67"/>
      <c r="AMF140" s="67"/>
      <c r="AMG140" s="67"/>
      <c r="AMH140" s="67"/>
      <c r="AMI140" s="67"/>
      <c r="AMJ140" s="67"/>
    </row>
    <row r="141" s="135" customFormat="true" ht="13.5" hidden="true" customHeight="true" outlineLevel="0" collapsed="false">
      <c r="A141" s="126" t="n">
        <f aca="false">ROW()-8</f>
        <v>133</v>
      </c>
      <c r="B141" s="127"/>
      <c r="C141" s="133"/>
      <c r="D141" s="133"/>
      <c r="E141" s="129"/>
      <c r="F141" s="129" t="s">
        <v>1569</v>
      </c>
      <c r="G141" s="133"/>
      <c r="H141" s="62" t="s">
        <v>1570</v>
      </c>
      <c r="I141" s="63" t="s">
        <v>1571</v>
      </c>
      <c r="J141" s="63" t="s">
        <v>1572</v>
      </c>
      <c r="K141" s="62" t="s">
        <v>163</v>
      </c>
      <c r="L141" s="130"/>
      <c r="M141" s="62" t="s">
        <v>118</v>
      </c>
      <c r="N141" s="62"/>
      <c r="O141" s="65"/>
      <c r="P141" s="65"/>
      <c r="Q141" s="143" t="s">
        <v>119</v>
      </c>
      <c r="S141" s="180"/>
      <c r="AMD141" s="154"/>
      <c r="AME141" s="154"/>
      <c r="AMF141" s="154"/>
      <c r="AMG141" s="154"/>
      <c r="AMH141" s="154"/>
      <c r="AMI141" s="154"/>
      <c r="AMJ141" s="154"/>
    </row>
    <row r="142" s="135" customFormat="true" ht="13.5" hidden="true" customHeight="true" outlineLevel="0" collapsed="false">
      <c r="A142" s="126" t="n">
        <f aca="false">ROW()-8</f>
        <v>134</v>
      </c>
      <c r="B142" s="127"/>
      <c r="C142" s="127"/>
      <c r="D142" s="127"/>
      <c r="E142" s="129" t="s">
        <v>1649</v>
      </c>
      <c r="F142" s="129"/>
      <c r="G142" s="129"/>
      <c r="H142" s="62" t="s">
        <v>1650</v>
      </c>
      <c r="I142" s="63" t="n">
        <v>10000668540</v>
      </c>
      <c r="J142" s="63" t="s">
        <v>1651</v>
      </c>
      <c r="K142" s="62" t="s">
        <v>163</v>
      </c>
      <c r="L142" s="130"/>
      <c r="M142" s="62" t="s">
        <v>118</v>
      </c>
      <c r="N142" s="165"/>
      <c r="O142" s="143"/>
      <c r="P142" s="143" t="s">
        <v>119</v>
      </c>
      <c r="Q142" s="143" t="s">
        <v>119</v>
      </c>
      <c r="S142" s="180"/>
      <c r="AMD142" s="67"/>
      <c r="AME142" s="67"/>
      <c r="AMF142" s="67"/>
      <c r="AMG142" s="67"/>
      <c r="AMH142" s="67"/>
      <c r="AMI142" s="67"/>
      <c r="AMJ142" s="67"/>
    </row>
    <row r="143" s="135" customFormat="true" ht="13.5" hidden="true" customHeight="true" outlineLevel="0" collapsed="false">
      <c r="A143" s="126" t="n">
        <f aca="false">ROW()-8</f>
        <v>135</v>
      </c>
      <c r="B143" s="127"/>
      <c r="C143" s="127"/>
      <c r="D143" s="127"/>
      <c r="E143" s="127" t="s">
        <v>1652</v>
      </c>
      <c r="F143" s="139"/>
      <c r="G143" s="139"/>
      <c r="H143" s="62" t="s">
        <v>1653</v>
      </c>
      <c r="I143" s="63"/>
      <c r="J143" s="63" t="s">
        <v>1526</v>
      </c>
      <c r="K143" s="62" t="s">
        <v>1247</v>
      </c>
      <c r="L143" s="130" t="s">
        <v>119</v>
      </c>
      <c r="M143" s="140" t="s">
        <v>1654</v>
      </c>
      <c r="N143" s="143"/>
      <c r="O143" s="143"/>
      <c r="P143" s="143" t="s">
        <v>119</v>
      </c>
      <c r="Q143" s="143" t="s">
        <v>119</v>
      </c>
      <c r="S143" s="180"/>
      <c r="AMD143" s="67"/>
      <c r="AME143" s="67"/>
      <c r="AMF143" s="67"/>
      <c r="AMG143" s="67"/>
      <c r="AMH143" s="67"/>
      <c r="AMI143" s="67"/>
      <c r="AMJ143" s="67"/>
    </row>
    <row r="144" s="135" customFormat="true" ht="13.5" hidden="true" customHeight="true" outlineLevel="0" collapsed="false">
      <c r="A144" s="126" t="n">
        <f aca="false">ROW()-8</f>
        <v>136</v>
      </c>
      <c r="B144" s="127"/>
      <c r="C144" s="129"/>
      <c r="D144" s="129"/>
      <c r="E144" s="129"/>
      <c r="F144" s="129" t="s">
        <v>1532</v>
      </c>
      <c r="G144" s="129"/>
      <c r="H144" s="62" t="s">
        <v>1533</v>
      </c>
      <c r="I144" s="63" t="s">
        <v>1534</v>
      </c>
      <c r="J144" s="63" t="s">
        <v>1281</v>
      </c>
      <c r="K144" s="62" t="s">
        <v>117</v>
      </c>
      <c r="L144" s="130"/>
      <c r="M144" s="62" t="s">
        <v>118</v>
      </c>
      <c r="N144" s="136" t="s">
        <v>1535</v>
      </c>
      <c r="O144" s="143"/>
      <c r="P144" s="143" t="s">
        <v>119</v>
      </c>
      <c r="Q144" s="143" t="s">
        <v>119</v>
      </c>
      <c r="S144" s="180"/>
      <c r="AMD144" s="67"/>
      <c r="AME144" s="67"/>
      <c r="AMF144" s="67"/>
      <c r="AMG144" s="67"/>
      <c r="AMH144" s="67"/>
      <c r="AMI144" s="67"/>
      <c r="AMJ144" s="67"/>
    </row>
    <row r="145" s="135" customFormat="true" ht="14.25" hidden="true" customHeight="true" outlineLevel="0" collapsed="false">
      <c r="A145" s="126" t="n">
        <f aca="false">ROW()-8</f>
        <v>137</v>
      </c>
      <c r="B145" s="30"/>
      <c r="C145" s="67"/>
      <c r="D145" s="67"/>
      <c r="E145" s="129"/>
      <c r="F145" s="67" t="s">
        <v>1536</v>
      </c>
      <c r="G145" s="60"/>
      <c r="H145" s="60" t="s">
        <v>1655</v>
      </c>
      <c r="I145" s="160" t="s">
        <v>1538</v>
      </c>
      <c r="J145" s="63" t="s">
        <v>1390</v>
      </c>
      <c r="K145" s="62" t="s">
        <v>117</v>
      </c>
      <c r="L145" s="130"/>
      <c r="M145" s="62" t="s">
        <v>118</v>
      </c>
      <c r="N145" s="136"/>
      <c r="O145" s="70"/>
      <c r="P145" s="147" t="s">
        <v>119</v>
      </c>
      <c r="Q145" s="143" t="s">
        <v>119</v>
      </c>
      <c r="S145" s="180"/>
      <c r="AMD145" s="0"/>
      <c r="AME145" s="0"/>
      <c r="AMF145" s="0"/>
      <c r="AMG145" s="0"/>
      <c r="AMH145" s="0"/>
      <c r="AMI145" s="0"/>
      <c r="AMJ145" s="0"/>
    </row>
    <row r="146" s="135" customFormat="true" ht="13.5" hidden="true" customHeight="true" outlineLevel="0" collapsed="false">
      <c r="A146" s="126" t="n">
        <f aca="false">ROW()-8</f>
        <v>138</v>
      </c>
      <c r="B146" s="127"/>
      <c r="C146" s="127"/>
      <c r="D146" s="129"/>
      <c r="E146" s="129" t="s">
        <v>1656</v>
      </c>
      <c r="F146" s="139"/>
      <c r="G146" s="139"/>
      <c r="H146" s="62" t="s">
        <v>1657</v>
      </c>
      <c r="I146" s="63"/>
      <c r="J146" s="63" t="s">
        <v>1658</v>
      </c>
      <c r="K146" s="62" t="s">
        <v>163</v>
      </c>
      <c r="L146" s="130" t="s">
        <v>119</v>
      </c>
      <c r="M146" s="149" t="s">
        <v>1658</v>
      </c>
      <c r="N146" s="65"/>
      <c r="O146" s="65"/>
      <c r="P146" s="143"/>
      <c r="Q146" s="143"/>
      <c r="S146" s="180"/>
      <c r="AMD146" s="67"/>
      <c r="AME146" s="67"/>
      <c r="AMF146" s="67"/>
      <c r="AMG146" s="67"/>
      <c r="AMH146" s="67"/>
      <c r="AMI146" s="67"/>
      <c r="AMJ146" s="67"/>
    </row>
    <row r="147" s="135" customFormat="true" ht="13.5" hidden="true" customHeight="true" outlineLevel="0" collapsed="false">
      <c r="A147" s="126" t="n">
        <f aca="false">ROW()-8</f>
        <v>139</v>
      </c>
      <c r="B147" s="127"/>
      <c r="C147" s="127"/>
      <c r="D147" s="127"/>
      <c r="E147" s="129"/>
      <c r="F147" s="129" t="s">
        <v>1340</v>
      </c>
      <c r="G147" s="139" t="s">
        <v>1659</v>
      </c>
      <c r="H147" s="62" t="s">
        <v>1660</v>
      </c>
      <c r="I147" s="63"/>
      <c r="J147" s="63" t="s">
        <v>1341</v>
      </c>
      <c r="K147" s="62" t="s">
        <v>163</v>
      </c>
      <c r="L147" s="130" t="s">
        <v>119</v>
      </c>
      <c r="M147" s="140" t="s">
        <v>1341</v>
      </c>
      <c r="N147" s="64"/>
      <c r="O147" s="143"/>
      <c r="P147" s="143"/>
      <c r="Q147" s="143"/>
      <c r="S147" s="180"/>
      <c r="AMD147" s="67"/>
      <c r="AME147" s="67"/>
      <c r="AMF147" s="67"/>
      <c r="AMG147" s="67"/>
      <c r="AMH147" s="67"/>
      <c r="AMI147" s="67"/>
      <c r="AMJ147" s="67"/>
    </row>
    <row r="148" s="135" customFormat="true" ht="13.5" hidden="true" customHeight="true" outlineLevel="0" collapsed="false">
      <c r="A148" s="126" t="n">
        <f aca="false">ROW()-8</f>
        <v>140</v>
      </c>
      <c r="B148" s="127"/>
      <c r="C148" s="127"/>
      <c r="D148" s="127"/>
      <c r="E148" s="129"/>
      <c r="F148" s="129" t="s">
        <v>1377</v>
      </c>
      <c r="G148" s="139" t="s">
        <v>1661</v>
      </c>
      <c r="H148" s="62" t="s">
        <v>1662</v>
      </c>
      <c r="I148" s="63"/>
      <c r="J148" s="63" t="s">
        <v>1379</v>
      </c>
      <c r="K148" s="62" t="s">
        <v>163</v>
      </c>
      <c r="L148" s="130" t="s">
        <v>119</v>
      </c>
      <c r="M148" s="140" t="s">
        <v>1379</v>
      </c>
      <c r="N148" s="64"/>
      <c r="O148" s="143"/>
      <c r="P148" s="143"/>
      <c r="Q148" s="143"/>
      <c r="S148" s="180"/>
      <c r="AMD148" s="67"/>
      <c r="AME148" s="67"/>
      <c r="AMF148" s="67"/>
      <c r="AMG148" s="67"/>
      <c r="AMH148" s="67"/>
      <c r="AMI148" s="67"/>
      <c r="AMJ148" s="67"/>
    </row>
    <row r="149" s="135" customFormat="true" ht="13.5" hidden="true" customHeight="true" outlineLevel="0" collapsed="false">
      <c r="A149" s="126" t="n">
        <f aca="false">ROW()-8</f>
        <v>141</v>
      </c>
      <c r="B149" s="127"/>
      <c r="C149" s="127"/>
      <c r="D149" s="127" t="s">
        <v>1663</v>
      </c>
      <c r="E149" s="139" t="s">
        <v>1664</v>
      </c>
      <c r="F149" s="139"/>
      <c r="G149" s="139"/>
      <c r="H149" s="62" t="s">
        <v>1665</v>
      </c>
      <c r="I149" s="63"/>
      <c r="J149" s="63" t="s">
        <v>1658</v>
      </c>
      <c r="K149" s="62" t="s">
        <v>163</v>
      </c>
      <c r="L149" s="130" t="s">
        <v>119</v>
      </c>
      <c r="M149" s="149" t="s">
        <v>1658</v>
      </c>
      <c r="N149" s="64"/>
      <c r="O149" s="143"/>
      <c r="P149" s="166"/>
      <c r="Q149" s="143"/>
      <c r="S149" s="180"/>
      <c r="AMD149" s="67"/>
      <c r="AME149" s="67"/>
      <c r="AMF149" s="67"/>
      <c r="AMG149" s="67"/>
      <c r="AMH149" s="67"/>
      <c r="AMI149" s="67"/>
      <c r="AMJ149" s="67"/>
    </row>
    <row r="150" s="135" customFormat="true" ht="13.5" hidden="true" customHeight="true" outlineLevel="0" collapsed="false">
      <c r="A150" s="126" t="n">
        <f aca="false">ROW()-8</f>
        <v>142</v>
      </c>
      <c r="B150" s="127"/>
      <c r="C150" s="127"/>
      <c r="D150" s="127" t="s">
        <v>1523</v>
      </c>
      <c r="E150" s="139" t="s">
        <v>1540</v>
      </c>
      <c r="F150" s="139"/>
      <c r="G150" s="139"/>
      <c r="H150" s="62" t="s">
        <v>1666</v>
      </c>
      <c r="I150" s="63"/>
      <c r="J150" s="63" t="s">
        <v>1526</v>
      </c>
      <c r="K150" s="62" t="s">
        <v>1247</v>
      </c>
      <c r="L150" s="130" t="s">
        <v>119</v>
      </c>
      <c r="M150" s="140" t="s">
        <v>1526</v>
      </c>
      <c r="N150" s="64"/>
      <c r="O150" s="143"/>
      <c r="P150" s="166"/>
      <c r="Q150" s="143"/>
      <c r="S150" s="180"/>
      <c r="AMD150" s="67"/>
      <c r="AME150" s="67"/>
      <c r="AMF150" s="67"/>
      <c r="AMG150" s="67"/>
      <c r="AMH150" s="67"/>
      <c r="AMI150" s="67"/>
      <c r="AMJ150" s="67"/>
    </row>
    <row r="151" s="135" customFormat="true" ht="13.5" hidden="true" customHeight="true" outlineLevel="0" collapsed="false">
      <c r="A151" s="126" t="n">
        <f aca="false">ROW()-8</f>
        <v>143</v>
      </c>
      <c r="B151" s="127"/>
      <c r="C151" s="127" t="s">
        <v>1667</v>
      </c>
      <c r="D151" s="139"/>
      <c r="E151" s="139"/>
      <c r="F151" s="139"/>
      <c r="G151" s="139"/>
      <c r="H151" s="62" t="s">
        <v>1668</v>
      </c>
      <c r="I151" s="63"/>
      <c r="J151" s="63" t="s">
        <v>1669</v>
      </c>
      <c r="K151" s="62" t="s">
        <v>163</v>
      </c>
      <c r="L151" s="130" t="s">
        <v>119</v>
      </c>
      <c r="M151" s="140" t="s">
        <v>1670</v>
      </c>
      <c r="N151" s="65"/>
      <c r="O151" s="143"/>
      <c r="P151" s="143" t="s">
        <v>119</v>
      </c>
      <c r="Q151" s="143" t="s">
        <v>119</v>
      </c>
      <c r="S151" s="180"/>
      <c r="AMD151" s="67"/>
      <c r="AME151" s="67"/>
      <c r="AMF151" s="67"/>
      <c r="AMG151" s="67"/>
      <c r="AMH151" s="67"/>
      <c r="AMI151" s="67"/>
      <c r="AMJ151" s="67"/>
    </row>
    <row r="152" s="135" customFormat="true" ht="13.5" hidden="true" customHeight="true" outlineLevel="0" collapsed="false">
      <c r="A152" s="126" t="n">
        <f aca="false">ROW()-8</f>
        <v>144</v>
      </c>
      <c r="B152" s="127"/>
      <c r="C152" s="127"/>
      <c r="D152" s="127" t="s">
        <v>1671</v>
      </c>
      <c r="E152" s="139"/>
      <c r="F152" s="139"/>
      <c r="G152" s="139"/>
      <c r="H152" s="62" t="s">
        <v>1672</v>
      </c>
      <c r="I152" s="63"/>
      <c r="J152" s="63" t="s">
        <v>1673</v>
      </c>
      <c r="K152" s="62" t="s">
        <v>163</v>
      </c>
      <c r="L152" s="130" t="s">
        <v>119</v>
      </c>
      <c r="M152" s="140" t="s">
        <v>1674</v>
      </c>
      <c r="N152" s="143"/>
      <c r="O152" s="143"/>
      <c r="P152" s="143"/>
      <c r="Q152" s="143"/>
      <c r="S152" s="180"/>
      <c r="AMD152" s="67"/>
      <c r="AME152" s="67"/>
      <c r="AMF152" s="67"/>
      <c r="AMG152" s="67"/>
      <c r="AMH152" s="67"/>
      <c r="AMI152" s="67"/>
      <c r="AMJ152" s="67"/>
    </row>
    <row r="153" s="135" customFormat="true" ht="13.5" hidden="true" customHeight="true" outlineLevel="0" collapsed="false">
      <c r="A153" s="126" t="n">
        <f aca="false">ROW()-8</f>
        <v>145</v>
      </c>
      <c r="B153" s="127"/>
      <c r="C153" s="127"/>
      <c r="D153" s="127"/>
      <c r="E153" s="129" t="s">
        <v>1675</v>
      </c>
      <c r="F153" s="129"/>
      <c r="G153" s="129"/>
      <c r="H153" s="62" t="s">
        <v>1672</v>
      </c>
      <c r="I153" s="63"/>
      <c r="J153" s="63" t="s">
        <v>143</v>
      </c>
      <c r="K153" s="62" t="s">
        <v>163</v>
      </c>
      <c r="L153" s="130"/>
      <c r="M153" s="62" t="s">
        <v>118</v>
      </c>
      <c r="N153" s="167" t="s">
        <v>1676</v>
      </c>
      <c r="O153" s="65"/>
      <c r="P153" s="143"/>
      <c r="Q153" s="143"/>
      <c r="S153" s="180"/>
      <c r="AMD153" s="67"/>
      <c r="AME153" s="67"/>
      <c r="AMF153" s="67"/>
      <c r="AMG153" s="67"/>
      <c r="AMH153" s="67"/>
      <c r="AMI153" s="67"/>
      <c r="AMJ153" s="67"/>
    </row>
    <row r="154" s="135" customFormat="true" ht="13.5" hidden="true" customHeight="true" outlineLevel="0" collapsed="false">
      <c r="A154" s="126" t="n">
        <f aca="false">ROW()-8</f>
        <v>146</v>
      </c>
      <c r="B154" s="127"/>
      <c r="C154" s="127"/>
      <c r="D154" s="127"/>
      <c r="E154" s="129" t="s">
        <v>1677</v>
      </c>
      <c r="F154" s="129"/>
      <c r="G154" s="129"/>
      <c r="H154" s="62" t="s">
        <v>1678</v>
      </c>
      <c r="I154" s="63"/>
      <c r="J154" s="63" t="s">
        <v>1679</v>
      </c>
      <c r="K154" s="62" t="s">
        <v>163</v>
      </c>
      <c r="L154" s="130"/>
      <c r="M154" s="62" t="s">
        <v>118</v>
      </c>
      <c r="N154" s="167" t="s">
        <v>1680</v>
      </c>
      <c r="O154" s="65"/>
      <c r="P154" s="143"/>
      <c r="Q154" s="143"/>
      <c r="S154" s="180"/>
      <c r="AMD154" s="67"/>
      <c r="AME154" s="67"/>
      <c r="AMF154" s="67"/>
      <c r="AMG154" s="67"/>
      <c r="AMH154" s="67"/>
      <c r="AMI154" s="67"/>
      <c r="AMJ154" s="67"/>
    </row>
    <row r="155" s="135" customFormat="true" ht="13.5" hidden="true" customHeight="true" outlineLevel="0" collapsed="false">
      <c r="A155" s="126" t="n">
        <f aca="false">ROW()-8</f>
        <v>147</v>
      </c>
      <c r="B155" s="127"/>
      <c r="C155" s="127"/>
      <c r="D155" s="127" t="s">
        <v>1681</v>
      </c>
      <c r="E155" s="139"/>
      <c r="F155" s="139"/>
      <c r="G155" s="139"/>
      <c r="H155" s="62" t="s">
        <v>1682</v>
      </c>
      <c r="I155" s="63"/>
      <c r="J155" s="63" t="s">
        <v>1364</v>
      </c>
      <c r="K155" s="62" t="s">
        <v>163</v>
      </c>
      <c r="L155" s="130" t="s">
        <v>119</v>
      </c>
      <c r="M155" s="149" t="s">
        <v>1683</v>
      </c>
      <c r="N155" s="64"/>
      <c r="O155" s="143"/>
      <c r="P155" s="143"/>
      <c r="Q155" s="143"/>
      <c r="S155" s="180"/>
      <c r="AMD155" s="67"/>
      <c r="AME155" s="67"/>
      <c r="AMF155" s="67"/>
      <c r="AMG155" s="67"/>
      <c r="AMH155" s="67"/>
      <c r="AMI155" s="67"/>
      <c r="AMJ155" s="67"/>
    </row>
    <row r="156" s="135" customFormat="true" ht="13.5" hidden="true" customHeight="true" outlineLevel="0" collapsed="false">
      <c r="A156" s="126" t="n">
        <f aca="false">ROW()-8</f>
        <v>148</v>
      </c>
      <c r="B156" s="127"/>
      <c r="C156" s="127"/>
      <c r="D156" s="127"/>
      <c r="E156" s="129" t="s">
        <v>1684</v>
      </c>
      <c r="F156" s="129"/>
      <c r="G156" s="129"/>
      <c r="H156" s="62" t="s">
        <v>1682</v>
      </c>
      <c r="I156" s="63" t="s">
        <v>1685</v>
      </c>
      <c r="J156" s="63" t="s">
        <v>1338</v>
      </c>
      <c r="K156" s="62" t="s">
        <v>163</v>
      </c>
      <c r="L156" s="130"/>
      <c r="M156" s="62" t="s">
        <v>118</v>
      </c>
      <c r="N156" s="64"/>
      <c r="O156" s="143"/>
      <c r="P156" s="143"/>
      <c r="Q156" s="143"/>
      <c r="S156" s="180"/>
      <c r="AMD156" s="67"/>
      <c r="AME156" s="67"/>
      <c r="AMF156" s="67"/>
      <c r="AMG156" s="67"/>
      <c r="AMH156" s="67"/>
      <c r="AMI156" s="67"/>
      <c r="AMJ156" s="67"/>
    </row>
    <row r="157" s="135" customFormat="true" ht="13.5" hidden="true" customHeight="true" outlineLevel="0" collapsed="false">
      <c r="A157" s="126" t="n">
        <f aca="false">ROW()-8</f>
        <v>149</v>
      </c>
      <c r="B157" s="127"/>
      <c r="C157" s="127"/>
      <c r="D157" s="127"/>
      <c r="E157" s="129" t="s">
        <v>1686</v>
      </c>
      <c r="F157" s="129"/>
      <c r="G157" s="129"/>
      <c r="H157" s="62" t="s">
        <v>1687</v>
      </c>
      <c r="I157" s="63" t="s">
        <v>1688</v>
      </c>
      <c r="J157" s="63" t="s">
        <v>1689</v>
      </c>
      <c r="K157" s="62" t="s">
        <v>163</v>
      </c>
      <c r="L157" s="130"/>
      <c r="M157" s="62" t="s">
        <v>118</v>
      </c>
      <c r="N157" s="64"/>
      <c r="O157" s="143"/>
      <c r="P157" s="143"/>
      <c r="Q157" s="143"/>
      <c r="S157" s="180"/>
      <c r="AMD157" s="67"/>
      <c r="AME157" s="67"/>
      <c r="AMF157" s="67"/>
      <c r="AMG157" s="67"/>
      <c r="AMH157" s="67"/>
      <c r="AMI157" s="67"/>
      <c r="AMJ157" s="67"/>
    </row>
    <row r="158" s="135" customFormat="true" ht="13.5" hidden="true" customHeight="true" outlineLevel="0" collapsed="false">
      <c r="A158" s="126" t="n">
        <f aca="false">ROW()-8</f>
        <v>150</v>
      </c>
      <c r="B158" s="127"/>
      <c r="C158" s="127"/>
      <c r="D158" s="127" t="s">
        <v>1690</v>
      </c>
      <c r="E158" s="139"/>
      <c r="F158" s="139"/>
      <c r="G158" s="139"/>
      <c r="H158" s="62" t="s">
        <v>1691</v>
      </c>
      <c r="I158" s="63"/>
      <c r="J158" s="63" t="s">
        <v>1692</v>
      </c>
      <c r="K158" s="62" t="s">
        <v>163</v>
      </c>
      <c r="L158" s="130" t="s">
        <v>119</v>
      </c>
      <c r="M158" s="140" t="s">
        <v>1693</v>
      </c>
      <c r="N158" s="136"/>
      <c r="O158" s="143"/>
      <c r="P158" s="143" t="s">
        <v>119</v>
      </c>
      <c r="Q158" s="143" t="s">
        <v>119</v>
      </c>
      <c r="S158" s="180"/>
      <c r="AMD158" s="67"/>
      <c r="AME158" s="67"/>
      <c r="AMF158" s="67"/>
      <c r="AMG158" s="67"/>
      <c r="AMH158" s="67"/>
      <c r="AMI158" s="67"/>
      <c r="AMJ158" s="67"/>
    </row>
    <row r="159" s="135" customFormat="true" ht="13.5" hidden="true" customHeight="true" outlineLevel="0" collapsed="false">
      <c r="A159" s="126" t="n">
        <f aca="false">ROW()-8</f>
        <v>151</v>
      </c>
      <c r="B159" s="127"/>
      <c r="C159" s="127"/>
      <c r="D159" s="127"/>
      <c r="E159" s="129" t="s">
        <v>1694</v>
      </c>
      <c r="F159" s="129"/>
      <c r="G159" s="129"/>
      <c r="H159" s="62" t="s">
        <v>1695</v>
      </c>
      <c r="I159" s="63" t="s">
        <v>1404</v>
      </c>
      <c r="J159" s="63" t="s">
        <v>1696</v>
      </c>
      <c r="K159" s="62" t="s">
        <v>163</v>
      </c>
      <c r="L159" s="130"/>
      <c r="M159" s="62" t="s">
        <v>118</v>
      </c>
      <c r="N159" s="64"/>
      <c r="O159" s="143"/>
      <c r="P159" s="143" t="s">
        <v>119</v>
      </c>
      <c r="Q159" s="143" t="s">
        <v>119</v>
      </c>
      <c r="S159" s="180"/>
      <c r="AMD159" s="67"/>
      <c r="AME159" s="67"/>
      <c r="AMF159" s="67"/>
      <c r="AMG159" s="67"/>
      <c r="AMH159" s="67"/>
      <c r="AMI159" s="67"/>
      <c r="AMJ159" s="67"/>
    </row>
    <row r="160" s="135" customFormat="true" ht="13.5" hidden="true" customHeight="true" outlineLevel="0" collapsed="false">
      <c r="A160" s="126" t="n">
        <f aca="false">ROW()-8</f>
        <v>152</v>
      </c>
      <c r="B160" s="127"/>
      <c r="C160" s="127"/>
      <c r="D160" s="127"/>
      <c r="E160" s="129" t="s">
        <v>1697</v>
      </c>
      <c r="F160" s="129"/>
      <c r="G160" s="129"/>
      <c r="H160" s="62" t="s">
        <v>1698</v>
      </c>
      <c r="I160" s="63"/>
      <c r="J160" s="63" t="s">
        <v>1699</v>
      </c>
      <c r="K160" s="62" t="s">
        <v>163</v>
      </c>
      <c r="L160" s="130"/>
      <c r="M160" s="62" t="s">
        <v>118</v>
      </c>
      <c r="N160" s="64"/>
      <c r="O160" s="143"/>
      <c r="P160" s="143"/>
      <c r="Q160" s="143"/>
      <c r="S160" s="180"/>
      <c r="AMD160" s="67"/>
      <c r="AME160" s="67"/>
      <c r="AMF160" s="67"/>
      <c r="AMG160" s="67"/>
      <c r="AMH160" s="67"/>
      <c r="AMI160" s="67"/>
      <c r="AMJ160" s="67"/>
    </row>
    <row r="161" s="135" customFormat="true" ht="13.5" hidden="true" customHeight="true" outlineLevel="0" collapsed="false">
      <c r="A161" s="126" t="n">
        <f aca="false">ROW()-8</f>
        <v>153</v>
      </c>
      <c r="B161" s="127"/>
      <c r="C161" s="127"/>
      <c r="D161" s="127"/>
      <c r="E161" s="129" t="s">
        <v>1700</v>
      </c>
      <c r="F161" s="129"/>
      <c r="G161" s="129"/>
      <c r="H161" s="62" t="s">
        <v>1701</v>
      </c>
      <c r="I161" s="63"/>
      <c r="J161" s="63" t="s">
        <v>1702</v>
      </c>
      <c r="K161" s="62" t="s">
        <v>163</v>
      </c>
      <c r="L161" s="130"/>
      <c r="M161" s="62" t="s">
        <v>118</v>
      </c>
      <c r="N161" s="64"/>
      <c r="O161" s="143"/>
      <c r="P161" s="143"/>
      <c r="Q161" s="143"/>
      <c r="S161" s="180"/>
      <c r="AMD161" s="67"/>
      <c r="AME161" s="67"/>
      <c r="AMF161" s="67"/>
      <c r="AMG161" s="67"/>
      <c r="AMH161" s="67"/>
      <c r="AMI161" s="67"/>
      <c r="AMJ161" s="67"/>
    </row>
    <row r="162" s="135" customFormat="true" ht="13.5" hidden="true" customHeight="true" outlineLevel="0" collapsed="false">
      <c r="A162" s="126" t="n">
        <f aca="false">ROW()-8</f>
        <v>154</v>
      </c>
      <c r="B162" s="127"/>
      <c r="C162" s="127"/>
      <c r="D162" s="127"/>
      <c r="E162" s="129" t="s">
        <v>1703</v>
      </c>
      <c r="F162" s="129"/>
      <c r="G162" s="129"/>
      <c r="H162" s="62" t="s">
        <v>1704</v>
      </c>
      <c r="I162" s="63"/>
      <c r="J162" s="63" t="s">
        <v>1705</v>
      </c>
      <c r="K162" s="62" t="s">
        <v>163</v>
      </c>
      <c r="L162" s="130"/>
      <c r="M162" s="62" t="s">
        <v>1706</v>
      </c>
      <c r="N162" s="136"/>
      <c r="O162" s="143"/>
      <c r="P162" s="143" t="s">
        <v>119</v>
      </c>
      <c r="Q162" s="143" t="s">
        <v>119</v>
      </c>
      <c r="S162" s="180"/>
      <c r="AMD162" s="67"/>
      <c r="AME162" s="67"/>
      <c r="AMF162" s="67"/>
      <c r="AMG162" s="67"/>
      <c r="AMH162" s="67"/>
      <c r="AMI162" s="67"/>
      <c r="AMJ162" s="67"/>
    </row>
    <row r="163" s="135" customFormat="true" ht="13.5" hidden="true" customHeight="true" outlineLevel="0" collapsed="false">
      <c r="A163" s="126" t="n">
        <f aca="false">ROW()-8</f>
        <v>155</v>
      </c>
      <c r="B163" s="127"/>
      <c r="C163" s="127"/>
      <c r="D163" s="127"/>
      <c r="E163" s="129" t="s">
        <v>1707</v>
      </c>
      <c r="F163" s="129"/>
      <c r="G163" s="129"/>
      <c r="H163" s="62" t="s">
        <v>1708</v>
      </c>
      <c r="I163" s="63" t="s">
        <v>1709</v>
      </c>
      <c r="J163" s="63" t="s">
        <v>1710</v>
      </c>
      <c r="K163" s="62" t="s">
        <v>163</v>
      </c>
      <c r="L163" s="130"/>
      <c r="M163" s="62" t="s">
        <v>118</v>
      </c>
      <c r="N163" s="63" t="s">
        <v>1711</v>
      </c>
      <c r="O163" s="143"/>
      <c r="P163" s="143" t="s">
        <v>119</v>
      </c>
      <c r="Q163" s="143" t="s">
        <v>119</v>
      </c>
      <c r="S163" s="180"/>
      <c r="AMD163" s="67"/>
      <c r="AME163" s="67"/>
      <c r="AMF163" s="67"/>
      <c r="AMG163" s="67"/>
      <c r="AMH163" s="67"/>
      <c r="AMI163" s="67"/>
      <c r="AMJ163" s="67"/>
    </row>
    <row r="164" s="135" customFormat="true" ht="13.5" hidden="true" customHeight="true" outlineLevel="0" collapsed="false">
      <c r="A164" s="126" t="n">
        <f aca="false">ROW()-8</f>
        <v>156</v>
      </c>
      <c r="B164" s="127"/>
      <c r="C164" s="127"/>
      <c r="D164" s="127"/>
      <c r="E164" s="129" t="s">
        <v>1712</v>
      </c>
      <c r="F164" s="129"/>
      <c r="G164" s="129"/>
      <c r="H164" s="62" t="s">
        <v>1713</v>
      </c>
      <c r="I164" s="63"/>
      <c r="J164" s="63" t="s">
        <v>1714</v>
      </c>
      <c r="K164" s="62" t="s">
        <v>163</v>
      </c>
      <c r="L164" s="130"/>
      <c r="M164" s="62" t="s">
        <v>1615</v>
      </c>
      <c r="N164" s="168"/>
      <c r="O164" s="143"/>
      <c r="P164" s="143"/>
      <c r="Q164" s="143"/>
      <c r="S164" s="180"/>
      <c r="AMD164" s="67"/>
      <c r="AME164" s="67"/>
      <c r="AMF164" s="67"/>
      <c r="AMG164" s="67"/>
      <c r="AMH164" s="67"/>
      <c r="AMI164" s="67"/>
      <c r="AMJ164" s="67"/>
    </row>
    <row r="165" s="135" customFormat="true" ht="13.5" hidden="true" customHeight="true" outlineLevel="0" collapsed="false">
      <c r="A165" s="126" t="n">
        <f aca="false">ROW()-8</f>
        <v>157</v>
      </c>
      <c r="B165" s="127"/>
      <c r="C165" s="127"/>
      <c r="D165" s="127" t="s">
        <v>1715</v>
      </c>
      <c r="E165" s="139" t="s">
        <v>1716</v>
      </c>
      <c r="F165" s="139"/>
      <c r="G165" s="139"/>
      <c r="H165" s="62" t="s">
        <v>1717</v>
      </c>
      <c r="I165" s="63"/>
      <c r="J165" s="63" t="s">
        <v>1718</v>
      </c>
      <c r="K165" s="62" t="s">
        <v>163</v>
      </c>
      <c r="L165" s="130" t="s">
        <v>119</v>
      </c>
      <c r="M165" s="140" t="s">
        <v>1562</v>
      </c>
      <c r="N165" s="64"/>
      <c r="O165" s="143"/>
      <c r="P165" s="143" t="s">
        <v>119</v>
      </c>
      <c r="Q165" s="143" t="s">
        <v>119</v>
      </c>
      <c r="S165" s="180"/>
      <c r="AMD165" s="67"/>
      <c r="AME165" s="67"/>
      <c r="AMF165" s="67"/>
      <c r="AMG165" s="67"/>
      <c r="AMH165" s="67"/>
      <c r="AMI165" s="67"/>
      <c r="AMJ165" s="67"/>
    </row>
    <row r="166" s="135" customFormat="true" ht="13.5" hidden="true" customHeight="true" outlineLevel="0" collapsed="false">
      <c r="A166" s="126" t="n">
        <f aca="false">ROW()-8</f>
        <v>158</v>
      </c>
      <c r="B166" s="127"/>
      <c r="C166" s="141" t="s">
        <v>1266</v>
      </c>
      <c r="D166" s="139" t="s">
        <v>1244</v>
      </c>
      <c r="E166" s="139"/>
      <c r="F166" s="139"/>
      <c r="G166" s="139"/>
      <c r="H166" s="62" t="s">
        <v>1719</v>
      </c>
      <c r="I166" s="63"/>
      <c r="J166" s="62" t="s">
        <v>1268</v>
      </c>
      <c r="K166" s="62" t="s">
        <v>163</v>
      </c>
      <c r="L166" s="130" t="s">
        <v>119</v>
      </c>
      <c r="M166" s="140" t="s">
        <v>1248</v>
      </c>
      <c r="N166" s="62" t="s">
        <v>1720</v>
      </c>
      <c r="O166" s="65"/>
      <c r="P166" s="143"/>
      <c r="Q166" s="143"/>
      <c r="S166" s="180"/>
      <c r="AMD166" s="67"/>
      <c r="AME166" s="67"/>
      <c r="AMF166" s="67"/>
      <c r="AMG166" s="67"/>
      <c r="AMH166" s="67"/>
      <c r="AMI166" s="67"/>
      <c r="AMJ166" s="67"/>
    </row>
    <row r="167" s="135" customFormat="true" ht="12.75" hidden="true" customHeight="true" outlineLevel="0" collapsed="false">
      <c r="A167" s="126" t="n">
        <f aca="false">ROW()-8</f>
        <v>159</v>
      </c>
      <c r="B167" s="127"/>
      <c r="C167" s="141" t="s">
        <v>1721</v>
      </c>
      <c r="D167" s="139"/>
      <c r="E167" s="139"/>
      <c r="F167" s="139"/>
      <c r="G167" s="139"/>
      <c r="H167" s="62" t="s">
        <v>1722</v>
      </c>
      <c r="I167" s="137"/>
      <c r="J167" s="63" t="s">
        <v>1390</v>
      </c>
      <c r="K167" s="62" t="s">
        <v>163</v>
      </c>
      <c r="L167" s="130" t="s">
        <v>119</v>
      </c>
      <c r="M167" s="149" t="s">
        <v>1723</v>
      </c>
      <c r="N167" s="136"/>
      <c r="O167" s="138"/>
      <c r="P167" s="143" t="s">
        <v>119</v>
      </c>
      <c r="Q167" s="143" t="s">
        <v>119</v>
      </c>
      <c r="S167" s="180"/>
      <c r="AMD167" s="169"/>
      <c r="AME167" s="169"/>
      <c r="AMF167" s="169"/>
      <c r="AMG167" s="169"/>
      <c r="AMH167" s="169"/>
      <c r="AMI167" s="169"/>
      <c r="AMJ167" s="169"/>
    </row>
    <row r="168" s="135" customFormat="true" ht="13.5" hidden="true" customHeight="true" outlineLevel="0" collapsed="false">
      <c r="A168" s="126" t="n">
        <f aca="false">ROW()-8</f>
        <v>160</v>
      </c>
      <c r="B168" s="127"/>
      <c r="C168" s="141"/>
      <c r="D168" s="129" t="s">
        <v>1724</v>
      </c>
      <c r="E168" s="129"/>
      <c r="F168" s="129"/>
      <c r="G168" s="129"/>
      <c r="H168" s="62" t="s">
        <v>1725</v>
      </c>
      <c r="I168" s="63" t="n">
        <v>31</v>
      </c>
      <c r="J168" s="63" t="s">
        <v>1726</v>
      </c>
      <c r="K168" s="62" t="s">
        <v>163</v>
      </c>
      <c r="L168" s="130"/>
      <c r="M168" s="62" t="s">
        <v>1364</v>
      </c>
      <c r="N168" s="62"/>
      <c r="O168" s="65"/>
      <c r="P168" s="143" t="s">
        <v>119</v>
      </c>
      <c r="Q168" s="143" t="s">
        <v>119</v>
      </c>
      <c r="S168" s="180"/>
      <c r="AMD168" s="67"/>
      <c r="AME168" s="67"/>
      <c r="AMF168" s="67"/>
      <c r="AMG168" s="67"/>
      <c r="AMH168" s="67"/>
      <c r="AMI168" s="67"/>
      <c r="AMJ168" s="67"/>
    </row>
    <row r="169" s="135" customFormat="true" ht="13.5" hidden="true" customHeight="true" outlineLevel="0" collapsed="false">
      <c r="A169" s="126" t="n">
        <f aca="false">ROW()-8</f>
        <v>161</v>
      </c>
      <c r="B169" s="127"/>
      <c r="C169" s="141"/>
      <c r="D169" s="129" t="s">
        <v>1727</v>
      </c>
      <c r="E169" s="129"/>
      <c r="F169" s="129"/>
      <c r="G169" s="129"/>
      <c r="H169" s="62" t="s">
        <v>1728</v>
      </c>
      <c r="I169" s="63" t="n">
        <v>109</v>
      </c>
      <c r="J169" s="63" t="s">
        <v>1451</v>
      </c>
      <c r="K169" s="62" t="s">
        <v>163</v>
      </c>
      <c r="L169" s="130"/>
      <c r="M169" s="62" t="s">
        <v>1364</v>
      </c>
      <c r="N169" s="62"/>
      <c r="O169" s="65"/>
      <c r="P169" s="143" t="s">
        <v>119</v>
      </c>
      <c r="Q169" s="143" t="s">
        <v>119</v>
      </c>
      <c r="S169" s="180"/>
      <c r="AMD169" s="67"/>
      <c r="AME169" s="67"/>
      <c r="AMF169" s="67"/>
      <c r="AMG169" s="67"/>
      <c r="AMH169" s="67"/>
      <c r="AMI169" s="67"/>
      <c r="AMJ169" s="67"/>
    </row>
    <row r="170" s="135" customFormat="true" ht="12.75" hidden="true" customHeight="true" outlineLevel="0" collapsed="false">
      <c r="A170" s="126" t="n">
        <f aca="false">ROW()-8</f>
        <v>162</v>
      </c>
      <c r="B170" s="127"/>
      <c r="C170" s="141"/>
      <c r="D170" s="129" t="s">
        <v>1729</v>
      </c>
      <c r="E170" s="129"/>
      <c r="F170" s="129"/>
      <c r="G170" s="129"/>
      <c r="H170" s="62" t="s">
        <v>1730</v>
      </c>
      <c r="I170" s="63" t="s">
        <v>1731</v>
      </c>
      <c r="J170" s="63" t="s">
        <v>1732</v>
      </c>
      <c r="K170" s="62" t="s">
        <v>163</v>
      </c>
      <c r="L170" s="130"/>
      <c r="M170" s="152" t="s">
        <v>118</v>
      </c>
      <c r="N170" s="62" t="s">
        <v>1733</v>
      </c>
      <c r="O170" s="65"/>
      <c r="P170" s="143" t="s">
        <v>119</v>
      </c>
      <c r="Q170" s="143" t="s">
        <v>119</v>
      </c>
      <c r="S170" s="180"/>
      <c r="AMD170" s="67"/>
      <c r="AME170" s="67"/>
      <c r="AMF170" s="67"/>
      <c r="AMG170" s="67"/>
      <c r="AMH170" s="67"/>
      <c r="AMI170" s="67"/>
      <c r="AMJ170" s="67"/>
    </row>
    <row r="171" s="135" customFormat="true" ht="13.5" hidden="true" customHeight="true" outlineLevel="0" collapsed="false">
      <c r="A171" s="126" t="n">
        <f aca="false">ROW()-8</f>
        <v>163</v>
      </c>
      <c r="B171" s="127"/>
      <c r="C171" s="69"/>
      <c r="D171" s="129" t="s">
        <v>1734</v>
      </c>
      <c r="E171" s="129"/>
      <c r="F171" s="129"/>
      <c r="G171" s="129"/>
      <c r="H171" s="62" t="s">
        <v>1735</v>
      </c>
      <c r="I171" s="63" t="s">
        <v>1295</v>
      </c>
      <c r="J171" s="63" t="s">
        <v>1296</v>
      </c>
      <c r="K171" s="62" t="s">
        <v>163</v>
      </c>
      <c r="L171" s="130"/>
      <c r="M171" s="62" t="s">
        <v>118</v>
      </c>
      <c r="N171" s="62" t="s">
        <v>1297</v>
      </c>
      <c r="O171" s="65"/>
      <c r="P171" s="143" t="s">
        <v>119</v>
      </c>
      <c r="Q171" s="143" t="s">
        <v>119</v>
      </c>
      <c r="S171" s="180"/>
      <c r="AMD171" s="67"/>
      <c r="AME171" s="67"/>
      <c r="AMF171" s="67"/>
      <c r="AMG171" s="67"/>
      <c r="AMH171" s="67"/>
      <c r="AMI171" s="67"/>
      <c r="AMJ171" s="67"/>
    </row>
    <row r="172" s="135" customFormat="true" ht="13.5" hidden="true" customHeight="true" outlineLevel="0" collapsed="false">
      <c r="A172" s="126" t="n">
        <f aca="false">ROW()-8</f>
        <v>164</v>
      </c>
      <c r="B172" s="141"/>
      <c r="C172" s="127"/>
      <c r="D172" s="129" t="s">
        <v>1736</v>
      </c>
      <c r="E172" s="129"/>
      <c r="F172" s="129"/>
      <c r="G172" s="129"/>
      <c r="H172" s="62" t="s">
        <v>1737</v>
      </c>
      <c r="I172" s="63" t="s">
        <v>1738</v>
      </c>
      <c r="J172" s="63" t="s">
        <v>1739</v>
      </c>
      <c r="K172" s="62" t="s">
        <v>163</v>
      </c>
      <c r="L172" s="130"/>
      <c r="M172" s="62" t="s">
        <v>118</v>
      </c>
      <c r="N172" s="62"/>
      <c r="O172" s="65"/>
      <c r="P172" s="143" t="s">
        <v>119</v>
      </c>
      <c r="Q172" s="143" t="s">
        <v>119</v>
      </c>
      <c r="S172" s="180"/>
      <c r="AMD172" s="67"/>
      <c r="AME172" s="67"/>
      <c r="AMF172" s="67"/>
      <c r="AMG172" s="67"/>
      <c r="AMH172" s="67"/>
      <c r="AMI172" s="67"/>
      <c r="AMJ172" s="67"/>
    </row>
    <row r="173" s="135" customFormat="true" ht="13.5" hidden="true" customHeight="true" outlineLevel="0" collapsed="false">
      <c r="A173" s="126" t="n">
        <f aca="false">ROW()-8</f>
        <v>165</v>
      </c>
      <c r="B173" s="141"/>
      <c r="C173" s="127"/>
      <c r="D173" s="129" t="s">
        <v>1740</v>
      </c>
      <c r="E173" s="129"/>
      <c r="F173" s="129"/>
      <c r="G173" s="129"/>
      <c r="H173" s="62" t="s">
        <v>1741</v>
      </c>
      <c r="I173" s="63" t="s">
        <v>1742</v>
      </c>
      <c r="J173" s="63" t="s">
        <v>1743</v>
      </c>
      <c r="K173" s="62" t="s">
        <v>163</v>
      </c>
      <c r="L173" s="130"/>
      <c r="M173" s="62" t="s">
        <v>118</v>
      </c>
      <c r="N173" s="62"/>
      <c r="O173" s="65"/>
      <c r="P173" s="143" t="s">
        <v>119</v>
      </c>
      <c r="Q173" s="143" t="s">
        <v>119</v>
      </c>
      <c r="S173" s="180"/>
      <c r="AMD173" s="67"/>
      <c r="AME173" s="67"/>
      <c r="AMF173" s="67"/>
      <c r="AMG173" s="67"/>
      <c r="AMH173" s="67"/>
      <c r="AMI173" s="67"/>
      <c r="AMJ173" s="67"/>
    </row>
    <row r="174" s="135" customFormat="true" ht="13.5" hidden="true" customHeight="true" outlineLevel="0" collapsed="false">
      <c r="A174" s="126" t="n">
        <f aca="false">ROW()-8</f>
        <v>166</v>
      </c>
      <c r="B174" s="141"/>
      <c r="C174" s="127"/>
      <c r="D174" s="129" t="s">
        <v>1744</v>
      </c>
      <c r="E174" s="129"/>
      <c r="F174" s="129"/>
      <c r="G174" s="129"/>
      <c r="H174" s="62" t="s">
        <v>1745</v>
      </c>
      <c r="I174" s="63"/>
      <c r="J174" s="63" t="s">
        <v>1746</v>
      </c>
      <c r="K174" s="62" t="s">
        <v>1247</v>
      </c>
      <c r="L174" s="130"/>
      <c r="M174" s="62" t="s">
        <v>118</v>
      </c>
      <c r="N174" s="62"/>
      <c r="O174" s="65"/>
      <c r="P174" s="143"/>
      <c r="Q174" s="143"/>
      <c r="S174" s="180"/>
      <c r="AMD174" s="67"/>
      <c r="AME174" s="67"/>
      <c r="AMF174" s="67"/>
      <c r="AMG174" s="67"/>
      <c r="AMH174" s="67"/>
      <c r="AMI174" s="67"/>
      <c r="AMJ174" s="67"/>
    </row>
    <row r="175" s="135" customFormat="true" ht="13.5" hidden="true" customHeight="true" outlineLevel="0" collapsed="false">
      <c r="A175" s="126" t="n">
        <f aca="false">ROW()-8</f>
        <v>167</v>
      </c>
      <c r="B175" s="127"/>
      <c r="C175" s="141" t="s">
        <v>1747</v>
      </c>
      <c r="D175" s="129"/>
      <c r="E175" s="129"/>
      <c r="F175" s="129"/>
      <c r="G175" s="129"/>
      <c r="H175" s="62" t="s">
        <v>1748</v>
      </c>
      <c r="I175" s="63"/>
      <c r="J175" s="63" t="s">
        <v>1749</v>
      </c>
      <c r="K175" s="62" t="s">
        <v>163</v>
      </c>
      <c r="L175" s="130" t="s">
        <v>119</v>
      </c>
      <c r="M175" s="149" t="s">
        <v>1749</v>
      </c>
      <c r="N175" s="62"/>
      <c r="O175" s="65"/>
      <c r="P175" s="143" t="s">
        <v>119</v>
      </c>
      <c r="Q175" s="143" t="s">
        <v>119</v>
      </c>
      <c r="S175" s="180"/>
      <c r="AMD175" s="67"/>
      <c r="AME175" s="67"/>
      <c r="AMF175" s="67"/>
      <c r="AMG175" s="67"/>
      <c r="AMH175" s="67"/>
      <c r="AMI175" s="67"/>
      <c r="AMJ175" s="67"/>
    </row>
    <row r="176" s="135" customFormat="true" ht="13.5" hidden="true" customHeight="true" outlineLevel="0" collapsed="false">
      <c r="A176" s="126" t="n">
        <f aca="false">ROW()-8</f>
        <v>168</v>
      </c>
      <c r="B176" s="127"/>
      <c r="C176" s="141"/>
      <c r="D176" s="129" t="s">
        <v>1750</v>
      </c>
      <c r="E176" s="139" t="s">
        <v>1244</v>
      </c>
      <c r="F176" s="139"/>
      <c r="G176" s="139"/>
      <c r="H176" s="62" t="s">
        <v>1751</v>
      </c>
      <c r="I176" s="63"/>
      <c r="J176" s="63" t="s">
        <v>1752</v>
      </c>
      <c r="K176" s="62" t="s">
        <v>163</v>
      </c>
      <c r="L176" s="130" t="s">
        <v>119</v>
      </c>
      <c r="M176" s="149" t="s">
        <v>1248</v>
      </c>
      <c r="N176" s="170" t="s">
        <v>1753</v>
      </c>
      <c r="O176" s="65"/>
      <c r="P176" s="143" t="s">
        <v>119</v>
      </c>
      <c r="Q176" s="143" t="s">
        <v>119</v>
      </c>
      <c r="S176" s="180"/>
      <c r="AMD176" s="67"/>
      <c r="AME176" s="67"/>
      <c r="AMF176" s="67"/>
      <c r="AMG176" s="67"/>
      <c r="AMH176" s="67"/>
      <c r="AMI176" s="67"/>
      <c r="AMJ176" s="67"/>
    </row>
    <row r="177" s="135" customFormat="true" ht="14.25" hidden="true" customHeight="true" outlineLevel="0" collapsed="false">
      <c r="A177" s="126" t="n">
        <f aca="false">ROW()-8</f>
        <v>169</v>
      </c>
      <c r="B177" s="127"/>
      <c r="C177" s="141"/>
      <c r="D177" s="129" t="s">
        <v>1754</v>
      </c>
      <c r="E177" s="139" t="s">
        <v>1244</v>
      </c>
      <c r="F177" s="139"/>
      <c r="G177" s="139"/>
      <c r="H177" s="62" t="s">
        <v>1755</v>
      </c>
      <c r="I177" s="63"/>
      <c r="J177" s="63" t="s">
        <v>1756</v>
      </c>
      <c r="K177" s="62" t="s">
        <v>1247</v>
      </c>
      <c r="L177" s="130" t="s">
        <v>119</v>
      </c>
      <c r="M177" s="149" t="s">
        <v>1248</v>
      </c>
      <c r="N177" s="170" t="s">
        <v>1753</v>
      </c>
      <c r="O177" s="65"/>
      <c r="P177" s="143" t="s">
        <v>119</v>
      </c>
      <c r="Q177" s="143" t="s">
        <v>119</v>
      </c>
      <c r="S177" s="180"/>
      <c r="AMD177" s="67"/>
      <c r="AME177" s="67"/>
      <c r="AMF177" s="67"/>
      <c r="AMG177" s="67"/>
      <c r="AMH177" s="67"/>
      <c r="AMI177" s="67"/>
      <c r="AMJ177" s="67"/>
    </row>
    <row r="178" s="135" customFormat="true" ht="13.5" hidden="true" customHeight="true" outlineLevel="0" collapsed="false">
      <c r="A178" s="126" t="n">
        <f aca="false">ROW()-8</f>
        <v>170</v>
      </c>
      <c r="B178" s="127"/>
      <c r="C178" s="141" t="s">
        <v>1757</v>
      </c>
      <c r="D178" s="139" t="s">
        <v>1244</v>
      </c>
      <c r="E178" s="139"/>
      <c r="F178" s="139"/>
      <c r="G178" s="139"/>
      <c r="H178" s="62" t="s">
        <v>1758</v>
      </c>
      <c r="I178" s="63"/>
      <c r="J178" s="63" t="s">
        <v>1759</v>
      </c>
      <c r="K178" s="62" t="s">
        <v>163</v>
      </c>
      <c r="L178" s="130" t="s">
        <v>119</v>
      </c>
      <c r="M178" s="149" t="s">
        <v>1248</v>
      </c>
      <c r="N178" s="62"/>
      <c r="O178" s="65"/>
      <c r="P178" s="65"/>
      <c r="Q178" s="65"/>
      <c r="S178" s="180"/>
      <c r="AMD178" s="67"/>
      <c r="AME178" s="67"/>
      <c r="AMF178" s="67"/>
      <c r="AMG178" s="67"/>
      <c r="AMH178" s="67"/>
      <c r="AMI178" s="67"/>
      <c r="AMJ178" s="67"/>
    </row>
    <row r="179" s="135" customFormat="true" ht="13.5" hidden="true" customHeight="true" outlineLevel="0" collapsed="false">
      <c r="A179" s="126" t="n">
        <f aca="false">ROW()-8</f>
        <v>171</v>
      </c>
      <c r="B179" s="127"/>
      <c r="C179" s="141" t="s">
        <v>1760</v>
      </c>
      <c r="D179" s="129"/>
      <c r="E179" s="129"/>
      <c r="F179" s="129"/>
      <c r="G179" s="129"/>
      <c r="H179" s="62" t="s">
        <v>1761</v>
      </c>
      <c r="I179" s="63"/>
      <c r="J179" s="63" t="s">
        <v>1313</v>
      </c>
      <c r="K179" s="171" t="s">
        <v>1247</v>
      </c>
      <c r="L179" s="130"/>
      <c r="M179" s="62" t="s">
        <v>118</v>
      </c>
      <c r="N179" s="62"/>
      <c r="O179" s="65"/>
      <c r="P179" s="65"/>
      <c r="Q179" s="65"/>
      <c r="S179" s="180"/>
      <c r="AMD179" s="67"/>
      <c r="AME179" s="67"/>
      <c r="AMF179" s="67"/>
      <c r="AMG179" s="67"/>
      <c r="AMH179" s="67"/>
      <c r="AMI179" s="67"/>
      <c r="AMJ179" s="67"/>
    </row>
    <row r="180" s="135" customFormat="true" ht="13.5" hidden="true" customHeight="true" outlineLevel="0" collapsed="false">
      <c r="A180" s="126" t="n">
        <f aca="false">ROW()-8</f>
        <v>172</v>
      </c>
      <c r="B180" s="141" t="s">
        <v>1762</v>
      </c>
      <c r="C180" s="139"/>
      <c r="D180" s="139"/>
      <c r="E180" s="139"/>
      <c r="F180" s="139"/>
      <c r="G180" s="139"/>
      <c r="H180" s="62" t="s">
        <v>1763</v>
      </c>
      <c r="I180" s="63"/>
      <c r="J180" s="63" t="s">
        <v>1764</v>
      </c>
      <c r="K180" s="171" t="s">
        <v>1247</v>
      </c>
      <c r="L180" s="130" t="s">
        <v>119</v>
      </c>
      <c r="M180" s="149" t="s">
        <v>1764</v>
      </c>
      <c r="N180" s="62"/>
      <c r="O180" s="65"/>
      <c r="P180" s="143" t="s">
        <v>119</v>
      </c>
      <c r="Q180" s="143" t="s">
        <v>119</v>
      </c>
      <c r="S180" s="180"/>
      <c r="AMD180" s="67"/>
      <c r="AME180" s="67"/>
      <c r="AMF180" s="67"/>
      <c r="AMG180" s="67"/>
      <c r="AMH180" s="67"/>
      <c r="AMI180" s="67"/>
      <c r="AMJ180" s="67"/>
    </row>
    <row r="181" s="135" customFormat="true" ht="13.5" hidden="true" customHeight="true" outlineLevel="0" collapsed="false">
      <c r="A181" s="126" t="n">
        <f aca="false">ROW()-8</f>
        <v>173</v>
      </c>
      <c r="B181" s="127"/>
      <c r="C181" s="127" t="s">
        <v>1631</v>
      </c>
      <c r="D181" s="129"/>
      <c r="E181" s="129"/>
      <c r="F181" s="129"/>
      <c r="G181" s="129"/>
      <c r="H181" s="62" t="s">
        <v>1765</v>
      </c>
      <c r="I181" s="63" t="s">
        <v>1633</v>
      </c>
      <c r="J181" s="63" t="s">
        <v>1634</v>
      </c>
      <c r="K181" s="62" t="s">
        <v>163</v>
      </c>
      <c r="L181" s="130"/>
      <c r="M181" s="62" t="s">
        <v>118</v>
      </c>
      <c r="N181" s="62" t="s">
        <v>1893</v>
      </c>
      <c r="O181" s="65"/>
      <c r="P181" s="143" t="s">
        <v>119</v>
      </c>
      <c r="Q181" s="143" t="s">
        <v>119</v>
      </c>
      <c r="S181" s="180"/>
      <c r="AMD181" s="67"/>
      <c r="AME181" s="67"/>
      <c r="AMF181" s="67"/>
      <c r="AMG181" s="67"/>
      <c r="AMH181" s="67"/>
      <c r="AMI181" s="67"/>
      <c r="AMJ181" s="67"/>
    </row>
    <row r="182" s="135" customFormat="true" ht="13.5" hidden="true" customHeight="true" outlineLevel="0" collapsed="false">
      <c r="A182" s="126" t="n">
        <f aca="false">ROW()-8</f>
        <v>174</v>
      </c>
      <c r="B182" s="141"/>
      <c r="C182" s="129" t="s">
        <v>1766</v>
      </c>
      <c r="D182" s="129"/>
      <c r="E182" s="139"/>
      <c r="F182" s="139"/>
      <c r="G182" s="139"/>
      <c r="H182" s="62" t="s">
        <v>1767</v>
      </c>
      <c r="I182" s="63"/>
      <c r="J182" s="63" t="s">
        <v>1768</v>
      </c>
      <c r="K182" s="62" t="s">
        <v>117</v>
      </c>
      <c r="L182" s="130" t="s">
        <v>119</v>
      </c>
      <c r="M182" s="149" t="s">
        <v>1768</v>
      </c>
      <c r="N182" s="62"/>
      <c r="O182" s="65"/>
      <c r="P182" s="143" t="s">
        <v>119</v>
      </c>
      <c r="Q182" s="143" t="s">
        <v>119</v>
      </c>
      <c r="S182" s="180"/>
      <c r="AMD182" s="67"/>
      <c r="AME182" s="67"/>
      <c r="AMF182" s="67"/>
      <c r="AMG182" s="67"/>
      <c r="AMH182" s="67"/>
      <c r="AMI182" s="67"/>
      <c r="AMJ182" s="67"/>
    </row>
    <row r="183" s="135" customFormat="true" ht="13.5" hidden="true" customHeight="true" outlineLevel="0" collapsed="false">
      <c r="A183" s="126" t="n">
        <f aca="false">ROW()-8</f>
        <v>175</v>
      </c>
      <c r="B183" s="164"/>
      <c r="C183" s="164"/>
      <c r="D183" s="129" t="s">
        <v>1769</v>
      </c>
      <c r="E183" s="129"/>
      <c r="F183" s="129"/>
      <c r="G183" s="129"/>
      <c r="H183" s="62" t="s">
        <v>1770</v>
      </c>
      <c r="I183" s="63"/>
      <c r="J183" s="63" t="s">
        <v>1257</v>
      </c>
      <c r="K183" s="62" t="s">
        <v>163</v>
      </c>
      <c r="L183" s="130"/>
      <c r="M183" s="62" t="s">
        <v>118</v>
      </c>
      <c r="N183" s="64"/>
      <c r="O183" s="65"/>
      <c r="P183" s="143" t="s">
        <v>119</v>
      </c>
      <c r="Q183" s="143" t="s">
        <v>119</v>
      </c>
      <c r="S183" s="180"/>
      <c r="AMD183" s="67"/>
      <c r="AME183" s="67"/>
      <c r="AMF183" s="67"/>
      <c r="AMG183" s="67"/>
      <c r="AMH183" s="67"/>
      <c r="AMI183" s="67"/>
      <c r="AMJ183" s="67"/>
    </row>
    <row r="184" s="135" customFormat="true" ht="13.5" hidden="true" customHeight="true" outlineLevel="0" collapsed="false">
      <c r="A184" s="126" t="n">
        <f aca="false">ROW()-8</f>
        <v>176</v>
      </c>
      <c r="B184" s="127"/>
      <c r="C184" s="127"/>
      <c r="D184" s="129" t="s">
        <v>1771</v>
      </c>
      <c r="E184" s="129"/>
      <c r="F184" s="129"/>
      <c r="G184" s="129"/>
      <c r="H184" s="62" t="s">
        <v>1772</v>
      </c>
      <c r="I184" s="63" t="s">
        <v>1591</v>
      </c>
      <c r="J184" s="63" t="s">
        <v>1592</v>
      </c>
      <c r="K184" s="62" t="s">
        <v>117</v>
      </c>
      <c r="L184" s="130"/>
      <c r="M184" s="62" t="s">
        <v>118</v>
      </c>
      <c r="N184" s="137" t="s">
        <v>1773</v>
      </c>
      <c r="O184" s="65"/>
      <c r="P184" s="143" t="s">
        <v>119</v>
      </c>
      <c r="Q184" s="143" t="s">
        <v>119</v>
      </c>
      <c r="S184" s="180"/>
      <c r="AMD184" s="67"/>
      <c r="AME184" s="67"/>
      <c r="AMF184" s="67"/>
      <c r="AMG184" s="67"/>
      <c r="AMH184" s="67"/>
      <c r="AMI184" s="67"/>
      <c r="AMJ184" s="67"/>
    </row>
    <row r="185" s="135" customFormat="true" ht="13.5" hidden="true" customHeight="true" outlineLevel="0" collapsed="false">
      <c r="A185" s="126" t="n">
        <f aca="false">ROW()-8</f>
        <v>177</v>
      </c>
      <c r="B185" s="127"/>
      <c r="C185" s="127" t="s">
        <v>1774</v>
      </c>
      <c r="D185" s="129"/>
      <c r="E185" s="129"/>
      <c r="F185" s="129"/>
      <c r="G185" s="129"/>
      <c r="H185" s="62" t="s">
        <v>1775</v>
      </c>
      <c r="I185" s="63" t="s">
        <v>1776</v>
      </c>
      <c r="J185" s="63" t="s">
        <v>1777</v>
      </c>
      <c r="K185" s="62" t="s">
        <v>117</v>
      </c>
      <c r="L185" s="130"/>
      <c r="M185" s="62" t="s">
        <v>118</v>
      </c>
      <c r="N185" s="62" t="s">
        <v>1894</v>
      </c>
      <c r="O185" s="65"/>
      <c r="P185" s="65" t="s">
        <v>119</v>
      </c>
      <c r="Q185" s="65" t="s">
        <v>119</v>
      </c>
      <c r="S185" s="180"/>
      <c r="AMD185" s="67"/>
      <c r="AME185" s="67"/>
      <c r="AMF185" s="67"/>
      <c r="AMG185" s="67"/>
      <c r="AMH185" s="67"/>
      <c r="AMI185" s="67"/>
      <c r="AMJ185" s="67"/>
    </row>
    <row r="186" s="135" customFormat="true" ht="13.5" hidden="true" customHeight="true" outlineLevel="0" collapsed="false">
      <c r="A186" s="126" t="n">
        <f aca="false">ROW()-8</f>
        <v>178</v>
      </c>
      <c r="B186" s="141"/>
      <c r="C186" s="127" t="s">
        <v>1779</v>
      </c>
      <c r="D186" s="129"/>
      <c r="E186" s="129"/>
      <c r="F186" s="129"/>
      <c r="G186" s="129"/>
      <c r="H186" s="62" t="s">
        <v>1780</v>
      </c>
      <c r="I186" s="63" t="s">
        <v>1214</v>
      </c>
      <c r="J186" s="63" t="s">
        <v>1215</v>
      </c>
      <c r="K186" s="62" t="s">
        <v>163</v>
      </c>
      <c r="L186" s="130"/>
      <c r="M186" s="62" t="s">
        <v>134</v>
      </c>
      <c r="N186" s="62" t="s">
        <v>1216</v>
      </c>
      <c r="O186" s="65"/>
      <c r="P186" s="65" t="s">
        <v>119</v>
      </c>
      <c r="Q186" s="65" t="s">
        <v>119</v>
      </c>
      <c r="S186" s="180"/>
      <c r="AMD186" s="67"/>
      <c r="AME186" s="67"/>
      <c r="AMF186" s="67"/>
      <c r="AMG186" s="67"/>
      <c r="AMH186" s="67"/>
      <c r="AMI186" s="67"/>
      <c r="AMJ186" s="67"/>
    </row>
    <row r="187" s="135" customFormat="true" ht="13.5" hidden="true" customHeight="true" outlineLevel="0" collapsed="false">
      <c r="A187" s="126" t="n">
        <f aca="false">ROW()-8</f>
        <v>179</v>
      </c>
      <c r="B187" s="141"/>
      <c r="C187" s="129" t="s">
        <v>1781</v>
      </c>
      <c r="D187" s="129"/>
      <c r="E187" s="129"/>
      <c r="F187" s="129"/>
      <c r="G187" s="129"/>
      <c r="H187" s="62" t="s">
        <v>1782</v>
      </c>
      <c r="I187" s="63"/>
      <c r="J187" s="63" t="s">
        <v>1313</v>
      </c>
      <c r="K187" s="62" t="s">
        <v>117</v>
      </c>
      <c r="L187" s="130"/>
      <c r="M187" s="62" t="s">
        <v>118</v>
      </c>
      <c r="N187" s="62"/>
      <c r="O187" s="65"/>
      <c r="P187" s="143" t="s">
        <v>119</v>
      </c>
      <c r="Q187" s="143" t="s">
        <v>119</v>
      </c>
      <c r="S187" s="180"/>
      <c r="AMD187" s="67"/>
      <c r="AME187" s="67"/>
      <c r="AMF187" s="67"/>
      <c r="AMG187" s="67"/>
      <c r="AMH187" s="67"/>
      <c r="AMI187" s="67"/>
      <c r="AMJ187" s="67"/>
    </row>
    <row r="188" s="135" customFormat="true" ht="13.5" hidden="true" customHeight="true" outlineLevel="0" collapsed="false">
      <c r="A188" s="126" t="n">
        <f aca="false">ROW()-8</f>
        <v>180</v>
      </c>
      <c r="B188" s="127" t="s">
        <v>1783</v>
      </c>
      <c r="C188" s="139"/>
      <c r="D188" s="139"/>
      <c r="E188" s="139"/>
      <c r="F188" s="139"/>
      <c r="G188" s="139"/>
      <c r="H188" s="172" t="s">
        <v>1784</v>
      </c>
      <c r="I188" s="63"/>
      <c r="J188" s="63" t="s">
        <v>1785</v>
      </c>
      <c r="K188" s="62" t="s">
        <v>1247</v>
      </c>
      <c r="L188" s="130" t="s">
        <v>119</v>
      </c>
      <c r="M188" s="140" t="s">
        <v>1785</v>
      </c>
      <c r="O188" s="65"/>
      <c r="P188" s="65" t="s">
        <v>119</v>
      </c>
      <c r="Q188" s="65" t="s">
        <v>119</v>
      </c>
      <c r="S188" s="180"/>
      <c r="T188" s="135" t="s">
        <v>1787</v>
      </c>
      <c r="X188" s="135" t="n">
        <v>1</v>
      </c>
      <c r="AMD188" s="67"/>
      <c r="AME188" s="67"/>
      <c r="AMF188" s="67"/>
      <c r="AMG188" s="67"/>
      <c r="AMH188" s="67"/>
      <c r="AMI188" s="67"/>
      <c r="AMJ188" s="67"/>
    </row>
    <row r="189" s="135" customFormat="true" ht="13.5" hidden="true" customHeight="true" outlineLevel="0" collapsed="false">
      <c r="A189" s="126" t="n">
        <f aca="false">ROW()-8</f>
        <v>181</v>
      </c>
      <c r="B189" s="127"/>
      <c r="C189" s="141" t="s">
        <v>1631</v>
      </c>
      <c r="D189" s="129"/>
      <c r="E189" s="129"/>
      <c r="F189" s="129"/>
      <c r="G189" s="129"/>
      <c r="H189" s="62" t="s">
        <v>1788</v>
      </c>
      <c r="I189" s="63" t="s">
        <v>1633</v>
      </c>
      <c r="J189" s="63" t="s">
        <v>1634</v>
      </c>
      <c r="K189" s="62" t="s">
        <v>163</v>
      </c>
      <c r="L189" s="130"/>
      <c r="M189" s="62" t="s">
        <v>118</v>
      </c>
      <c r="O189" s="65"/>
      <c r="P189" s="65" t="s">
        <v>119</v>
      </c>
      <c r="Q189" s="65" t="s">
        <v>119</v>
      </c>
      <c r="S189" s="180"/>
      <c r="X189" s="135" t="n">
        <v>1</v>
      </c>
      <c r="AMD189" s="67"/>
      <c r="AME189" s="67"/>
      <c r="AMF189" s="67"/>
      <c r="AMG189" s="67"/>
      <c r="AMH189" s="67"/>
      <c r="AMI189" s="67"/>
      <c r="AMJ189" s="67"/>
    </row>
    <row r="190" s="135" customFormat="true" ht="13.5" hidden="true" customHeight="true" outlineLevel="0" collapsed="false">
      <c r="A190" s="126" t="n">
        <f aca="false">ROW()-8</f>
        <v>182</v>
      </c>
      <c r="B190" s="127"/>
      <c r="C190" s="129" t="s">
        <v>1789</v>
      </c>
      <c r="D190" s="129"/>
      <c r="E190" s="129"/>
      <c r="F190" s="129"/>
      <c r="G190" s="129"/>
      <c r="H190" s="62" t="s">
        <v>1790</v>
      </c>
      <c r="I190" s="63" t="s">
        <v>1214</v>
      </c>
      <c r="J190" s="63" t="s">
        <v>1215</v>
      </c>
      <c r="K190" s="136" t="s">
        <v>117</v>
      </c>
      <c r="L190" s="130"/>
      <c r="M190" s="62" t="s">
        <v>134</v>
      </c>
      <c r="N190" s="135" t="s">
        <v>1216</v>
      </c>
      <c r="O190" s="65"/>
      <c r="P190" s="65" t="s">
        <v>119</v>
      </c>
      <c r="Q190" s="65" t="s">
        <v>119</v>
      </c>
      <c r="S190" s="180"/>
      <c r="X190" s="135" t="n">
        <v>1</v>
      </c>
      <c r="AMD190" s="67"/>
      <c r="AME190" s="67"/>
      <c r="AMF190" s="67"/>
      <c r="AMG190" s="67"/>
      <c r="AMH190" s="67"/>
      <c r="AMI190" s="67"/>
      <c r="AMJ190" s="67"/>
    </row>
    <row r="191" s="135" customFormat="true" ht="12.75" hidden="true" customHeight="true" outlineLevel="0" collapsed="false">
      <c r="A191" s="126" t="n">
        <f aca="false">ROW()-8</f>
        <v>183</v>
      </c>
      <c r="B191" s="127"/>
      <c r="C191" s="129" t="s">
        <v>1791</v>
      </c>
      <c r="D191" s="139" t="s">
        <v>1792</v>
      </c>
      <c r="E191" s="139"/>
      <c r="F191" s="139"/>
      <c r="G191" s="139"/>
      <c r="H191" s="62" t="s">
        <v>1793</v>
      </c>
      <c r="I191" s="63"/>
      <c r="J191" s="63" t="s">
        <v>1768</v>
      </c>
      <c r="K191" s="136" t="s">
        <v>117</v>
      </c>
      <c r="L191" s="130" t="s">
        <v>119</v>
      </c>
      <c r="M191" s="149" t="s">
        <v>1768</v>
      </c>
      <c r="N191" s="62"/>
      <c r="O191" s="65"/>
      <c r="P191" s="65" t="s">
        <v>119</v>
      </c>
      <c r="Q191" s="65" t="s">
        <v>119</v>
      </c>
      <c r="S191" s="180"/>
      <c r="AMD191" s="169"/>
      <c r="AME191" s="169"/>
      <c r="AMF191" s="169"/>
      <c r="AMG191" s="169"/>
      <c r="AMH191" s="169"/>
      <c r="AMI191" s="169"/>
      <c r="AMJ191" s="169"/>
    </row>
    <row r="192" s="135" customFormat="true" ht="12.75" hidden="true" customHeight="true" outlineLevel="0" collapsed="false">
      <c r="A192" s="126" t="n">
        <f aca="false">ROW()-8</f>
        <v>184</v>
      </c>
      <c r="B192" s="127"/>
      <c r="C192" s="129" t="s">
        <v>1794</v>
      </c>
      <c r="D192" s="129"/>
      <c r="E192" s="129"/>
      <c r="F192" s="129"/>
      <c r="G192" s="129"/>
      <c r="H192" s="114" t="s">
        <v>1795</v>
      </c>
      <c r="I192" s="63" t="s">
        <v>1796</v>
      </c>
      <c r="J192" s="63" t="s">
        <v>1797</v>
      </c>
      <c r="K192" s="136" t="s">
        <v>117</v>
      </c>
      <c r="L192" s="130"/>
      <c r="M192" s="62" t="s">
        <v>118</v>
      </c>
      <c r="N192" s="63" t="s">
        <v>1798</v>
      </c>
      <c r="O192" s="65"/>
      <c r="P192" s="143" t="s">
        <v>119</v>
      </c>
      <c r="Q192" s="143" t="s">
        <v>119</v>
      </c>
      <c r="S192" s="180"/>
      <c r="AMD192" s="169"/>
      <c r="AME192" s="169"/>
      <c r="AMF192" s="169"/>
      <c r="AMG192" s="169"/>
      <c r="AMH192" s="169"/>
      <c r="AMI192" s="169"/>
      <c r="AMJ192" s="169"/>
    </row>
    <row r="193" s="135" customFormat="true" ht="12.75" hidden="true" customHeight="true" outlineLevel="0" collapsed="false">
      <c r="A193" s="126" t="n">
        <f aca="false">ROW()-8</f>
        <v>185</v>
      </c>
      <c r="B193" s="127"/>
      <c r="C193" s="141" t="s">
        <v>1799</v>
      </c>
      <c r="D193" s="141"/>
      <c r="E193" s="141"/>
      <c r="F193" s="141"/>
      <c r="G193" s="141"/>
      <c r="H193" s="114" t="s">
        <v>1800</v>
      </c>
      <c r="I193" s="63" t="s">
        <v>1801</v>
      </c>
      <c r="J193" s="63" t="s">
        <v>1802</v>
      </c>
      <c r="K193" s="136" t="s">
        <v>163</v>
      </c>
      <c r="L193" s="130"/>
      <c r="M193" s="62" t="s">
        <v>118</v>
      </c>
      <c r="N193" s="62" t="s">
        <v>1803</v>
      </c>
      <c r="O193" s="65"/>
      <c r="P193" s="65" t="s">
        <v>119</v>
      </c>
      <c r="Q193" s="65" t="s">
        <v>119</v>
      </c>
      <c r="S193" s="180"/>
      <c r="AMD193" s="169"/>
      <c r="AME193" s="169"/>
      <c r="AMF193" s="169"/>
      <c r="AMG193" s="169"/>
      <c r="AMH193" s="169"/>
      <c r="AMI193" s="169"/>
      <c r="AMJ193" s="169"/>
    </row>
    <row r="194" s="135" customFormat="true" ht="12.75" hidden="true" customHeight="true" outlineLevel="0" collapsed="false">
      <c r="A194" s="126" t="n">
        <f aca="false">ROW()-8</f>
        <v>186</v>
      </c>
      <c r="B194" s="127"/>
      <c r="C194" s="141" t="s">
        <v>1804</v>
      </c>
      <c r="D194" s="141"/>
      <c r="E194" s="141"/>
      <c r="F194" s="141"/>
      <c r="G194" s="141"/>
      <c r="H194" s="114" t="s">
        <v>1805</v>
      </c>
      <c r="I194" s="63" t="s">
        <v>1806</v>
      </c>
      <c r="J194" s="63" t="s">
        <v>1807</v>
      </c>
      <c r="K194" s="136" t="s">
        <v>163</v>
      </c>
      <c r="L194" s="130"/>
      <c r="M194" s="62" t="s">
        <v>118</v>
      </c>
      <c r="N194" s="62" t="s">
        <v>1808</v>
      </c>
      <c r="O194" s="65"/>
      <c r="P194" s="65"/>
      <c r="Q194" s="65"/>
      <c r="S194" s="180"/>
      <c r="AMD194" s="169"/>
      <c r="AME194" s="169"/>
      <c r="AMF194" s="169"/>
      <c r="AMG194" s="169"/>
      <c r="AMH194" s="169"/>
      <c r="AMI194" s="169"/>
      <c r="AMJ194" s="169"/>
    </row>
    <row r="195" s="135" customFormat="true" ht="12.75" hidden="true" customHeight="true" outlineLevel="0" collapsed="false">
      <c r="A195" s="126" t="n">
        <f aca="false">ROW()-8</f>
        <v>187</v>
      </c>
      <c r="B195" s="127"/>
      <c r="C195" s="127" t="s">
        <v>1809</v>
      </c>
      <c r="D195" s="141"/>
      <c r="E195" s="141"/>
      <c r="F195" s="141"/>
      <c r="G195" s="141"/>
      <c r="H195" s="172" t="s">
        <v>1810</v>
      </c>
      <c r="I195" s="137" t="s">
        <v>1811</v>
      </c>
      <c r="J195" s="63" t="s">
        <v>1812</v>
      </c>
      <c r="K195" s="136" t="s">
        <v>163</v>
      </c>
      <c r="L195" s="130"/>
      <c r="M195" s="62" t="s">
        <v>184</v>
      </c>
      <c r="N195" s="136"/>
      <c r="O195" s="143"/>
      <c r="P195" s="143" t="s">
        <v>119</v>
      </c>
      <c r="Q195" s="143" t="s">
        <v>119</v>
      </c>
      <c r="S195" s="180"/>
      <c r="AMD195" s="169"/>
      <c r="AME195" s="169"/>
      <c r="AMF195" s="169"/>
      <c r="AMG195" s="169"/>
      <c r="AMH195" s="169"/>
      <c r="AMI195" s="169"/>
      <c r="AMJ195" s="169"/>
    </row>
    <row r="196" s="135" customFormat="true" ht="12.75" hidden="true" customHeight="true" outlineLevel="0" collapsed="false">
      <c r="A196" s="126" t="n">
        <f aca="false">ROW()-8</f>
        <v>188</v>
      </c>
      <c r="B196" s="127"/>
      <c r="C196" s="127" t="s">
        <v>1813</v>
      </c>
      <c r="D196" s="141"/>
      <c r="E196" s="141"/>
      <c r="F196" s="141"/>
      <c r="G196" s="141"/>
      <c r="H196" s="172" t="s">
        <v>1814</v>
      </c>
      <c r="I196" s="137" t="s">
        <v>1815</v>
      </c>
      <c r="J196" s="63" t="s">
        <v>1816</v>
      </c>
      <c r="K196" s="171" t="s">
        <v>163</v>
      </c>
      <c r="L196" s="130"/>
      <c r="M196" s="62" t="s">
        <v>118</v>
      </c>
      <c r="N196" s="137" t="s">
        <v>1817</v>
      </c>
      <c r="O196" s="138"/>
      <c r="P196" s="143" t="s">
        <v>119</v>
      </c>
      <c r="Q196" s="143" t="s">
        <v>119</v>
      </c>
      <c r="S196" s="180"/>
      <c r="AMD196" s="169"/>
      <c r="AME196" s="169"/>
      <c r="AMF196" s="169"/>
      <c r="AMG196" s="169"/>
      <c r="AMH196" s="169"/>
      <c r="AMI196" s="169"/>
      <c r="AMJ196" s="169"/>
    </row>
    <row r="197" s="135" customFormat="true" ht="12.75" hidden="true" customHeight="true" outlineLevel="0" collapsed="false">
      <c r="A197" s="126" t="n">
        <f aca="false">ROW()-8</f>
        <v>189</v>
      </c>
      <c r="B197" s="127"/>
      <c r="C197" s="141" t="s">
        <v>1818</v>
      </c>
      <c r="D197" s="141"/>
      <c r="E197" s="141"/>
      <c r="F197" s="141"/>
      <c r="G197" s="141"/>
      <c r="H197" s="62" t="s">
        <v>1819</v>
      </c>
      <c r="I197" s="63"/>
      <c r="J197" s="62" t="s">
        <v>1820</v>
      </c>
      <c r="K197" s="62" t="s">
        <v>163</v>
      </c>
      <c r="L197" s="130" t="s">
        <v>119</v>
      </c>
      <c r="M197" s="140" t="s">
        <v>1820</v>
      </c>
      <c r="N197" s="136"/>
      <c r="O197" s="143"/>
      <c r="P197" s="143" t="s">
        <v>119</v>
      </c>
      <c r="Q197" s="143" t="s">
        <v>119</v>
      </c>
      <c r="S197" s="180"/>
      <c r="AMD197" s="145"/>
      <c r="AME197" s="145"/>
      <c r="AMF197" s="145"/>
      <c r="AMG197" s="145"/>
      <c r="AMH197" s="145"/>
      <c r="AMI197" s="145"/>
      <c r="AMJ197" s="145"/>
    </row>
    <row r="198" s="135" customFormat="true" ht="12.75" hidden="true" customHeight="true" outlineLevel="0" collapsed="false">
      <c r="A198" s="126" t="n">
        <f aca="false">ROW()-8</f>
        <v>190</v>
      </c>
      <c r="B198" s="129"/>
      <c r="C198" s="129"/>
      <c r="D198" s="129" t="s">
        <v>1328</v>
      </c>
      <c r="E198" s="139" t="s">
        <v>1821</v>
      </c>
      <c r="F198" s="139"/>
      <c r="G198" s="139"/>
      <c r="H198" s="174" t="s">
        <v>1329</v>
      </c>
      <c r="I198" s="137"/>
      <c r="J198" s="137" t="s">
        <v>1330</v>
      </c>
      <c r="K198" s="62" t="s">
        <v>1247</v>
      </c>
      <c r="L198" s="130" t="s">
        <v>119</v>
      </c>
      <c r="M198" s="140" t="s">
        <v>1330</v>
      </c>
      <c r="N198" s="62"/>
      <c r="O198" s="138"/>
      <c r="P198" s="143" t="s">
        <v>119</v>
      </c>
      <c r="Q198" s="143" t="s">
        <v>119</v>
      </c>
      <c r="S198" s="180"/>
      <c r="AMD198" s="169"/>
      <c r="AME198" s="169"/>
      <c r="AMF198" s="169"/>
      <c r="AMG198" s="169"/>
      <c r="AMH198" s="169"/>
      <c r="AMI198" s="169"/>
      <c r="AMJ198" s="169"/>
    </row>
    <row r="199" s="135" customFormat="true" ht="13.5" hidden="true" customHeight="true" outlineLevel="0" collapsed="false">
      <c r="A199" s="126" t="n">
        <f aca="false">ROW()-8</f>
        <v>191</v>
      </c>
      <c r="B199" s="127"/>
      <c r="C199" s="129"/>
      <c r="D199" s="129"/>
      <c r="E199" s="129" t="s">
        <v>1331</v>
      </c>
      <c r="F199" s="129"/>
      <c r="G199" s="129"/>
      <c r="H199" s="62" t="s">
        <v>1332</v>
      </c>
      <c r="I199" s="63" t="s">
        <v>1333</v>
      </c>
      <c r="J199" s="63" t="s">
        <v>162</v>
      </c>
      <c r="K199" s="62" t="s">
        <v>117</v>
      </c>
      <c r="L199" s="130"/>
      <c r="M199" s="62" t="s">
        <v>118</v>
      </c>
      <c r="N199" s="137" t="s">
        <v>1334</v>
      </c>
      <c r="O199" s="143"/>
      <c r="P199" s="143"/>
      <c r="Q199" s="65" t="s">
        <v>119</v>
      </c>
      <c r="S199" s="180"/>
      <c r="AMD199" s="67"/>
      <c r="AME199" s="67"/>
      <c r="AMF199" s="67"/>
      <c r="AMG199" s="67"/>
      <c r="AMH199" s="67"/>
      <c r="AMI199" s="67"/>
      <c r="AMJ199" s="67"/>
    </row>
    <row r="200" s="135" customFormat="true" ht="13.5" hidden="true" customHeight="true" outlineLevel="0" collapsed="false">
      <c r="A200" s="126" t="n">
        <f aca="false">ROW()-8</f>
        <v>192</v>
      </c>
      <c r="B200" s="127"/>
      <c r="C200" s="129"/>
      <c r="D200" s="129"/>
      <c r="E200" s="129" t="s">
        <v>1335</v>
      </c>
      <c r="F200" s="129"/>
      <c r="G200" s="129"/>
      <c r="H200" s="62" t="s">
        <v>1336</v>
      </c>
      <c r="I200" s="63" t="s">
        <v>1337</v>
      </c>
      <c r="J200" s="63" t="s">
        <v>1338</v>
      </c>
      <c r="K200" s="62" t="s">
        <v>117</v>
      </c>
      <c r="L200" s="130"/>
      <c r="M200" s="62" t="s">
        <v>118</v>
      </c>
      <c r="N200" s="137" t="s">
        <v>1339</v>
      </c>
      <c r="O200" s="138"/>
      <c r="P200" s="143"/>
      <c r="Q200" s="65" t="s">
        <v>119</v>
      </c>
      <c r="S200" s="180"/>
      <c r="AMD200" s="67"/>
      <c r="AME200" s="67"/>
      <c r="AMF200" s="67"/>
      <c r="AMG200" s="67"/>
      <c r="AMH200" s="67"/>
      <c r="AMI200" s="67"/>
      <c r="AMJ200" s="67"/>
    </row>
    <row r="201" s="135" customFormat="true" ht="15" hidden="true" customHeight="true" outlineLevel="0" collapsed="false">
      <c r="A201" s="126" t="n">
        <f aca="false">ROW()-8</f>
        <v>193</v>
      </c>
      <c r="B201" s="127"/>
      <c r="C201" s="127"/>
      <c r="D201" s="127" t="s">
        <v>1492</v>
      </c>
      <c r="E201" s="127"/>
      <c r="F201" s="127"/>
      <c r="G201" s="127"/>
      <c r="H201" s="62" t="s">
        <v>1493</v>
      </c>
      <c r="I201" s="63" t="s">
        <v>1494</v>
      </c>
      <c r="J201" s="63" t="s">
        <v>1313</v>
      </c>
      <c r="K201" s="62" t="s">
        <v>163</v>
      </c>
      <c r="L201" s="130"/>
      <c r="M201" s="62" t="s">
        <v>118</v>
      </c>
      <c r="N201" s="136"/>
      <c r="O201" s="65"/>
      <c r="P201" s="65" t="s">
        <v>119</v>
      </c>
      <c r="Q201" s="65" t="s">
        <v>119</v>
      </c>
      <c r="S201" s="180"/>
      <c r="AMD201" s="67"/>
      <c r="AME201" s="67"/>
      <c r="AMF201" s="67"/>
      <c r="AMG201" s="67"/>
      <c r="AMH201" s="67"/>
      <c r="AMI201" s="67"/>
      <c r="AMJ201" s="67"/>
    </row>
    <row r="202" s="135" customFormat="true" ht="12.75" hidden="true" customHeight="true" outlineLevel="0" collapsed="false">
      <c r="A202" s="126" t="n">
        <f aca="false">ROW()-8</f>
        <v>194</v>
      </c>
      <c r="B202" s="129" t="s">
        <v>1823</v>
      </c>
      <c r="C202" s="129"/>
      <c r="D202" s="129"/>
      <c r="E202" s="129"/>
      <c r="F202" s="129"/>
      <c r="G202" s="129"/>
      <c r="H202" s="174" t="s">
        <v>1824</v>
      </c>
      <c r="I202" s="137" t="s">
        <v>1825</v>
      </c>
      <c r="J202" s="175" t="s">
        <v>1826</v>
      </c>
      <c r="K202" s="62" t="s">
        <v>163</v>
      </c>
      <c r="L202" s="130"/>
      <c r="M202" s="62" t="s">
        <v>118</v>
      </c>
      <c r="N202" s="62" t="s">
        <v>1827</v>
      </c>
      <c r="O202" s="138"/>
      <c r="P202" s="143"/>
      <c r="Q202" s="143"/>
      <c r="S202" s="180"/>
      <c r="AMD202" s="169"/>
      <c r="AME202" s="169"/>
      <c r="AMF202" s="169"/>
      <c r="AMG202" s="169"/>
      <c r="AMH202" s="169"/>
      <c r="AMI202" s="169"/>
      <c r="AMJ202" s="169"/>
    </row>
    <row r="203" s="135" customFormat="true" ht="12.75" hidden="true" customHeight="true" outlineLevel="0" collapsed="false">
      <c r="A203" s="126" t="n">
        <f aca="false">ROW()-8</f>
        <v>195</v>
      </c>
      <c r="B203" s="127" t="s">
        <v>1828</v>
      </c>
      <c r="C203" s="133"/>
      <c r="D203" s="129"/>
      <c r="E203" s="129"/>
      <c r="F203" s="129"/>
      <c r="G203" s="129"/>
      <c r="H203" s="62" t="s">
        <v>1829</v>
      </c>
      <c r="I203" s="63" t="s">
        <v>1830</v>
      </c>
      <c r="J203" s="63" t="s">
        <v>1313</v>
      </c>
      <c r="K203" s="62" t="s">
        <v>163</v>
      </c>
      <c r="L203" s="130"/>
      <c r="M203" s="62" t="s">
        <v>118</v>
      </c>
      <c r="N203" s="62"/>
      <c r="O203" s="65"/>
      <c r="P203" s="65"/>
      <c r="Q203" s="65" t="s">
        <v>119</v>
      </c>
      <c r="S203" s="180"/>
      <c r="AMD203" s="145"/>
      <c r="AME203" s="145"/>
      <c r="AMF203" s="145"/>
      <c r="AMG203" s="145"/>
      <c r="AMH203" s="145"/>
      <c r="AMI203" s="145"/>
      <c r="AMJ203" s="145"/>
    </row>
    <row r="204" s="135" customFormat="true" ht="14.25" hidden="true" customHeight="true" outlineLevel="0" collapsed="false">
      <c r="A204" s="126" t="n">
        <f aca="false">ROW()-8</f>
        <v>196</v>
      </c>
      <c r="B204" s="127" t="s">
        <v>1831</v>
      </c>
      <c r="C204" s="139" t="s">
        <v>1832</v>
      </c>
      <c r="D204" s="139"/>
      <c r="E204" s="139"/>
      <c r="F204" s="139"/>
      <c r="G204" s="139"/>
      <c r="H204" s="62" t="s">
        <v>1833</v>
      </c>
      <c r="I204" s="63"/>
      <c r="J204" s="63" t="s">
        <v>1834</v>
      </c>
      <c r="K204" s="62" t="s">
        <v>1247</v>
      </c>
      <c r="L204" s="130" t="s">
        <v>119</v>
      </c>
      <c r="M204" s="140" t="s">
        <v>1498</v>
      </c>
      <c r="N204" s="62"/>
      <c r="O204" s="65" t="s">
        <v>119</v>
      </c>
      <c r="P204" s="65"/>
      <c r="Q204" s="65"/>
      <c r="S204" s="180"/>
      <c r="AMD204" s="67"/>
      <c r="AME204" s="67"/>
      <c r="AMF204" s="67"/>
      <c r="AMG204" s="67"/>
      <c r="AMH204" s="67"/>
      <c r="AMI204" s="67"/>
      <c r="AMJ204" s="67"/>
    </row>
    <row r="205" s="135" customFormat="true" ht="12.75" hidden="true" customHeight="true" outlineLevel="0" collapsed="false">
      <c r="A205" s="126" t="n">
        <f aca="false">ROW()-8</f>
        <v>197</v>
      </c>
      <c r="B205" s="127" t="s">
        <v>1835</v>
      </c>
      <c r="C205" s="176"/>
      <c r="D205" s="129"/>
      <c r="E205" s="129"/>
      <c r="F205" s="129"/>
      <c r="G205" s="129"/>
      <c r="H205" s="62" t="s">
        <v>1836</v>
      </c>
      <c r="I205" s="63" t="s">
        <v>1837</v>
      </c>
      <c r="J205" s="63" t="s">
        <v>1313</v>
      </c>
      <c r="K205" s="62" t="s">
        <v>1247</v>
      </c>
      <c r="L205" s="130"/>
      <c r="M205" s="62" t="s">
        <v>118</v>
      </c>
      <c r="N205" s="62"/>
      <c r="O205" s="64" t="s">
        <v>119</v>
      </c>
      <c r="P205" s="64"/>
      <c r="Q205" s="64"/>
      <c r="S205" s="180"/>
      <c r="AMD205" s="145"/>
      <c r="AME205" s="145"/>
      <c r="AMF205" s="145"/>
      <c r="AMG205" s="145"/>
      <c r="AMH205" s="145"/>
      <c r="AMI205" s="145"/>
      <c r="AMJ205" s="145"/>
    </row>
    <row r="206" s="135" customFormat="true" ht="12.75" hidden="true" customHeight="true" outlineLevel="0" collapsed="false">
      <c r="A206" s="126" t="n">
        <f aca="false">ROW()-8</f>
        <v>198</v>
      </c>
      <c r="B206" s="127" t="s">
        <v>1838</v>
      </c>
      <c r="C206" s="133"/>
      <c r="D206" s="139"/>
      <c r="E206" s="139"/>
      <c r="F206" s="139"/>
      <c r="G206" s="139"/>
      <c r="H206" s="62" t="s">
        <v>1839</v>
      </c>
      <c r="I206" s="63"/>
      <c r="J206" s="62" t="s">
        <v>1840</v>
      </c>
      <c r="K206" s="62" t="s">
        <v>163</v>
      </c>
      <c r="L206" s="130" t="s">
        <v>119</v>
      </c>
      <c r="M206" s="62" t="s">
        <v>1840</v>
      </c>
      <c r="N206" s="62"/>
      <c r="O206" s="65" t="s">
        <v>119</v>
      </c>
      <c r="P206" s="65" t="s">
        <v>119</v>
      </c>
      <c r="Q206" s="65" t="s">
        <v>119</v>
      </c>
      <c r="S206" s="180"/>
      <c r="AMD206" s="145"/>
      <c r="AME206" s="145"/>
      <c r="AMF206" s="145"/>
      <c r="AMG206" s="145"/>
      <c r="AMH206" s="145"/>
      <c r="AMI206" s="145"/>
      <c r="AMJ206" s="145"/>
    </row>
    <row r="207" s="135" customFormat="true" ht="12.75" hidden="true" customHeight="true" outlineLevel="0" collapsed="false">
      <c r="A207" s="126" t="n">
        <f aca="false">ROW()-8</f>
        <v>199</v>
      </c>
      <c r="B207" s="127"/>
      <c r="C207" s="133" t="s">
        <v>1841</v>
      </c>
      <c r="D207" s="139"/>
      <c r="E207" s="139"/>
      <c r="F207" s="139"/>
      <c r="G207" s="139"/>
      <c r="H207" s="62" t="s">
        <v>1842</v>
      </c>
      <c r="I207" s="63"/>
      <c r="J207" s="63" t="s">
        <v>1843</v>
      </c>
      <c r="K207" s="177" t="s">
        <v>1844</v>
      </c>
      <c r="L207" s="130" t="s">
        <v>119</v>
      </c>
      <c r="M207" s="140" t="s">
        <v>1843</v>
      </c>
      <c r="N207" s="62"/>
      <c r="O207" s="65" t="s">
        <v>119</v>
      </c>
      <c r="P207" s="65" t="s">
        <v>119</v>
      </c>
      <c r="Q207" s="65" t="s">
        <v>119</v>
      </c>
      <c r="S207" s="180"/>
      <c r="AMD207" s="145"/>
      <c r="AME207" s="145"/>
      <c r="AMF207" s="145"/>
      <c r="AMG207" s="145"/>
      <c r="AMH207" s="145"/>
      <c r="AMI207" s="145"/>
      <c r="AMJ207" s="145"/>
    </row>
    <row r="208" s="135" customFormat="true" ht="12.75" hidden="true" customHeight="true" outlineLevel="0" collapsed="false">
      <c r="A208" s="126" t="n">
        <f aca="false">ROW()-8</f>
        <v>200</v>
      </c>
      <c r="B208" s="127"/>
      <c r="C208" s="133"/>
      <c r="D208" s="129" t="s">
        <v>1845</v>
      </c>
      <c r="E208" s="133"/>
      <c r="F208" s="129"/>
      <c r="G208" s="129"/>
      <c r="H208" s="62" t="s">
        <v>1846</v>
      </c>
      <c r="I208" s="63" t="s">
        <v>1847</v>
      </c>
      <c r="J208" s="63" t="s">
        <v>1848</v>
      </c>
      <c r="K208" s="62" t="s">
        <v>117</v>
      </c>
      <c r="L208" s="130"/>
      <c r="M208" s="62" t="s">
        <v>118</v>
      </c>
      <c r="N208" s="62"/>
      <c r="O208" s="65" t="s">
        <v>119</v>
      </c>
      <c r="P208" s="65" t="s">
        <v>119</v>
      </c>
      <c r="Q208" s="65" t="s">
        <v>119</v>
      </c>
      <c r="S208" s="180"/>
      <c r="AMD208" s="145"/>
      <c r="AME208" s="145"/>
      <c r="AMF208" s="145"/>
      <c r="AMG208" s="145"/>
      <c r="AMH208" s="145"/>
      <c r="AMI208" s="145"/>
      <c r="AMJ208" s="145"/>
    </row>
    <row r="209" s="135" customFormat="true" ht="12.75" hidden="true" customHeight="true" outlineLevel="0" collapsed="false">
      <c r="A209" s="126" t="n">
        <f aca="false">ROW()-8</f>
        <v>201</v>
      </c>
      <c r="B209" s="127"/>
      <c r="C209" s="133"/>
      <c r="D209" s="129" t="s">
        <v>1254</v>
      </c>
      <c r="E209" s="133"/>
      <c r="F209" s="129"/>
      <c r="G209" s="129"/>
      <c r="H209" s="62" t="s">
        <v>1849</v>
      </c>
      <c r="I209" s="63" t="s">
        <v>1850</v>
      </c>
      <c r="J209" s="63" t="s">
        <v>1257</v>
      </c>
      <c r="K209" s="62" t="s">
        <v>163</v>
      </c>
      <c r="L209" s="130"/>
      <c r="M209" s="62" t="s">
        <v>118</v>
      </c>
      <c r="N209" s="62"/>
      <c r="O209" s="65" t="s">
        <v>119</v>
      </c>
      <c r="P209" s="65" t="s">
        <v>119</v>
      </c>
      <c r="Q209" s="65" t="s">
        <v>119</v>
      </c>
      <c r="S209" s="180"/>
      <c r="AMD209" s="145"/>
      <c r="AME209" s="145"/>
      <c r="AMF209" s="145"/>
      <c r="AMG209" s="145"/>
      <c r="AMH209" s="145"/>
      <c r="AMI209" s="145"/>
      <c r="AMJ209" s="145"/>
    </row>
    <row r="210" s="135" customFormat="true" ht="12.75" hidden="true" customHeight="true" outlineLevel="0" collapsed="false">
      <c r="A210" s="126" t="n">
        <f aca="false">ROW()-8</f>
        <v>202</v>
      </c>
      <c r="B210" s="127"/>
      <c r="C210" s="133"/>
      <c r="D210" s="129" t="s">
        <v>1851</v>
      </c>
      <c r="E210" s="133"/>
      <c r="F210" s="129"/>
      <c r="G210" s="129"/>
      <c r="H210" s="62" t="s">
        <v>1852</v>
      </c>
      <c r="I210" s="63" t="s">
        <v>1853</v>
      </c>
      <c r="J210" s="63" t="s">
        <v>1338</v>
      </c>
      <c r="K210" s="62" t="s">
        <v>117</v>
      </c>
      <c r="L210" s="130"/>
      <c r="M210" s="62" t="s">
        <v>118</v>
      </c>
      <c r="N210" s="62"/>
      <c r="O210" s="65" t="s">
        <v>119</v>
      </c>
      <c r="P210" s="65" t="s">
        <v>119</v>
      </c>
      <c r="Q210" s="65" t="s">
        <v>119</v>
      </c>
      <c r="S210" s="180"/>
      <c r="AMD210" s="145"/>
      <c r="AME210" s="145"/>
      <c r="AMF210" s="145"/>
      <c r="AMG210" s="145"/>
      <c r="AMH210" s="145"/>
      <c r="AMI210" s="145"/>
      <c r="AMJ210" s="145"/>
    </row>
    <row r="211" s="178" customFormat="true" ht="12.75" hidden="true" customHeight="true" outlineLevel="0" collapsed="false">
      <c r="A211" s="126" t="n">
        <f aca="false">ROW()-8</f>
        <v>203</v>
      </c>
      <c r="B211" s="127"/>
      <c r="C211" s="176"/>
      <c r="D211" s="133" t="s">
        <v>1854</v>
      </c>
      <c r="E211" s="133"/>
      <c r="F211" s="129"/>
      <c r="G211" s="129"/>
      <c r="H211" s="62" t="s">
        <v>1855</v>
      </c>
      <c r="I211" s="63" t="s">
        <v>1856</v>
      </c>
      <c r="J211" s="63" t="s">
        <v>1313</v>
      </c>
      <c r="K211" s="62" t="s">
        <v>163</v>
      </c>
      <c r="L211" s="130"/>
      <c r="M211" s="62" t="s">
        <v>118</v>
      </c>
      <c r="N211" s="62"/>
      <c r="O211" s="64" t="s">
        <v>119</v>
      </c>
      <c r="P211" s="64" t="s">
        <v>119</v>
      </c>
      <c r="Q211" s="64" t="s">
        <v>119</v>
      </c>
      <c r="S211" s="180"/>
      <c r="AMD211" s="145"/>
      <c r="AME211" s="145"/>
      <c r="AMF211" s="145"/>
      <c r="AMG211" s="145"/>
      <c r="AMH211" s="145"/>
      <c r="AMI211" s="145"/>
      <c r="AMJ211" s="145"/>
    </row>
    <row r="212" s="70" customFormat="true" ht="12" hidden="false" customHeight="true" outlineLevel="0" collapsed="false">
      <c r="A212" s="60"/>
      <c r="B212" s="67"/>
      <c r="C212" s="60"/>
      <c r="D212" s="60"/>
      <c r="E212" s="60"/>
      <c r="F212" s="60"/>
      <c r="G212" s="60"/>
      <c r="H212" s="60"/>
      <c r="I212" s="60"/>
      <c r="J212" s="69"/>
      <c r="K212" s="60"/>
      <c r="L212" s="179" t="n">
        <f aca="false">SUBTOTAL(103,createCase22[Objet])</f>
        <v>21</v>
      </c>
      <c r="M212" s="60"/>
      <c r="O212" s="70" t="n">
        <f aca="false">SUBTOTAL(103,createCase22[15-18])</f>
        <v>60</v>
      </c>
      <c r="P212" s="70" t="n">
        <f aca="false">SUBTOTAL(103,createCase22[15-15])</f>
        <v>46</v>
      </c>
      <c r="Q212" s="70" t="n">
        <f aca="false">SUBTOTAL(103,createCase22[15-MAJ])</f>
        <v>11</v>
      </c>
      <c r="S212" s="180"/>
      <c r="AMD212" s="67"/>
      <c r="AME212" s="67"/>
      <c r="AMF212" s="67"/>
      <c r="AMG212" s="67"/>
      <c r="AMH212" s="67"/>
      <c r="AMI212" s="67"/>
      <c r="AMJ212" s="67"/>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priority="2" aboveAverage="0" equalAverage="0" bottom="0" percent="0" rank="0" text="" dxfId="1920">
      <formula>#ref!=1</formula>
    </cfRule>
  </conditionalFormatting>
  <conditionalFormatting sqref="A213:F214 A234:F1074">
    <cfRule type="expression" priority="3" aboveAverage="0" equalAverage="0" bottom="0" percent="0" rank="0" text="" dxfId="1921">
      <formula>OR(#ref!="X",#ref!="X")</formula>
    </cfRule>
    <cfRule type="expression" priority="4" aboveAverage="0" equalAverage="0" bottom="0" percent="0" rank="0" text="" dxfId="1922">
      <formula>AND(#ref!=1,#ref!=1)</formula>
    </cfRule>
    <cfRule type="expression" priority="5" aboveAverage="0" equalAverage="0" bottom="0" percent="0" rank="0" text="" dxfId="1923">
      <formula>#ref!=1</formula>
    </cfRule>
    <cfRule type="expression" priority="6" aboveAverage="0" equalAverage="0" bottom="0" percent="0" rank="0" text="" dxfId="1924">
      <formula>#ref!=1</formula>
    </cfRule>
  </conditionalFormatting>
  <conditionalFormatting sqref="B15:B16 C99:C100 C151">
    <cfRule type="expression" priority="7" aboveAverage="0" equalAverage="0" bottom="0" percent="0" rank="0" text="" dxfId="1925">
      <formula>AND(#ref!=1,#ref!=1)</formula>
    </cfRule>
    <cfRule type="expression" priority="8" aboveAverage="0" equalAverage="0" bottom="0" percent="0" rank="0" text="" dxfId="1926">
      <formula>#ref!=1</formula>
    </cfRule>
    <cfRule type="expression" priority="9" aboveAverage="0" equalAverage="0" bottom="0" percent="0" rank="0" text="" dxfId="1927">
      <formula>#ref!=1</formula>
    </cfRule>
  </conditionalFormatting>
  <conditionalFormatting sqref="B172:B174">
    <cfRule type="expression" priority="10" aboveAverage="0" equalAverage="0" bottom="0" percent="0" rank="0" text="" dxfId="1928">
      <formula>AND($L172="X",#ref!&lt;&gt;"")</formula>
    </cfRule>
  </conditionalFormatting>
  <conditionalFormatting sqref="B180">
    <cfRule type="expression" priority="11" aboveAverage="0" equalAverage="0" bottom="0" percent="0" rank="0" text="" dxfId="1929">
      <formula>AND($L180="X",#ref!&lt;&gt;"")</formula>
    </cfRule>
  </conditionalFormatting>
  <conditionalFormatting sqref="B182:B184 B186:B187">
    <cfRule type="expression" priority="12" aboveAverage="0" equalAverage="0" bottom="0" percent="0" rank="0" text="" dxfId="1930">
      <formula>AND($L182="X",#ref!&lt;&gt;"")</formula>
    </cfRule>
  </conditionalFormatting>
  <conditionalFormatting sqref="B188:B190">
    <cfRule type="expression" priority="13" aboveAverage="0" equalAverage="0" bottom="0" percent="0" rank="0" text="" dxfId="1931">
      <formula>AND(#ref!="X",#ref!&lt;&gt;"")</formula>
    </cfRule>
  </conditionalFormatting>
  <conditionalFormatting sqref="B198">
    <cfRule type="expression" priority="14" aboveAverage="0" equalAverage="0" bottom="0" percent="0" rank="0" text="" dxfId="1932">
      <formula>AND($L198="X",OR(#ref!&lt;&gt;"",#ref!&lt;&gt;"",#ref!&lt;&gt;""))</formula>
    </cfRule>
    <cfRule type="expression" priority="15" aboveAverage="0" equalAverage="0" bottom="0" percent="0" rank="0" text="" dxfId="1933">
      <formula>AND($L198="X",OR(#ref!&lt;&gt;"",#ref!&lt;&gt;""))</formula>
    </cfRule>
  </conditionalFormatting>
  <conditionalFormatting sqref="B202">
    <cfRule type="expression" priority="16" aboveAverage="0" equalAverage="0" bottom="0" percent="0" rank="0" text="" dxfId="1934">
      <formula>AND($L202="X",OR(#ref!&lt;&gt;"",#ref!&lt;&gt;"",#ref!&lt;&gt;""))</formula>
    </cfRule>
    <cfRule type="expression" priority="17" aboveAverage="0" equalAverage="0" bottom="0" percent="0" rank="0" text="" dxfId="1935">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priority="18" aboveAverage="0" equalAverage="0" bottom="0" percent="0" rank="0" text="" dxfId="1936">
      <formula>OR(#ref!="X",#ref!="X")</formula>
    </cfRule>
  </conditionalFormatting>
  <conditionalFormatting sqref="B10:G14">
    <cfRule type="expression" priority="19" aboveAverage="0" equalAverage="0" bottom="0" percent="0" rank="0" text="" dxfId="1937">
      <formula>#ref!=1</formula>
    </cfRule>
    <cfRule type="expression" priority="20" aboveAverage="0" equalAverage="0" bottom="0" percent="0" rank="0" text="" dxfId="1938">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priority="21" aboveAverage="0" equalAverage="0" bottom="0" percent="0" rank="0" text="" dxfId="1939">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priority="22" aboveAverage="0" equalAverage="0" bottom="0" percent="0" rank="0" text="" dxfId="1940">
      <formula>#ref!=1</formula>
    </cfRule>
  </conditionalFormatting>
  <conditionalFormatting sqref="B139:G141">
    <cfRule type="expression" priority="23" aboveAverage="0" equalAverage="0" bottom="0" percent="0" rank="0" text="" dxfId="1941">
      <formula>AND(#ref!=1,#ref!=1)</formula>
    </cfRule>
    <cfRule type="expression" priority="24" aboveAverage="0" equalAverage="0" bottom="0" percent="0" rank="0" text="" dxfId="1942">
      <formula>#ref!=1</formula>
    </cfRule>
  </conditionalFormatting>
  <conditionalFormatting sqref="C42:C43 C199:C200">
    <cfRule type="expression" priority="25" aboveAverage="0" equalAverage="0" bottom="0" percent="0" rank="0" text="" dxfId="1943">
      <formula>AND($L42="X",OR(#ref!&lt;&gt;"",$B42&lt;&gt;""))</formula>
    </cfRule>
    <cfRule type="expression" priority="26" aboveAverage="0" equalAverage="0" bottom="0" percent="0" rank="0" text="" dxfId="1944">
      <formula>OR(#ref!="X",#ref!="X")</formula>
    </cfRule>
    <cfRule type="expression" priority="27" aboveAverage="0" equalAverage="0" bottom="0" percent="0" rank="0" text="" dxfId="1945">
      <formula>AND(#ref!=1,#ref!=1)</formula>
    </cfRule>
    <cfRule type="expression" priority="28" aboveAverage="0" equalAverage="0" bottom="0" percent="0" rank="0" text="" dxfId="1946">
      <formula>#ref!=1</formula>
    </cfRule>
    <cfRule type="expression" priority="29" aboveAverage="0" equalAverage="0" bottom="0" percent="0" rank="0" text="" dxfId="1947">
      <formula>#ref!=1</formula>
    </cfRule>
  </conditionalFormatting>
  <conditionalFormatting sqref="C92 F92:G92">
    <cfRule type="expression" priority="30" aboveAverage="0" equalAverage="0" bottom="0" percent="0" rank="0" text="" dxfId="1948">
      <formula>AND($L92="X",OR($B92&lt;&gt;"",#ref!&lt;&gt;"",$C92&lt;&gt;""))</formula>
    </cfRule>
    <cfRule type="expression" priority="31" aboveAverage="0" equalAverage="0" bottom="0" percent="0" rank="0" text="" dxfId="1949">
      <formula>AND($L92="X",OR($B92&lt;&gt;"",$C92&lt;&gt;"",$D92&lt;&gt;""))</formula>
    </cfRule>
    <cfRule type="expression" priority="32" aboveAverage="0" equalAverage="0" bottom="0" percent="0" rank="0" text="" dxfId="1950">
      <formula>AND($L92="X",OR($B92&lt;&gt;"",$C92&lt;&gt;"",$D92&lt;&gt;"",$E92&lt;&gt;""))</formula>
    </cfRule>
    <cfRule type="expression" priority="33" aboveAverage="0" equalAverage="0" bottom="0" percent="0" rank="0" text="" dxfId="1951">
      <formula>AND($L92="X",OR($B92&lt;&gt;"",$C92&lt;&gt;"",$E92&lt;&gt;"",#ref!&lt;&gt;""))</formula>
    </cfRule>
    <cfRule type="expression" priority="34" aboveAverage="0" equalAverage="0" bottom="0" percent="0" rank="0" text="" dxfId="1952">
      <formula>#ref!=1</formula>
    </cfRule>
    <cfRule type="expression" priority="35" aboveAverage="0" equalAverage="0" bottom="0" percent="0" rank="0" text="" dxfId="1953">
      <formula>AND($L92="X",OR($B92&lt;&gt;"",$C92&lt;&gt;"",$D92&lt;&gt;""))</formula>
    </cfRule>
    <cfRule type="expression" priority="36" aboveAverage="0" equalAverage="0" bottom="0" percent="0" rank="0" text="" dxfId="1954">
      <formula>AND($L92="X",OR($B92&lt;&gt;"",$C92&lt;&gt;"",$D92&lt;&gt;"",$E92&lt;&gt;""))</formula>
    </cfRule>
    <cfRule type="expression" priority="37" aboveAverage="0" equalAverage="0" bottom="0" percent="0" rank="0" text="" dxfId="1955">
      <formula>AND(#ref!=1,#ref!=1)</formula>
    </cfRule>
    <cfRule type="expression" priority="38" aboveAverage="0" equalAverage="0" bottom="0" percent="0" rank="0" text="" dxfId="1956">
      <formula>#ref!=1</formula>
    </cfRule>
    <cfRule type="expression" priority="39" aboveAverage="0" equalAverage="0" bottom="0" percent="0" rank="0" text="" dxfId="1957">
      <formula>#ref!=1</formula>
    </cfRule>
    <cfRule type="expression" priority="40" aboveAverage="0" equalAverage="0" bottom="0" percent="0" rank="0" text="" dxfId="1958">
      <formula>AND($L92="X",OR($B92&lt;&gt;"",$C92&lt;&gt;"",$E92&lt;&gt;"",#ref!&lt;&gt;""))</formula>
    </cfRule>
    <cfRule type="expression" priority="41" aboveAverage="0" equalAverage="0" bottom="0" percent="0" rank="0" text="" dxfId="1959">
      <formula>AND($L92="X",OR($B92&lt;&gt;"",$C92&lt;&gt;""))</formula>
    </cfRule>
    <cfRule type="expression" priority="42" aboveAverage="0" equalAverage="0" bottom="0" percent="0" rank="0" text="" dxfId="1960">
      <formula>AND($L92="X",OR($B92&lt;&gt;"",$C92&lt;&gt;"",$D92&lt;&gt;"",$E92&lt;&gt;""))</formula>
    </cfRule>
    <cfRule type="expression" priority="43" aboveAverage="0" equalAverage="0" bottom="0" percent="0" rank="0" text="" dxfId="1961">
      <formula>AND(#ref!=1,#ref!=1)</formula>
    </cfRule>
    <cfRule type="expression" priority="44" aboveAverage="0" equalAverage="0" bottom="0" percent="0" rank="0" text="" dxfId="1962">
      <formula>#ref!=1</formula>
    </cfRule>
    <cfRule type="expression" priority="45" aboveAverage="0" equalAverage="0" bottom="0" percent="0" rank="0" text="" dxfId="1963">
      <formula>#ref!=1</formula>
    </cfRule>
    <cfRule type="expression" priority="46" aboveAverage="0" equalAverage="0" bottom="0" percent="0" rank="0" text="" dxfId="1964">
      <formula>AND($L92="X",OR($B92&lt;&gt;"",$C92&lt;&gt;"",$E92&lt;&gt;"",#ref!&lt;&gt;""))</formula>
    </cfRule>
    <cfRule type="expression" priority="47" aboveAverage="0" equalAverage="0" bottom="0" percent="0" rank="0" text="" dxfId="1965">
      <formula>#ref!=1</formula>
    </cfRule>
    <cfRule type="expression" priority="48" aboveAverage="0" equalAverage="0" bottom="0" percent="0" rank="0" text="" dxfId="1966">
      <formula>AND($L92="X",OR($B92&lt;&gt;"",$C92&lt;&gt;"",$D92&lt;&gt;""))</formula>
    </cfRule>
    <cfRule type="expression" priority="49" aboveAverage="0" equalAverage="0" bottom="0" percent="0" rank="0" text="" dxfId="1967">
      <formula>AND($L92="X",OR($B92&lt;&gt;"",$C92&lt;&gt;"",$D92&lt;&gt;"",$E92&lt;&gt;""))</formula>
    </cfRule>
    <cfRule type="expression" priority="50" aboveAverage="0" equalAverage="0" bottom="0" percent="0" rank="0" text="" dxfId="1968">
      <formula>AND(#ref!=1,#ref!=1)</formula>
    </cfRule>
    <cfRule type="expression" priority="51" aboveAverage="0" equalAverage="0" bottom="0" percent="0" rank="0" text="" dxfId="1969">
      <formula>#ref!=1</formula>
    </cfRule>
    <cfRule type="expression" priority="52" aboveAverage="0" equalAverage="0" bottom="0" percent="0" rank="0" text="" dxfId="1970">
      <formula>AND($L92="X",OR($B92&lt;&gt;"",$C92&lt;&gt;"",$E92&lt;&gt;"",#ref!&lt;&gt;""))</formula>
    </cfRule>
  </conditionalFormatting>
  <conditionalFormatting sqref="C131 F131:G131">
    <cfRule type="expression" priority="53" aboveAverage="0" equalAverage="0" bottom="0" percent="0" rank="0" text="" dxfId="1971">
      <formula>AND($L131="X",OR($B131&lt;&gt;"",#ref!&lt;&gt;"",$C131&lt;&gt;""))</formula>
    </cfRule>
    <cfRule type="expression" priority="54" aboveAverage="0" equalAverage="0" bottom="0" percent="0" rank="0" text="" dxfId="1972">
      <formula>AND($L131="X",OR($B131&lt;&gt;"",$C131&lt;&gt;"",$D131&lt;&gt;""))</formula>
    </cfRule>
    <cfRule type="expression" priority="55" aboveAverage="0" equalAverage="0" bottom="0" percent="0" rank="0" text="" dxfId="1973">
      <formula>AND($L131="X",OR($B131&lt;&gt;"",$C131&lt;&gt;"",$D131&lt;&gt;"",$E131&lt;&gt;""))</formula>
    </cfRule>
    <cfRule type="expression" priority="56" aboveAverage="0" equalAverage="0" bottom="0" percent="0" rank="0" text="" dxfId="1974">
      <formula>AND($L131="X",OR($B131&lt;&gt;"",$C131&lt;&gt;"",$E131&lt;&gt;"",#ref!&lt;&gt;""))</formula>
    </cfRule>
    <cfRule type="expression" priority="57" aboveAverage="0" equalAverage="0" bottom="0" percent="0" rank="0" text="" dxfId="1975">
      <formula>#ref!=1</formula>
    </cfRule>
    <cfRule type="expression" priority="58" aboveAverage="0" equalAverage="0" bottom="0" percent="0" rank="0" text="" dxfId="1976">
      <formula>AND($L131="X",OR($B131&lt;&gt;"",$C131&lt;&gt;"",$D131&lt;&gt;""))</formula>
    </cfRule>
  </conditionalFormatting>
  <conditionalFormatting sqref="C151 B15:B16 C99:C100">
    <cfRule type="expression" priority="59" aboveAverage="0" equalAverage="0" bottom="0" percent="0" rank="0" text="" dxfId="1977">
      <formula>OR(#ref!="X",#ref!="X")</formula>
    </cfRule>
  </conditionalFormatting>
  <conditionalFormatting sqref="C183:C184">
    <cfRule type="expression" priority="60" aboveAverage="0" equalAverage="0" bottom="0" percent="0" rank="0" text="" dxfId="1978">
      <formula>AND($L183="X",#ref!&lt;&gt;"")</formula>
    </cfRule>
    <cfRule type="expression" priority="61" aboveAverage="0" equalAverage="0" bottom="0" percent="0" rank="0" text="" dxfId="1979">
      <formula>#ref!=1</formula>
    </cfRule>
    <cfRule type="expression" priority="62" aboveAverage="0" equalAverage="0" bottom="0" percent="0" rank="0" text="" dxfId="1980">
      <formula>#ref!=1</formula>
    </cfRule>
  </conditionalFormatting>
  <conditionalFormatting sqref="C188 G188">
    <cfRule type="expression" priority="63" aboveAverage="0" equalAverage="0" bottom="0" percent="0" rank="0" text="" dxfId="1981">
      <formula>AND($L188="X",OR($B188&lt;&gt;"",#ref!&lt;&gt;"",$C188&lt;&gt;""))</formula>
    </cfRule>
  </conditionalFormatting>
  <conditionalFormatting sqref="C188:C190">
    <cfRule type="expression" priority="64" aboveAverage="0" equalAverage="0" bottom="0" percent="0" rank="0" text="" dxfId="1982">
      <formula>AND(#ref!="X",OR(#ref!&lt;&gt;"",$B188&lt;&gt;""))</formula>
    </cfRule>
  </conditionalFormatting>
  <conditionalFormatting sqref="C192:C194 E196">
    <cfRule type="expression" priority="65" aboveAverage="0" equalAverage="0" bottom="0" percent="0" rank="0" text="" dxfId="1983">
      <formula>AND($L192="X",OR($B192&lt;&gt;"",#ref!&lt;&gt;"",#ref!&lt;&gt;""))</formula>
    </cfRule>
  </conditionalFormatting>
  <conditionalFormatting sqref="C197">
    <cfRule type="expression" priority="66" aboveAverage="0" equalAverage="0" bottom="0" percent="0" rank="0" text="" dxfId="1984">
      <formula>AND($L197="X",OR($B197&lt;&gt;"",$C197&lt;&gt;"",#ref!&lt;&gt;""))</formula>
    </cfRule>
  </conditionalFormatting>
  <conditionalFormatting sqref="C37:D37 F37:G37 D69 G69">
    <cfRule type="expression" priority="67" aboveAverage="0" equalAverage="0" bottom="0" percent="0" rank="0" text="" dxfId="1985">
      <formula>AND($L37="X",OR($B37&lt;&gt;"",#ref!&lt;&gt;"",$C37&lt;&gt;""))</formula>
    </cfRule>
    <cfRule type="expression" priority="68" aboveAverage="0" equalAverage="0" bottom="0" percent="0" rank="0" text="" dxfId="1986">
      <formula>AND($L37="X",OR($B37&lt;&gt;"",$C37&lt;&gt;"",$D37&lt;&gt;""))</formula>
    </cfRule>
    <cfRule type="expression" priority="69" aboveAverage="0" equalAverage="0" bottom="0" percent="0" rank="0" text="" dxfId="1987">
      <formula>AND($L37="X",OR($B37&lt;&gt;"",$C37&lt;&gt;"",$D37&lt;&gt;"",$E37&lt;&gt;""))</formula>
    </cfRule>
    <cfRule type="expression" priority="70" aboveAverage="0" equalAverage="0" bottom="0" percent="0" rank="0" text="" dxfId="1988">
      <formula>AND($L37="X",OR($B37&lt;&gt;"",$C37&lt;&gt;"",$E37&lt;&gt;"",#ref!&lt;&gt;""))</formula>
    </cfRule>
    <cfRule type="expression" priority="71" aboveAverage="0" equalAverage="0" bottom="0" percent="0" rank="0" text="" dxfId="1989">
      <formula>#ref!=1</formula>
    </cfRule>
    <cfRule type="expression" priority="72" aboveAverage="0" equalAverage="0" bottom="0" percent="0" rank="0" text="" dxfId="1990">
      <formula>AND($L37="X",OR($B37&lt;&gt;"",$C37&lt;&gt;"",$D37&lt;&gt;""))</formula>
    </cfRule>
    <cfRule type="expression" priority="73" aboveAverage="0" equalAverage="0" bottom="0" percent="0" rank="0" text="" dxfId="1991">
      <formula>AND($L37="X",OR($B37&lt;&gt;"",$C37&lt;&gt;"",$D37&lt;&gt;"",$E37&lt;&gt;""))</formula>
    </cfRule>
    <cfRule type="expression" priority="74" aboveAverage="0" equalAverage="0" bottom="0" percent="0" rank="0" text="" dxfId="1992">
      <formula>AND(#ref!=1,#ref!=1)</formula>
    </cfRule>
    <cfRule type="expression" priority="75" aboveAverage="0" equalAverage="0" bottom="0" percent="0" rank="0" text="" dxfId="1993">
      <formula>#ref!=1</formula>
    </cfRule>
    <cfRule type="expression" priority="76" aboveAverage="0" equalAverage="0" bottom="0" percent="0" rank="0" text="" dxfId="1994">
      <formula>#ref!=1</formula>
    </cfRule>
    <cfRule type="expression" priority="77" aboveAverage="0" equalAverage="0" bottom="0" percent="0" rank="0" text="" dxfId="1995">
      <formula>AND($L37="X",OR($B37&lt;&gt;"",$C37&lt;&gt;"",$E37&lt;&gt;"",#ref!&lt;&gt;""))</formula>
    </cfRule>
    <cfRule type="expression" priority="78" aboveAverage="0" equalAverage="0" bottom="0" percent="0" rank="0" text="" dxfId="1996">
      <formula>AND($L37="X",OR($B37&lt;&gt;"",$C37&lt;&gt;""))</formula>
    </cfRule>
    <cfRule type="expression" priority="79" aboveAverage="0" equalAverage="0" bottom="0" percent="0" rank="0" text="" dxfId="1997">
      <formula>AND($L37="X",OR($B37&lt;&gt;"",$C37&lt;&gt;"",$D37&lt;&gt;"",$E37&lt;&gt;""))</formula>
    </cfRule>
    <cfRule type="expression" priority="80" aboveAverage="0" equalAverage="0" bottom="0" percent="0" rank="0" text="" dxfId="1998">
      <formula>AND(#ref!=1,#ref!=1)</formula>
    </cfRule>
    <cfRule type="expression" priority="81" aboveAverage="0" equalAverage="0" bottom="0" percent="0" rank="0" text="" dxfId="1999">
      <formula>#ref!=1</formula>
    </cfRule>
    <cfRule type="expression" priority="82" aboveAverage="0" equalAverage="0" bottom="0" percent="0" rank="0" text="" dxfId="2000">
      <formula>#ref!=1</formula>
    </cfRule>
    <cfRule type="expression" priority="83" aboveAverage="0" equalAverage="0" bottom="0" percent="0" rank="0" text="" dxfId="2001">
      <formula>AND($L37="X",OR($B37&lt;&gt;"",$C37&lt;&gt;"",$E37&lt;&gt;"",#ref!&lt;&gt;""))</formula>
    </cfRule>
    <cfRule type="expression" priority="84" aboveAverage="0" equalAverage="0" bottom="0" percent="0" rank="0" text="" dxfId="2002">
      <formula>#ref!=1</formula>
    </cfRule>
    <cfRule type="expression" priority="85" aboveAverage="0" equalAverage="0" bottom="0" percent="0" rank="0" text="" dxfId="2003">
      <formula>AND($L37="X",OR($B37&lt;&gt;"",$C37&lt;&gt;"",$D37&lt;&gt;""))</formula>
    </cfRule>
    <cfRule type="expression" priority="86" aboveAverage="0" equalAverage="0" bottom="0" percent="0" rank="0" text="" dxfId="2004">
      <formula>AND($L37="X",OR($B37&lt;&gt;"",$C37&lt;&gt;"",$D37&lt;&gt;"",$E37&lt;&gt;""))</formula>
    </cfRule>
    <cfRule type="expression" priority="87" aboveAverage="0" equalAverage="0" bottom="0" percent="0" rank="0" text="" dxfId="2005">
      <formula>AND(#ref!=1,#ref!=1)</formula>
    </cfRule>
    <cfRule type="expression" priority="88" aboveAverage="0" equalAverage="0" bottom="0" percent="0" rank="0" text="" dxfId="2006">
      <formula>#ref!=1</formula>
    </cfRule>
    <cfRule type="expression" priority="89" aboveAverage="0" equalAverage="0" bottom="0" percent="0" rank="0" text="" dxfId="2007">
      <formula>AND($L37="X",OR($B37&lt;&gt;"",$C37&lt;&gt;"",$E37&lt;&gt;"",#ref!&lt;&gt;""))</formula>
    </cfRule>
    <cfRule type="expression" priority="90" aboveAverage="0" equalAverage="0" bottom="0" percent="0" rank="0" text="" dxfId="2008">
      <formula>AND($L37="X",OR($B37&lt;&gt;"",$C37&lt;&gt;""))</formula>
    </cfRule>
    <cfRule type="expression" priority="91" aboveAverage="0" equalAverage="0" bottom="0" percent="0" rank="0" text="" dxfId="2009">
      <formula>AND($L37="X",$B37&lt;&gt;"")</formula>
    </cfRule>
    <cfRule type="expression" priority="92" aboveAverage="0" equalAverage="0" bottom="0" percent="0" rank="0" text="" dxfId="2010">
      <formula>AND($L37="X",OR($B37&lt;&gt;"",$C37&lt;&gt;"",$D37&lt;&gt;""))</formula>
    </cfRule>
  </conditionalFormatting>
  <conditionalFormatting sqref="C131:D131 G131">
    <cfRule type="expression" priority="93" aboveAverage="0" equalAverage="0" bottom="0" percent="0" rank="0" text="" dxfId="2011">
      <formula>AND($L131="X",OR($B131&lt;&gt;"",$C131&lt;&gt;"",$D131&lt;&gt;"",$E131&lt;&gt;""))</formula>
    </cfRule>
    <cfRule type="expression" priority="94" aboveAverage="0" equalAverage="0" bottom="0" percent="0" rank="0" text="" dxfId="2012">
      <formula>AND($L131="X",OR($B131&lt;&gt;"",$C131&lt;&gt;"",$E131&lt;&gt;"",#ref!&lt;&gt;""))</formula>
    </cfRule>
    <cfRule type="expression" priority="95" aboveAverage="0" equalAverage="0" bottom="0" percent="0" rank="0" text="" dxfId="2013">
      <formula>#ref!=1</formula>
    </cfRule>
    <cfRule type="expression" priority="96" aboveAverage="0" equalAverage="0" bottom="0" percent="0" rank="0" text="" dxfId="2014">
      <formula>AND($L131="X",OR($B131&lt;&gt;"",$C131&lt;&gt;"",$D131&lt;&gt;""))</formula>
    </cfRule>
    <cfRule type="expression" priority="97" aboveAverage="0" equalAverage="0" bottom="0" percent="0" rank="0" text="" dxfId="2015">
      <formula>AND(#ref!=1,#ref!=1)</formula>
    </cfRule>
    <cfRule type="expression" priority="98" aboveAverage="0" equalAverage="0" bottom="0" percent="0" rank="0" text="" dxfId="2016">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priority="99" aboveAverage="0" equalAverage="0" bottom="0" percent="0" rank="0" text="" dxfId="2017">
      <formula>AND($L9="X",$B9&lt;&gt;"")</formula>
    </cfRule>
  </conditionalFormatting>
  <conditionalFormatting sqref="C198:E198">
    <cfRule type="expression" priority="100" aboveAverage="0" equalAverage="0" bottom="0" percent="0" rank="0" text="" dxfId="2018">
      <formula>AND($L198="X",OR(#ref!&lt;&gt;"",#ref!&lt;&gt;"",#ref!&lt;&gt;"",$B198&lt;&gt;""))</formula>
    </cfRule>
  </conditionalFormatting>
  <conditionalFormatting sqref="C202:E202">
    <cfRule type="expression" priority="101" aboveAverage="0" equalAverage="0" bottom="0" percent="0" rank="0" text="" dxfId="2019">
      <formula>AND($L202="X",OR(#ref!&lt;&gt;"",#ref!&lt;&gt;"",#ref!&lt;&gt;"",$B202&lt;&gt;""))</formula>
    </cfRule>
  </conditionalFormatting>
  <conditionalFormatting sqref="C17:G17">
    <cfRule type="expression" priority="102" aboveAverage="0" equalAverage="0" bottom="0" percent="0" rank="0" text="" dxfId="2020">
      <formula>AND($L17="X",OR($B17&lt;&gt;"",$C17&lt;&gt;"",$D17&lt;&gt;"",$E17&lt;&gt;""))</formula>
    </cfRule>
    <cfRule type="expression" priority="103" aboveAverage="0" equalAverage="0" bottom="0" percent="0" rank="0" text="" dxfId="2021">
      <formula>AND($L17="X",OR($B17&lt;&gt;"",#ref!&lt;&gt;"",$C17&lt;&gt;"",$D17&lt;&gt;""))</formula>
    </cfRule>
    <cfRule type="expression" priority="104" aboveAverage="0" equalAverage="0" bottom="0" percent="0" rank="0" text="" dxfId="2022">
      <formula>AND(#ref!=1,#ref!=1)</formula>
    </cfRule>
    <cfRule type="expression" priority="105" aboveAverage="0" equalAverage="0" bottom="0" percent="0" rank="0" text="" dxfId="2023">
      <formula>#ref!=1</formula>
    </cfRule>
    <cfRule type="expression" priority="106" aboveAverage="0" equalAverage="0" bottom="0" percent="0" rank="0" text="" dxfId="2024">
      <formula>#ref!=1</formula>
    </cfRule>
    <cfRule type="expression" priority="107" aboveAverage="0" equalAverage="0" bottom="0" percent="0" rank="0" text="" dxfId="2025">
      <formula>AND($L17="X",OR($B17&lt;&gt;"",$C17&lt;&gt;""))</formula>
    </cfRule>
    <cfRule type="expression" priority="108" aboveAverage="0" equalAverage="0" bottom="0" percent="0" rank="0" text="" dxfId="2026">
      <formula>AND(#ref!=1,#ref!=1)</formula>
    </cfRule>
    <cfRule type="expression" priority="109" aboveAverage="0" equalAverage="0" bottom="0" percent="0" rank="0" text="" dxfId="2027">
      <formula>#ref!=1</formula>
    </cfRule>
    <cfRule type="expression" priority="110" aboveAverage="0" equalAverage="0" bottom="0" percent="0" rank="0" text="" dxfId="2028">
      <formula>#ref!=1</formula>
    </cfRule>
    <cfRule type="expression" priority="111" aboveAverage="0" equalAverage="0" bottom="0" percent="0" rank="0" text="" dxfId="2029">
      <formula>AND($L17="X",OR($B17&lt;&gt;"",$C17&lt;&gt;""))</formula>
    </cfRule>
    <cfRule type="expression" priority="112" aboveAverage="0" equalAverage="0" bottom="0" percent="0" rank="0" text="" dxfId="2030">
      <formula>AND(#ref!=1,#ref!=1)</formula>
    </cfRule>
    <cfRule type="expression" priority="113" aboveAverage="0" equalAverage="0" bottom="0" percent="0" rank="0" text="" dxfId="2031">
      <formula>#ref!=1</formula>
    </cfRule>
    <cfRule type="expression" priority="114" aboveAverage="0" equalAverage="0" bottom="0" percent="0" rank="0" text="" dxfId="2032">
      <formula>#ref!=1</formula>
    </cfRule>
    <cfRule type="expression" priority="115" aboveAverage="0" equalAverage="0" bottom="0" percent="0" rank="0" text="" dxfId="2033">
      <formula>AND($L17="X",OR($B17&lt;&gt;"",$C17&lt;&gt;""))</formula>
    </cfRule>
    <cfRule type="expression" priority="116" aboveAverage="0" equalAverage="0" bottom="0" percent="0" rank="0" text="" dxfId="2034">
      <formula>AND(#ref!=1,#ref!=1)</formula>
    </cfRule>
    <cfRule type="expression" priority="117" aboveAverage="0" equalAverage="0" bottom="0" percent="0" rank="0" text="" dxfId="2035">
      <formula>#ref!=1</formula>
    </cfRule>
    <cfRule type="expression" priority="118" aboveAverage="0" equalAverage="0" bottom="0" percent="0" rank="0" text="" dxfId="2036">
      <formula>#ref!=1</formula>
    </cfRule>
    <cfRule type="expression" priority="119" aboveAverage="0" equalAverage="0" bottom="0" percent="0" rank="0" text="" dxfId="2037">
      <formula>AND($L17="X",OR($B17&lt;&gt;"",$C17&lt;&gt;""))</formula>
    </cfRule>
    <cfRule type="expression" priority="120" aboveAverage="0" equalAverage="0" bottom="0" percent="0" rank="0" text="" dxfId="2038">
      <formula>AND(#ref!=1,#ref!=1)</formula>
    </cfRule>
    <cfRule type="expression" priority="121" aboveAverage="0" equalAverage="0" bottom="0" percent="0" rank="0" text="" dxfId="2039">
      <formula>#ref!=1</formula>
    </cfRule>
    <cfRule type="expression" priority="122" aboveAverage="0" equalAverage="0" bottom="0" percent="0" rank="0" text="" dxfId="2040">
      <formula>#ref!=1</formula>
    </cfRule>
    <cfRule type="expression" priority="123" aboveAverage="0" equalAverage="0" bottom="0" percent="0" rank="0" text="" dxfId="2041">
      <formula>AND($L17="X",OR($B17&lt;&gt;"",$C17&lt;&gt;""))</formula>
    </cfRule>
    <cfRule type="expression" priority="124" aboveAverage="0" equalAverage="0" bottom="0" percent="0" rank="0" text="" dxfId="2042">
      <formula>AND(#ref!=1,#ref!=1)</formula>
    </cfRule>
    <cfRule type="expression" priority="125" aboveAverage="0" equalAverage="0" bottom="0" percent="0" rank="0" text="" dxfId="2043">
      <formula>#ref!=1</formula>
    </cfRule>
    <cfRule type="expression" priority="126" aboveAverage="0" equalAverage="0" bottom="0" percent="0" rank="0" text="" dxfId="2044">
      <formula>#ref!=1</formula>
    </cfRule>
    <cfRule type="expression" priority="127" aboveAverage="0" equalAverage="0" bottom="0" percent="0" rank="0" text="" dxfId="2045">
      <formula>AND($L17="X",OR($B17&lt;&gt;"",$C17&lt;&gt;""))</formula>
    </cfRule>
    <cfRule type="expression" priority="128" aboveAverage="0" equalAverage="0" bottom="0" percent="0" rank="0" text="" dxfId="2046">
      <formula>AND(#ref!=1,#ref!=1)</formula>
    </cfRule>
    <cfRule type="expression" priority="129" aboveAverage="0" equalAverage="0" bottom="0" percent="0" rank="0" text="" dxfId="2047">
      <formula>#ref!=1</formula>
    </cfRule>
    <cfRule type="expression" priority="130" aboveAverage="0" equalAverage="0" bottom="0" percent="0" rank="0" text="" dxfId="2048">
      <formula>#ref!=1</formula>
    </cfRule>
    <cfRule type="expression" priority="131" aboveAverage="0" equalAverage="0" bottom="0" percent="0" rank="0" text="" dxfId="2049">
      <formula>OR(#ref!="X",#ref!="X")</formula>
    </cfRule>
    <cfRule type="expression" priority="132" aboveAverage="0" equalAverage="0" bottom="0" percent="0" rank="0" text="" dxfId="2050">
      <formula>AND(#ref!=1,#ref!=1)</formula>
    </cfRule>
    <cfRule type="expression" priority="133" aboveAverage="0" equalAverage="0" bottom="0" percent="0" rank="0" text="" dxfId="2051">
      <formula>#ref!=1</formula>
    </cfRule>
    <cfRule type="expression" priority="134" aboveAverage="0" equalAverage="0" bottom="0" percent="0" rank="0" text="" dxfId="2052">
      <formula>#ref!=1</formula>
    </cfRule>
    <cfRule type="expression" priority="135" aboveAverage="0" equalAverage="0" bottom="0" percent="0" rank="0" text="" dxfId="2053">
      <formula>AND(#ref!=1,#ref!=1)</formula>
    </cfRule>
    <cfRule type="expression" priority="136" aboveAverage="0" equalAverage="0" bottom="0" percent="0" rank="0" text="" dxfId="2054">
      <formula>#ref!=1</formula>
    </cfRule>
    <cfRule type="expression" priority="137" aboveAverage="0" equalAverage="0" bottom="0" percent="0" rank="0" text="" dxfId="2055">
      <formula>AND(#ref!=1,#ref!=1)</formula>
    </cfRule>
    <cfRule type="expression" priority="138" aboveAverage="0" equalAverage="0" bottom="0" percent="0" rank="0" text="" dxfId="2056">
      <formula>#ref!=1</formula>
    </cfRule>
    <cfRule type="expression" priority="139" aboveAverage="0" equalAverage="0" bottom="0" percent="0" rank="0" text="" dxfId="2057">
      <formula>AND($L17="X",OR($B17&lt;&gt;"",$C17&lt;&gt;""))</formula>
    </cfRule>
    <cfRule type="expression" priority="140" aboveAverage="0" equalAverage="0" bottom="0" percent="0" rank="0" text="" dxfId="2058">
      <formula>AND($L17="X",OR($B17&lt;&gt;"",#ref!&lt;&gt;"",$C17&lt;&gt;""))</formula>
    </cfRule>
    <cfRule type="expression" priority="141" aboveAverage="0" equalAverage="0" bottom="0" percent="0" rank="0" text="" dxfId="2059">
      <formula>AND($L17="X",OR($B17&lt;&gt;"",$C17&lt;&gt;"",$D17&lt;&gt;""))</formula>
    </cfRule>
    <cfRule type="expression" priority="142" aboveAverage="0" equalAverage="0" bottom="0" percent="0" rank="0" text="" dxfId="2060">
      <formula>AND($L17="X",OR($B17&lt;&gt;"",$C17&lt;&gt;"",$D17&lt;&gt;"",$E17&lt;&gt;""))</formula>
    </cfRule>
    <cfRule type="expression" priority="143" aboveAverage="0" equalAverage="0" bottom="0" percent="0" rank="0" text="" dxfId="2061">
      <formula>AND($L17="X",OR($B17&lt;&gt;"",$C17&lt;&gt;"",$E17&lt;&gt;"",#ref!&lt;&gt;""))</formula>
    </cfRule>
    <cfRule type="expression" priority="144" aboveAverage="0" equalAverage="0" bottom="0" percent="0" rank="0" text="" dxfId="2062">
      <formula>#ref!=1</formula>
    </cfRule>
    <cfRule type="expression" priority="145" aboveAverage="0" equalAverage="0" bottom="0" percent="0" rank="0" text="" dxfId="2063">
      <formula>AND($L17="X",OR($B17&lt;&gt;"",$C17&lt;&gt;"",$D17&lt;&gt;""))</formula>
    </cfRule>
    <cfRule type="expression" priority="146" aboveAverage="0" equalAverage="0" bottom="0" percent="0" rank="0" text="" dxfId="2064">
      <formula>AND($L17="X",OR($B17&lt;&gt;"",$C17&lt;&gt;"",$D17&lt;&gt;"",$E17&lt;&gt;""))</formula>
    </cfRule>
    <cfRule type="expression" priority="147" aboveAverage="0" equalAverage="0" bottom="0" percent="0" rank="0" text="" dxfId="2065">
      <formula>AND(#ref!=1,#ref!=1)</formula>
    </cfRule>
    <cfRule type="expression" priority="148" aboveAverage="0" equalAverage="0" bottom="0" percent="0" rank="0" text="" dxfId="2066">
      <formula>#ref!=1</formula>
    </cfRule>
    <cfRule type="expression" priority="149" aboveAverage="0" equalAverage="0" bottom="0" percent="0" rank="0" text="" dxfId="2067">
      <formula>#ref!=1</formula>
    </cfRule>
    <cfRule type="expression" priority="150" aboveAverage="0" equalAverage="0" bottom="0" percent="0" rank="0" text="" dxfId="2068">
      <formula>AND($L17="X",OR($B17&lt;&gt;"",$C17&lt;&gt;"",$E17&lt;&gt;"",#ref!&lt;&gt;""))</formula>
    </cfRule>
    <cfRule type="expression" priority="151" aboveAverage="0" equalAverage="0" bottom="0" percent="0" rank="0" text="" dxfId="2069">
      <formula>AND($L17="X",OR($B17&lt;&gt;"",$C17&lt;&gt;""))</formula>
    </cfRule>
    <cfRule type="expression" priority="152" aboveAverage="0" equalAverage="0" bottom="0" percent="0" rank="0" text="" dxfId="2070">
      <formula>AND($L17="X",OR($B17&lt;&gt;"",$C17&lt;&gt;"",$D17&lt;&gt;"",$E17&lt;&gt;""))</formula>
    </cfRule>
    <cfRule type="expression" priority="153" aboveAverage="0" equalAverage="0" bottom="0" percent="0" rank="0" text="" dxfId="2071">
      <formula>AND(#ref!=1,#ref!=1)</formula>
    </cfRule>
    <cfRule type="expression" priority="154" aboveAverage="0" equalAverage="0" bottom="0" percent="0" rank="0" text="" dxfId="2072">
      <formula>#ref!=1</formula>
    </cfRule>
    <cfRule type="expression" priority="155" aboveAverage="0" equalAverage="0" bottom="0" percent="0" rank="0" text="" dxfId="2073">
      <formula>#ref!=1</formula>
    </cfRule>
    <cfRule type="expression" priority="156" aboveAverage="0" equalAverage="0" bottom="0" percent="0" rank="0" text="" dxfId="2074">
      <formula>AND($L17="X",OR($B17&lt;&gt;"",$C17&lt;&gt;"",$E17&lt;&gt;"",#ref!&lt;&gt;""))</formula>
    </cfRule>
    <cfRule type="expression" priority="157" aboveAverage="0" equalAverage="0" bottom="0" percent="0" rank="0" text="" dxfId="2075">
      <formula>#ref!=1</formula>
    </cfRule>
    <cfRule type="expression" priority="158" aboveAverage="0" equalAverage="0" bottom="0" percent="0" rank="0" text="" dxfId="2076">
      <formula>AND($L17="X",OR($B17&lt;&gt;"",$C17&lt;&gt;"",$D17&lt;&gt;""))</formula>
    </cfRule>
    <cfRule type="expression" priority="159" aboveAverage="0" equalAverage="0" bottom="0" percent="0" rank="0" text="" dxfId="2077">
      <formula>AND($L17="X",OR($B17&lt;&gt;"",$C17&lt;&gt;"",$D17&lt;&gt;"",$E17&lt;&gt;""))</formula>
    </cfRule>
    <cfRule type="expression" priority="160" aboveAverage="0" equalAverage="0" bottom="0" percent="0" rank="0" text="" dxfId="2078">
      <formula>AND($L17="X",OR($B17&lt;&gt;"",$C17&lt;&gt;"",$E17&lt;&gt;"",#ref!&lt;&gt;""))</formula>
    </cfRule>
    <cfRule type="expression" priority="161" aboveAverage="0" equalAverage="0" bottom="0" percent="0" rank="0" text="" dxfId="2079">
      <formula>AND($L17="X",OR($B17&lt;&gt;"",$C17&lt;&gt;""))</formula>
    </cfRule>
    <cfRule type="expression" priority="162" aboveAverage="0" equalAverage="0" bottom="0" percent="0" rank="0" text="" dxfId="2080">
      <formula>AND($L17="X",$B17&lt;&gt;"")</formula>
    </cfRule>
  </conditionalFormatting>
  <conditionalFormatting sqref="C37:G37 D44:G44 E51:G51 D59:G59 D69:G69 E71:G71 F72:G72 C92:G92 E98:G98">
    <cfRule type="expression" priority="163" aboveAverage="0" equalAverage="0" bottom="0" percent="0" rank="0" text="" dxfId="2081">
      <formula>AND(#ref!=1,#ref!=1)</formula>
    </cfRule>
    <cfRule type="expression" priority="164" aboveAverage="0" equalAverage="0" bottom="0" percent="0" rank="0" text="" dxfId="2082">
      <formula>#ref!=1</formula>
    </cfRule>
    <cfRule type="expression" priority="165" aboveAverage="0" equalAverage="0" bottom="0" percent="0" rank="0" text="" dxfId="2083">
      <formula>#ref!=1</formula>
    </cfRule>
    <cfRule type="expression" priority="166" aboveAverage="0" equalAverage="0" bottom="0" percent="0" rank="0" text="" dxfId="2084">
      <formula>AND($L37="X",OR($B37&lt;&gt;"",$C37&lt;&gt;""))</formula>
    </cfRule>
    <cfRule type="expression" priority="167" aboveAverage="0" equalAverage="0" bottom="0" percent="0" rank="0" text="" dxfId="2085">
      <formula>AND(#ref!=1,#ref!=1)</formula>
    </cfRule>
    <cfRule type="expression" priority="168" aboveAverage="0" equalAverage="0" bottom="0" percent="0" rank="0" text="" dxfId="2086">
      <formula>#ref!=1</formula>
    </cfRule>
    <cfRule type="expression" priority="169" aboveAverage="0" equalAverage="0" bottom="0" percent="0" rank="0" text="" dxfId="2087">
      <formula>#ref!=1</formula>
    </cfRule>
    <cfRule type="expression" priority="170" aboveAverage="0" equalAverage="0" bottom="0" percent="0" rank="0" text="" dxfId="2088">
      <formula>AND($L37="X",OR($B37&lt;&gt;"",$C37&lt;&gt;""))</formula>
    </cfRule>
    <cfRule type="expression" priority="171" aboveAverage="0" equalAverage="0" bottom="0" percent="0" rank="0" text="" dxfId="2089">
      <formula>AND(#ref!=1,#ref!=1)</formula>
    </cfRule>
    <cfRule type="expression" priority="172" aboveAverage="0" equalAverage="0" bottom="0" percent="0" rank="0" text="" dxfId="2090">
      <formula>#ref!=1</formula>
    </cfRule>
    <cfRule type="expression" priority="173" aboveAverage="0" equalAverage="0" bottom="0" percent="0" rank="0" text="" dxfId="2091">
      <formula>#ref!=1</formula>
    </cfRule>
    <cfRule type="expression" priority="174" aboveAverage="0" equalAverage="0" bottom="0" percent="0" rank="0" text="" dxfId="2092">
      <formula>AND($L37="X",OR($B37&lt;&gt;"",$C37&lt;&gt;""))</formula>
    </cfRule>
    <cfRule type="expression" priority="175" aboveAverage="0" equalAverage="0" bottom="0" percent="0" rank="0" text="" dxfId="2093">
      <formula>AND(#ref!=1,#ref!=1)</formula>
    </cfRule>
    <cfRule type="expression" priority="176" aboveAverage="0" equalAverage="0" bottom="0" percent="0" rank="0" text="" dxfId="2094">
      <formula>#ref!=1</formula>
    </cfRule>
    <cfRule type="expression" priority="177" aboveAverage="0" equalAverage="0" bottom="0" percent="0" rank="0" text="" dxfId="2095">
      <formula>#ref!=1</formula>
    </cfRule>
    <cfRule type="expression" priority="178" aboveAverage="0" equalAverage="0" bottom="0" percent="0" rank="0" text="" dxfId="2096">
      <formula>AND($L37="X",OR($B37&lt;&gt;"",$C37&lt;&gt;""))</formula>
    </cfRule>
    <cfRule type="expression" priority="179" aboveAverage="0" equalAverage="0" bottom="0" percent="0" rank="0" text="" dxfId="2097">
      <formula>AND(#ref!=1,#ref!=1)</formula>
    </cfRule>
    <cfRule type="expression" priority="180" aboveAverage="0" equalAverage="0" bottom="0" percent="0" rank="0" text="" dxfId="2098">
      <formula>#ref!=1</formula>
    </cfRule>
    <cfRule type="expression" priority="181" aboveAverage="0" equalAverage="0" bottom="0" percent="0" rank="0" text="" dxfId="2099">
      <formula>#ref!=1</formula>
    </cfRule>
    <cfRule type="expression" priority="182" aboveAverage="0" equalAverage="0" bottom="0" percent="0" rank="0" text="" dxfId="2100">
      <formula>AND($L37="X",OR($B37&lt;&gt;"",$C37&lt;&gt;""))</formula>
    </cfRule>
    <cfRule type="expression" priority="183" aboveAverage="0" equalAverage="0" bottom="0" percent="0" rank="0" text="" dxfId="2101">
      <formula>AND(#ref!=1,#ref!=1)</formula>
    </cfRule>
    <cfRule type="expression" priority="184" aboveAverage="0" equalAverage="0" bottom="0" percent="0" rank="0" text="" dxfId="2102">
      <formula>#ref!=1</formula>
    </cfRule>
    <cfRule type="expression" priority="185" aboveAverage="0" equalAverage="0" bottom="0" percent="0" rank="0" text="" dxfId="2103">
      <formula>#ref!=1</formula>
    </cfRule>
    <cfRule type="expression" priority="186" aboveAverage="0" equalAverage="0" bottom="0" percent="0" rank="0" text="" dxfId="2104">
      <formula>AND($L37="X",OR($B37&lt;&gt;"",$C37&lt;&gt;""))</formula>
    </cfRule>
    <cfRule type="expression" priority="187" aboveAverage="0" equalAverage="0" bottom="0" percent="0" rank="0" text="" dxfId="2105">
      <formula>AND(#ref!=1,#ref!=1)</formula>
    </cfRule>
    <cfRule type="expression" priority="188" aboveAverage="0" equalAverage="0" bottom="0" percent="0" rank="0" text="" dxfId="2106">
      <formula>#ref!=1</formula>
    </cfRule>
    <cfRule type="expression" priority="189" aboveAverage="0" equalAverage="0" bottom="0" percent="0" rank="0" text="" dxfId="2107">
      <formula>#ref!=1</formula>
    </cfRule>
    <cfRule type="expression" priority="190" aboveAverage="0" equalAverage="0" bottom="0" percent="0" rank="0" text="" dxfId="2108">
      <formula>OR(#ref!="X",#ref!="X")</formula>
    </cfRule>
    <cfRule type="expression" priority="191" aboveAverage="0" equalAverage="0" bottom="0" percent="0" rank="0" text="" dxfId="2109">
      <formula>AND(#ref!=1,#ref!=1)</formula>
    </cfRule>
    <cfRule type="expression" priority="192" aboveAverage="0" equalAverage="0" bottom="0" percent="0" rank="0" text="" dxfId="2110">
      <formula>#ref!=1</formula>
    </cfRule>
    <cfRule type="expression" priority="193" aboveAverage="0" equalAverage="0" bottom="0" percent="0" rank="0" text="" dxfId="2111">
      <formula>#ref!=1</formula>
    </cfRule>
    <cfRule type="expression" priority="194" aboveAverage="0" equalAverage="0" bottom="0" percent="0" rank="0" text="" dxfId="2112">
      <formula>OR(#ref!="X",#ref!="X")</formula>
    </cfRule>
    <cfRule type="expression" priority="195" aboveAverage="0" equalAverage="0" bottom="0" percent="0" rank="0" text="" dxfId="2113">
      <formula>AND(#ref!=1,#ref!=1)</formula>
    </cfRule>
    <cfRule type="expression" priority="196" aboveAverage="0" equalAverage="0" bottom="0" percent="0" rank="0" text="" dxfId="2114">
      <formula>#ref!=1</formula>
    </cfRule>
    <cfRule type="expression" priority="197" aboveAverage="0" equalAverage="0" bottom="0" percent="0" rank="0" text="" dxfId="2115">
      <formula>AND(#ref!=1,#ref!=1)</formula>
    </cfRule>
    <cfRule type="expression" priority="198" aboveAverage="0" equalAverage="0" bottom="0" percent="0" rank="0" text="" dxfId="2116">
      <formula>#ref!=1</formula>
    </cfRule>
  </conditionalFormatting>
  <conditionalFormatting sqref="C37:G37 D69:G69 C92:G92 D23:G27 D44:G44 E51:G51 D59:G59 E71:G71 F72:G72 E98:G98">
    <cfRule type="expression" priority="199" aboveAverage="0" equalAverage="0" bottom="0" percent="0" rank="0" text="" dxfId="2117">
      <formula>AND($L23="X",OR($B23&lt;&gt;"",$C23&lt;&gt;"",$D23&lt;&gt;"",$E23&lt;&gt;""))</formula>
    </cfRule>
    <cfRule type="expression" priority="200" aboveAverage="0" equalAverage="0" bottom="0" percent="0" rank="0" text="" dxfId="2118">
      <formula>AND($L23="X",OR($B23&lt;&gt;"",#ref!&lt;&gt;"",$C23&lt;&gt;"",$D23&lt;&gt;""))</formula>
    </cfRule>
  </conditionalFormatting>
  <conditionalFormatting sqref="C131:G131">
    <cfRule type="expression" priority="201" aboveAverage="0" equalAverage="0" bottom="0" percent="0" rank="0" text="" dxfId="2119">
      <formula>AND($L131="X",OR($B131&lt;&gt;"",$C131&lt;&gt;"",$D131&lt;&gt;"",$E131&lt;&gt;""))</formula>
    </cfRule>
    <cfRule type="expression" priority="202" aboveAverage="0" equalAverage="0" bottom="0" percent="0" rank="0" text="" dxfId="2120">
      <formula>AND($L131="X",OR($B131&lt;&gt;"",#ref!&lt;&gt;"",$C131&lt;&gt;"",$D131&lt;&gt;""))</formula>
    </cfRule>
    <cfRule type="expression" priority="203" aboveAverage="0" equalAverage="0" bottom="0" percent="0" rank="0" text="" dxfId="2121">
      <formula>AND($U131=1,$T131=1)</formula>
    </cfRule>
    <cfRule type="expression" priority="204" aboveAverage="0" equalAverage="0" bottom="0" percent="0" rank="0" text="" dxfId="2122">
      <formula>$U131=1</formula>
    </cfRule>
    <cfRule type="expression" priority="205" aboveAverage="0" equalAverage="0" bottom="0" percent="0" rank="0" text="" dxfId="2123">
      <formula>$T131=1</formula>
    </cfRule>
    <cfRule type="expression" priority="206" aboveAverage="0" equalAverage="0" bottom="0" percent="0" rank="0" text="" dxfId="2124">
      <formula>AND($L131="X",OR($B131&lt;&gt;"",$C131&lt;&gt;""))</formula>
    </cfRule>
    <cfRule type="expression" priority="207" aboveAverage="0" equalAverage="0" bottom="0" percent="0" rank="0" text="" dxfId="2125">
      <formula>AND($U131=1,$T131=1)</formula>
    </cfRule>
    <cfRule type="expression" priority="208" aboveAverage="0" equalAverage="0" bottom="0" percent="0" rank="0" text="" dxfId="2126">
      <formula>$U131=1</formula>
    </cfRule>
    <cfRule type="expression" priority="209" aboveAverage="0" equalAverage="0" bottom="0" percent="0" rank="0" text="" dxfId="2127">
      <formula>$T131=1</formula>
    </cfRule>
    <cfRule type="expression" priority="210" aboveAverage="0" equalAverage="0" bottom="0" percent="0" rank="0" text="" dxfId="2128">
      <formula>AND($L131="X",OR($B131&lt;&gt;"",$C131&lt;&gt;""))</formula>
    </cfRule>
    <cfRule type="expression" priority="211" aboveAverage="0" equalAverage="0" bottom="0" percent="0" rank="0" text="" dxfId="2129">
      <formula>AND($U131=1,$T131=1)</formula>
    </cfRule>
    <cfRule type="expression" priority="212" aboveAverage="0" equalAverage="0" bottom="0" percent="0" rank="0" text="" dxfId="2130">
      <formula>$U131=1</formula>
    </cfRule>
    <cfRule type="expression" priority="213" aboveAverage="0" equalAverage="0" bottom="0" percent="0" rank="0" text="" dxfId="2131">
      <formula>$T131=1</formula>
    </cfRule>
    <cfRule type="expression" priority="214" aboveAverage="0" equalAverage="0" bottom="0" percent="0" rank="0" text="" dxfId="2132">
      <formula>AND($L131="X",OR($B131&lt;&gt;"",$C131&lt;&gt;""))</formula>
    </cfRule>
    <cfRule type="expression" priority="215" aboveAverage="0" equalAverage="0" bottom="0" percent="0" rank="0" text="" dxfId="2133">
      <formula>AND($U131=1,$T131=1)</formula>
    </cfRule>
    <cfRule type="expression" priority="216" aboveAverage="0" equalAverage="0" bottom="0" percent="0" rank="0" text="" dxfId="2134">
      <formula>$U131=1</formula>
    </cfRule>
    <cfRule type="expression" priority="217" aboveAverage="0" equalAverage="0" bottom="0" percent="0" rank="0" text="" dxfId="2135">
      <formula>$T131=1</formula>
    </cfRule>
    <cfRule type="expression" priority="218" aboveAverage="0" equalAverage="0" bottom="0" percent="0" rank="0" text="" dxfId="2136">
      <formula>AND($L131="X",OR($B131&lt;&gt;"",$C131&lt;&gt;""))</formula>
    </cfRule>
    <cfRule type="expression" priority="219" aboveAverage="0" equalAverage="0" bottom="0" percent="0" rank="0" text="" dxfId="2137">
      <formula>AND($U131=1,$T131=1)</formula>
    </cfRule>
    <cfRule type="expression" priority="220" aboveAverage="0" equalAverage="0" bottom="0" percent="0" rank="0" text="" dxfId="2138">
      <formula>$U131=1</formula>
    </cfRule>
    <cfRule type="expression" priority="221" aboveAverage="0" equalAverage="0" bottom="0" percent="0" rank="0" text="" dxfId="2139">
      <formula>$T131=1</formula>
    </cfRule>
    <cfRule type="expression" priority="222" aboveAverage="0" equalAverage="0" bottom="0" percent="0" rank="0" text="" dxfId="2140">
      <formula>AND($L131="X",OR($B131&lt;&gt;"",$C131&lt;&gt;""))</formula>
    </cfRule>
    <cfRule type="expression" priority="223" aboveAverage="0" equalAverage="0" bottom="0" percent="0" rank="0" text="" dxfId="2141">
      <formula>AND($U131=1,$T131=1)</formula>
    </cfRule>
    <cfRule type="expression" priority="224" aboveAverage="0" equalAverage="0" bottom="0" percent="0" rank="0" text="" dxfId="2142">
      <formula>$U131=1</formula>
    </cfRule>
    <cfRule type="expression" priority="225" aboveAverage="0" equalAverage="0" bottom="0" percent="0" rank="0" text="" dxfId="2143">
      <formula>$T131=1</formula>
    </cfRule>
    <cfRule type="expression" priority="226" aboveAverage="0" equalAverage="0" bottom="0" percent="0" rank="0" text="" dxfId="2144">
      <formula>AND($L131="X",OR($B131&lt;&gt;"",$C131&lt;&gt;""))</formula>
    </cfRule>
    <cfRule type="expression" priority="227" aboveAverage="0" equalAverage="0" bottom="0" percent="0" rank="0" text="" dxfId="2145">
      <formula>AND($U131=1,$T131=1)</formula>
    </cfRule>
    <cfRule type="expression" priority="228" aboveAverage="0" equalAverage="0" bottom="0" percent="0" rank="0" text="" dxfId="2146">
      <formula>$U131=1</formula>
    </cfRule>
    <cfRule type="expression" priority="229" aboveAverage="0" equalAverage="0" bottom="0" percent="0" rank="0" text="" dxfId="2147">
      <formula>$T131=1</formula>
    </cfRule>
    <cfRule type="expression" priority="230" aboveAverage="0" equalAverage="0" bottom="0" percent="0" rank="0" text="" dxfId="2148">
      <formula>OR($U131="X",$T131="X")</formula>
    </cfRule>
    <cfRule type="expression" priority="231" aboveAverage="0" equalAverage="0" bottom="0" percent="0" rank="0" text="" dxfId="2149">
      <formula>AND($U131=1,$T131=1)</formula>
    </cfRule>
    <cfRule type="expression" priority="232" aboveAverage="0" equalAverage="0" bottom="0" percent="0" rank="0" text="" dxfId="2150">
      <formula>$U131=1</formula>
    </cfRule>
    <cfRule type="expression" priority="233" aboveAverage="0" equalAverage="0" bottom="0" percent="0" rank="0" text="" dxfId="2151">
      <formula>$T131=1</formula>
    </cfRule>
    <cfRule type="expression" priority="234" aboveAverage="0" equalAverage="0" bottom="0" percent="0" rank="0" text="" dxfId="2152">
      <formula>OR($U131="X",$T131="X")</formula>
    </cfRule>
    <cfRule type="expression" priority="235" aboveAverage="0" equalAverage="0" bottom="0" percent="0" rank="0" text="" dxfId="2153">
      <formula>AND($U131=1,$T131=1)</formula>
    </cfRule>
    <cfRule type="expression" priority="236" aboveAverage="0" equalAverage="0" bottom="0" percent="0" rank="0" text="" dxfId="2154">
      <formula>$U131=1</formula>
    </cfRule>
    <cfRule type="expression" priority="237" aboveAverage="0" equalAverage="0" bottom="0" percent="0" rank="0" text="" dxfId="2155">
      <formula>AND($L131="X",OR($B131&lt;&gt;"",$C131&lt;&gt;"",$D131&lt;&gt;"",$E131&lt;&gt;""))</formula>
    </cfRule>
    <cfRule type="expression" priority="238" aboveAverage="0" equalAverage="0" bottom="0" percent="0" rank="0" text="" dxfId="2156">
      <formula>AND($L131="X",OR($B131&lt;&gt;"",$C131&lt;&gt;"",$E131&lt;&gt;"",#ref!&lt;&gt;""))</formula>
    </cfRule>
    <cfRule type="expression" priority="239" aboveAverage="0" equalAverage="0" bottom="0" percent="0" rank="0" text="" dxfId="2157">
      <formula>$T131=1</formula>
    </cfRule>
    <cfRule type="expression" priority="240" aboveAverage="0" equalAverage="0" bottom="0" percent="0" rank="0" text="" dxfId="2158">
      <formula>AND($L131="X",OR($B131&lt;&gt;"",$C131&lt;&gt;"",$D131&lt;&gt;""))</formula>
    </cfRule>
    <cfRule type="expression" priority="241" aboveAverage="0" equalAverage="0" bottom="0" percent="0" rank="0" text="" dxfId="2159">
      <formula>AND($U131=1,$T131=1)</formula>
    </cfRule>
    <cfRule type="expression" priority="242" aboveAverage="0" equalAverage="0" bottom="0" percent="0" rank="0" text="" dxfId="2160">
      <formula>$U131=1</formula>
    </cfRule>
    <cfRule type="expression" priority="243" aboveAverage="0" equalAverage="0" bottom="0" percent="0" rank="0" text="" dxfId="2161">
      <formula>AND($L131="X",$B131&lt;&gt;"")</formula>
    </cfRule>
    <cfRule type="expression" priority="244" aboveAverage="0" equalAverage="0" bottom="0" percent="0" rank="0" text="" dxfId="2162">
      <formula>AND($L131="X",OR($B131&lt;&gt;"",$C131&lt;&gt;""))</formula>
    </cfRule>
    <cfRule type="expression" priority="245" aboveAverage="0" equalAverage="0" bottom="0" percent="0" rank="0" text="" dxfId="2163">
      <formula>AND($L131="X",$B131&lt;&gt;"")</formula>
    </cfRule>
    <cfRule type="expression" priority="246" aboveAverage="0" equalAverage="0" bottom="0" percent="0" rank="0" text="" dxfId="2164">
      <formula>AND($L131="X",OR($B131&lt;&gt;"",$C131&lt;&gt;"",$D131&lt;&gt;"",$E131&lt;&gt;""))</formula>
    </cfRule>
    <cfRule type="expression" priority="247" aboveAverage="0" equalAverage="0" bottom="0" percent="0" rank="0" text="" dxfId="2165">
      <formula>AND($L131="X",OR($B131&lt;&gt;"",#ref!&lt;&gt;"",$C131&lt;&gt;"",$D131&lt;&gt;""))</formula>
    </cfRule>
    <cfRule type="expression" priority="248" aboveAverage="0" equalAverage="0" bottom="0" percent="0" rank="0" text="" dxfId="2166">
      <formula>AND(#ref!=1,#ref!=1)</formula>
    </cfRule>
    <cfRule type="expression" priority="249" aboveAverage="0" equalAverage="0" bottom="0" percent="0" rank="0" text="" dxfId="2167">
      <formula>#ref!=1</formula>
    </cfRule>
    <cfRule type="expression" priority="250" aboveAverage="0" equalAverage="0" bottom="0" percent="0" rank="0" text="" dxfId="2168">
      <formula>#ref!=1</formula>
    </cfRule>
    <cfRule type="expression" priority="251" aboveAverage="0" equalAverage="0" bottom="0" percent="0" rank="0" text="" dxfId="2169">
      <formula>AND($L131="X",OR($B131&lt;&gt;"",$C131&lt;&gt;""))</formula>
    </cfRule>
    <cfRule type="expression" priority="252" aboveAverage="0" equalAverage="0" bottom="0" percent="0" rank="0" text="" dxfId="2170">
      <formula>AND(#ref!=1,#ref!=1)</formula>
    </cfRule>
    <cfRule type="expression" priority="253" aboveAverage="0" equalAverage="0" bottom="0" percent="0" rank="0" text="" dxfId="2171">
      <formula>#ref!=1</formula>
    </cfRule>
    <cfRule type="expression" priority="254" aboveAverage="0" equalAverage="0" bottom="0" percent="0" rank="0" text="" dxfId="2172">
      <formula>#ref!=1</formula>
    </cfRule>
    <cfRule type="expression" priority="255" aboveAverage="0" equalAverage="0" bottom="0" percent="0" rank="0" text="" dxfId="2173">
      <formula>AND($L131="X",OR($B131&lt;&gt;"",$C131&lt;&gt;""))</formula>
    </cfRule>
    <cfRule type="expression" priority="256" aboveAverage="0" equalAverage="0" bottom="0" percent="0" rank="0" text="" dxfId="2174">
      <formula>AND(#ref!=1,#ref!=1)</formula>
    </cfRule>
    <cfRule type="expression" priority="257" aboveAverage="0" equalAverage="0" bottom="0" percent="0" rank="0" text="" dxfId="2175">
      <formula>#ref!=1</formula>
    </cfRule>
    <cfRule type="expression" priority="258" aboveAverage="0" equalAverage="0" bottom="0" percent="0" rank="0" text="" dxfId="2176">
      <formula>#ref!=1</formula>
    </cfRule>
    <cfRule type="expression" priority="259" aboveAverage="0" equalAverage="0" bottom="0" percent="0" rank="0" text="" dxfId="2177">
      <formula>AND($L131="X",OR($B131&lt;&gt;"",$C131&lt;&gt;""))</formula>
    </cfRule>
    <cfRule type="expression" priority="260" aboveAverage="0" equalAverage="0" bottom="0" percent="0" rank="0" text="" dxfId="2178">
      <formula>AND(#ref!=1,#ref!=1)</formula>
    </cfRule>
    <cfRule type="expression" priority="261" aboveAverage="0" equalAverage="0" bottom="0" percent="0" rank="0" text="" dxfId="2179">
      <formula>#ref!=1</formula>
    </cfRule>
    <cfRule type="expression" priority="262" aboveAverage="0" equalAverage="0" bottom="0" percent="0" rank="0" text="" dxfId="2180">
      <formula>#ref!=1</formula>
    </cfRule>
    <cfRule type="expression" priority="263" aboveAverage="0" equalAverage="0" bottom="0" percent="0" rank="0" text="" dxfId="2181">
      <formula>AND($L131="X",OR($B131&lt;&gt;"",$C131&lt;&gt;""))</formula>
    </cfRule>
    <cfRule type="expression" priority="264" aboveAverage="0" equalAverage="0" bottom="0" percent="0" rank="0" text="" dxfId="2182">
      <formula>AND(#ref!=1,#ref!=1)</formula>
    </cfRule>
    <cfRule type="expression" priority="265" aboveAverage="0" equalAverage="0" bottom="0" percent="0" rank="0" text="" dxfId="2183">
      <formula>#ref!=1</formula>
    </cfRule>
    <cfRule type="expression" priority="266" aboveAverage="0" equalAverage="0" bottom="0" percent="0" rank="0" text="" dxfId="2184">
      <formula>#ref!=1</formula>
    </cfRule>
    <cfRule type="expression" priority="267" aboveAverage="0" equalAverage="0" bottom="0" percent="0" rank="0" text="" dxfId="2185">
      <formula>AND($L131="X",OR($B131&lt;&gt;"",$C131&lt;&gt;""))</formula>
    </cfRule>
    <cfRule type="expression" priority="268" aboveAverage="0" equalAverage="0" bottom="0" percent="0" rank="0" text="" dxfId="2186">
      <formula>AND(#ref!=1,#ref!=1)</formula>
    </cfRule>
    <cfRule type="expression" priority="269" aboveAverage="0" equalAverage="0" bottom="0" percent="0" rank="0" text="" dxfId="2187">
      <formula>#ref!=1</formula>
    </cfRule>
    <cfRule type="expression" priority="270" aboveAverage="0" equalAverage="0" bottom="0" percent="0" rank="0" text="" dxfId="2188">
      <formula>#ref!=1</formula>
    </cfRule>
    <cfRule type="expression" priority="271" aboveAverage="0" equalAverage="0" bottom="0" percent="0" rank="0" text="" dxfId="2189">
      <formula>AND($L131="X",OR($B131&lt;&gt;"",$C131&lt;&gt;""))</formula>
    </cfRule>
    <cfRule type="expression" priority="272" aboveAverage="0" equalAverage="0" bottom="0" percent="0" rank="0" text="" dxfId="2190">
      <formula>AND(#ref!=1,#ref!=1)</formula>
    </cfRule>
    <cfRule type="expression" priority="273" aboveAverage="0" equalAverage="0" bottom="0" percent="0" rank="0" text="" dxfId="2191">
      <formula>#ref!=1</formula>
    </cfRule>
    <cfRule type="expression" priority="274" aboveAverage="0" equalAverage="0" bottom="0" percent="0" rank="0" text="" dxfId="2192">
      <formula>#ref!=1</formula>
    </cfRule>
    <cfRule type="expression" priority="275" aboveAverage="0" equalAverage="0" bottom="0" percent="0" rank="0" text="" dxfId="2193">
      <formula>OR(#ref!="X",#ref!="X")</formula>
    </cfRule>
    <cfRule type="expression" priority="276" aboveAverage="0" equalAverage="0" bottom="0" percent="0" rank="0" text="" dxfId="2194">
      <formula>AND(#ref!=1,#ref!=1)</formula>
    </cfRule>
    <cfRule type="expression" priority="277" aboveAverage="0" equalAverage="0" bottom="0" percent="0" rank="0" text="" dxfId="2195">
      <formula>#ref!=1</formula>
    </cfRule>
    <cfRule type="expression" priority="278" aboveAverage="0" equalAverage="0" bottom="0" percent="0" rank="0" text="" dxfId="2196">
      <formula>#ref!=1</formula>
    </cfRule>
    <cfRule type="expression" priority="279" aboveAverage="0" equalAverage="0" bottom="0" percent="0" rank="0" text="" dxfId="2197">
      <formula>OR(#ref!="X",#ref!="X")</formula>
    </cfRule>
    <cfRule type="expression" priority="280" aboveAverage="0" equalAverage="0" bottom="0" percent="0" rank="0" text="" dxfId="2198">
      <formula>AND(#ref!=1,#ref!=1)</formula>
    </cfRule>
    <cfRule type="expression" priority="281" aboveAverage="0" equalAverage="0" bottom="0" percent="0" rank="0" text="" dxfId="2199">
      <formula>#ref!=1</formula>
    </cfRule>
    <cfRule type="expression" priority="282" aboveAverage="0" equalAverage="0" bottom="0" percent="0" rank="0" text="" dxfId="2200">
      <formula>AND($L131="X",OR($B131&lt;&gt;"",$C131&lt;&gt;"",$D131&lt;&gt;"",$E131&lt;&gt;""))</formula>
    </cfRule>
    <cfRule type="expression" priority="283" aboveAverage="0" equalAverage="0" bottom="0" percent="0" rank="0" text="" dxfId="2201">
      <formula>AND($L131="X",OR($B131&lt;&gt;"",$C131&lt;&gt;"",$E131&lt;&gt;"",#ref!&lt;&gt;""))</formula>
    </cfRule>
    <cfRule type="expression" priority="284" aboveAverage="0" equalAverage="0" bottom="0" percent="0" rank="0" text="" dxfId="2202">
      <formula>#ref!=1</formula>
    </cfRule>
    <cfRule type="expression" priority="285" aboveAverage="0" equalAverage="0" bottom="0" percent="0" rank="0" text="" dxfId="2203">
      <formula>AND($L131="X",OR($B131&lt;&gt;"",$C131&lt;&gt;"",$D131&lt;&gt;""))</formula>
    </cfRule>
    <cfRule type="expression" priority="286" aboveAverage="0" equalAverage="0" bottom="0" percent="0" rank="0" text="" dxfId="2204">
      <formula>AND(#ref!=1,#ref!=1)</formula>
    </cfRule>
    <cfRule type="expression" priority="287" aboveAverage="0" equalAverage="0" bottom="0" percent="0" rank="0" text="" dxfId="2205">
      <formula>#ref!=1</formula>
    </cfRule>
    <cfRule type="expression" priority="288" aboveAverage="0" equalAverage="0" bottom="0" percent="0" rank="0" text="" dxfId="2206">
      <formula>AND(#ref!=1,#ref!=1)</formula>
    </cfRule>
    <cfRule type="expression" priority="289" aboveAverage="0" equalAverage="0" bottom="0" percent="0" rank="0" text="" dxfId="2207">
      <formula>AND($L131="X",OR($B131&lt;&gt;"",#ref!&lt;&gt;"",$C131&lt;&gt;"",$D131&lt;&gt;""))</formula>
    </cfRule>
    <cfRule type="expression" priority="290" aboveAverage="0" equalAverage="0" bottom="0" percent="0" rank="0" text="" dxfId="2208">
      <formula>AND($T131=1,$S131=1)</formula>
    </cfRule>
    <cfRule type="expression" priority="291" aboveAverage="0" equalAverage="0" bottom="0" percent="0" rank="0" text="" dxfId="2209">
      <formula>$T131=1</formula>
    </cfRule>
    <cfRule type="expression" priority="292" aboveAverage="0" equalAverage="0" bottom="0" percent="0" rank="0" text="" dxfId="2210">
      <formula>$S131=1</formula>
    </cfRule>
    <cfRule type="expression" priority="293" aboveAverage="0" equalAverage="0" bottom="0" percent="0" rank="0" text="" dxfId="2211">
      <formula>AND($L131="X",OR($B131&lt;&gt;"",$C131&lt;&gt;""))</formula>
    </cfRule>
    <cfRule type="expression" priority="294" aboveAverage="0" equalAverage="0" bottom="0" percent="0" rank="0" text="" dxfId="2212">
      <formula>AND($T131=1,$S131=1)</formula>
    </cfRule>
    <cfRule type="expression" priority="295" aboveAverage="0" equalAverage="0" bottom="0" percent="0" rank="0" text="" dxfId="2213">
      <formula>$T131=1</formula>
    </cfRule>
    <cfRule type="expression" priority="296" aboveAverage="0" equalAverage="0" bottom="0" percent="0" rank="0" text="" dxfId="2214">
      <formula>$S131=1</formula>
    </cfRule>
    <cfRule type="expression" priority="297" aboveAverage="0" equalAverage="0" bottom="0" percent="0" rank="0" text="" dxfId="2215">
      <formula>AND($L131="X",OR($B131&lt;&gt;"",$C131&lt;&gt;""))</formula>
    </cfRule>
    <cfRule type="expression" priority="298" aboveAverage="0" equalAverage="0" bottom="0" percent="0" rank="0" text="" dxfId="2216">
      <formula>AND($T131=1,$S131=1)</formula>
    </cfRule>
    <cfRule type="expression" priority="299" aboveAverage="0" equalAverage="0" bottom="0" percent="0" rank="0" text="" dxfId="2217">
      <formula>$T131=1</formula>
    </cfRule>
    <cfRule type="expression" priority="300" aboveAverage="0" equalAverage="0" bottom="0" percent="0" rank="0" text="" dxfId="2218">
      <formula>$S131=1</formula>
    </cfRule>
    <cfRule type="expression" priority="301" aboveAverage="0" equalAverage="0" bottom="0" percent="0" rank="0" text="" dxfId="2219">
      <formula>AND($L131="X",OR($B131&lt;&gt;"",$C131&lt;&gt;""))</formula>
    </cfRule>
    <cfRule type="expression" priority="302" aboveAverage="0" equalAverage="0" bottom="0" percent="0" rank="0" text="" dxfId="2220">
      <formula>AND($T131=1,$S131=1)</formula>
    </cfRule>
    <cfRule type="expression" priority="303" aboveAverage="0" equalAverage="0" bottom="0" percent="0" rank="0" text="" dxfId="2221">
      <formula>$T131=1</formula>
    </cfRule>
    <cfRule type="expression" priority="304" aboveAverage="0" equalAverage="0" bottom="0" percent="0" rank="0" text="" dxfId="2222">
      <formula>$S131=1</formula>
    </cfRule>
    <cfRule type="expression" priority="305" aboveAverage="0" equalAverage="0" bottom="0" percent="0" rank="0" text="" dxfId="2223">
      <formula>AND($L131="X",OR($B131&lt;&gt;"",$C131&lt;&gt;""))</formula>
    </cfRule>
    <cfRule type="expression" priority="306" aboveAverage="0" equalAverage="0" bottom="0" percent="0" rank="0" text="" dxfId="2224">
      <formula>AND($T131=1,$S131=1)</formula>
    </cfRule>
    <cfRule type="expression" priority="307" aboveAverage="0" equalAverage="0" bottom="0" percent="0" rank="0" text="" dxfId="2225">
      <formula>$T131=1</formula>
    </cfRule>
    <cfRule type="expression" priority="308" aboveAverage="0" equalAverage="0" bottom="0" percent="0" rank="0" text="" dxfId="2226">
      <formula>$S131=1</formula>
    </cfRule>
    <cfRule type="expression" priority="309" aboveAverage="0" equalAverage="0" bottom="0" percent="0" rank="0" text="" dxfId="2227">
      <formula>AND($L131="X",OR($B131&lt;&gt;"",$C131&lt;&gt;""))</formula>
    </cfRule>
    <cfRule type="expression" priority="310" aboveAverage="0" equalAverage="0" bottom="0" percent="0" rank="0" text="" dxfId="2228">
      <formula>AND($T131=1,$S131=1)</formula>
    </cfRule>
    <cfRule type="expression" priority="311" aboveAverage="0" equalAverage="0" bottom="0" percent="0" rank="0" text="" dxfId="2229">
      <formula>$T131=1</formula>
    </cfRule>
    <cfRule type="expression" priority="312" aboveAverage="0" equalAverage="0" bottom="0" percent="0" rank="0" text="" dxfId="2230">
      <formula>$S131=1</formula>
    </cfRule>
    <cfRule type="expression" priority="313" aboveAverage="0" equalAverage="0" bottom="0" percent="0" rank="0" text="" dxfId="2231">
      <formula>AND($L131="X",OR($B131&lt;&gt;"",$C131&lt;&gt;""))</formula>
    </cfRule>
    <cfRule type="expression" priority="314" aboveAverage="0" equalAverage="0" bottom="0" percent="0" rank="0" text="" dxfId="2232">
      <formula>AND($T131=1,$S131=1)</formula>
    </cfRule>
    <cfRule type="expression" priority="315" aboveAverage="0" equalAverage="0" bottom="0" percent="0" rank="0" text="" dxfId="2233">
      <formula>$T131=1</formula>
    </cfRule>
    <cfRule type="expression" priority="316" aboveAverage="0" equalAverage="0" bottom="0" percent="0" rank="0" text="" dxfId="2234">
      <formula>$S131=1</formula>
    </cfRule>
    <cfRule type="expression" priority="317" aboveAverage="0" equalAverage="0" bottom="0" percent="0" rank="0" text="" dxfId="2235">
      <formula>OR($T131="X",$S131="X")</formula>
    </cfRule>
    <cfRule type="expression" priority="318" aboveAverage="0" equalAverage="0" bottom="0" percent="0" rank="0" text="" dxfId="2236">
      <formula>AND($T131=1,$S131=1)</formula>
    </cfRule>
    <cfRule type="expression" priority="319" aboveAverage="0" equalAverage="0" bottom="0" percent="0" rank="0" text="" dxfId="2237">
      <formula>$T131=1</formula>
    </cfRule>
    <cfRule type="expression" priority="320" aboveAverage="0" equalAverage="0" bottom="0" percent="0" rank="0" text="" dxfId="2238">
      <formula>$S131=1</formula>
    </cfRule>
    <cfRule type="expression" priority="321" aboveAverage="0" equalAverage="0" bottom="0" percent="0" rank="0" text="" dxfId="2239">
      <formula>OR($T131="X",$S131="X")</formula>
    </cfRule>
    <cfRule type="expression" priority="322" aboveAverage="0" equalAverage="0" bottom="0" percent="0" rank="0" text="" dxfId="2240">
      <formula>AND($T131=1,$S131=1)</formula>
    </cfRule>
    <cfRule type="expression" priority="323" aboveAverage="0" equalAverage="0" bottom="0" percent="0" rank="0" text="" dxfId="2241">
      <formula>$T131=1</formula>
    </cfRule>
    <cfRule type="expression" priority="324" aboveAverage="0" equalAverage="0" bottom="0" percent="0" rank="0" text="" dxfId="2242">
      <formula>AND($L131="X",OR($B131&lt;&gt;"",$C131&lt;&gt;"",$D131&lt;&gt;"",$E131&lt;&gt;""))</formula>
    </cfRule>
    <cfRule type="expression" priority="325" aboveAverage="0" equalAverage="0" bottom="0" percent="0" rank="0" text="" dxfId="2243">
      <formula>AND($L131="X",OR($B131&lt;&gt;"",$C131&lt;&gt;"",$E131&lt;&gt;"",#ref!&lt;&gt;""))</formula>
    </cfRule>
    <cfRule type="expression" priority="326" aboveAverage="0" equalAverage="0" bottom="0" percent="0" rank="0" text="" dxfId="2244">
      <formula>$S131=1</formula>
    </cfRule>
    <cfRule type="expression" priority="327" aboveAverage="0" equalAverage="0" bottom="0" percent="0" rank="0" text="" dxfId="2245">
      <formula>AND($L131="X",OR($B131&lt;&gt;"",$C131&lt;&gt;"",$D131&lt;&gt;""))</formula>
    </cfRule>
    <cfRule type="expression" priority="328" aboveAverage="0" equalAverage="0" bottom="0" percent="0" rank="0" text="" dxfId="2246">
      <formula>AND($T131=1,$S131=1)</formula>
    </cfRule>
    <cfRule type="expression" priority="329" aboveAverage="0" equalAverage="0" bottom="0" percent="0" rank="0" text="" dxfId="2247">
      <formula>$T131=1</formula>
    </cfRule>
  </conditionalFormatting>
  <conditionalFormatting sqref="C180:G180 C204:G204">
    <cfRule type="expression" priority="330" aboveAverage="0" equalAverage="0" bottom="0" percent="0" rank="0" text="" dxfId="2248">
      <formula>AND($L180="X",OR($B180&lt;&gt;"",$C180&lt;&gt;"",$D180&lt;&gt;"",$E180&lt;&gt;""))</formula>
    </cfRule>
    <cfRule type="expression" priority="331" aboveAverage="0" equalAverage="0" bottom="0" percent="0" rank="0" text="" dxfId="2249">
      <formula>AND($L180="X",OR($B180&lt;&gt;"",#ref!&lt;&gt;"",$C180&lt;&gt;"",$D180&lt;&gt;""))</formula>
    </cfRule>
    <cfRule type="expression" priority="332" aboveAverage="0" equalAverage="0" bottom="0" percent="0" rank="0" text="" dxfId="2250">
      <formula>AND($L180="X",OR($B180&lt;&gt;"",#ref!&lt;&gt;"",$C180&lt;&gt;""))</formula>
    </cfRule>
  </conditionalFormatting>
  <conditionalFormatting sqref="C188:G188">
    <cfRule type="expression" priority="333" aboveAverage="0" equalAverage="0" bottom="0" percent="0" rank="0" text="" dxfId="2251">
      <formula>AND($L188="X",OR($B188&lt;&gt;"",$C188&lt;&gt;"",$D188&lt;&gt;"",$E188&lt;&gt;""))</formula>
    </cfRule>
    <cfRule type="expression" priority="334" aboveAverage="0" equalAverage="0" bottom="0" percent="0" rank="0" text="" dxfId="2252">
      <formula>AND($L188="X",OR($B188&lt;&gt;"",#ref!&lt;&gt;"",$C188&lt;&gt;"",$D188&lt;&gt;""))</formula>
    </cfRule>
  </conditionalFormatting>
  <conditionalFormatting sqref="D9:D20">
    <cfRule type="expression" priority="335" aboveAverage="0" equalAverage="0" bottom="0" percent="0" rank="0" text="" dxfId="2253">
      <formula>AND($L9="X",OR($B9&lt;&gt;"",$C9&lt;&gt;""))</formula>
    </cfRule>
  </conditionalFormatting>
  <conditionalFormatting sqref="D20">
    <cfRule type="expression" priority="336" aboveAverage="0" equalAverage="0" bottom="0" percent="0" rank="0" text="" dxfId="2254">
      <formula>AND($L20="X",OR($B20&lt;&gt;"",$C20&lt;&gt;"",$D20&lt;&gt;"",$E20&lt;&gt;""))</formula>
    </cfRule>
    <cfRule type="expression" priority="337" aboveAverage="0" equalAverage="0" bottom="0" percent="0" rank="0" text="" dxfId="2255">
      <formula>AND($L20="X",OR($B20&lt;&gt;"",#ref!&lt;&gt;"",$C20&lt;&gt;"",$D20&lt;&gt;""))</formula>
    </cfRule>
    <cfRule type="expression" priority="338" aboveAverage="0" equalAverage="0" bottom="0" percent="0" rank="0" text="" dxfId="2256">
      <formula>AND(#ref!=1,#ref!=1)</formula>
    </cfRule>
    <cfRule type="expression" priority="339" aboveAverage="0" equalAverage="0" bottom="0" percent="0" rank="0" text="" dxfId="2257">
      <formula>#ref!=1</formula>
    </cfRule>
    <cfRule type="expression" priority="340" aboveAverage="0" equalAverage="0" bottom="0" percent="0" rank="0" text="" dxfId="2258">
      <formula>#ref!=1</formula>
    </cfRule>
    <cfRule type="expression" priority="341" aboveAverage="0" equalAverage="0" bottom="0" percent="0" rank="0" text="" dxfId="2259">
      <formula>AND($L20="X",OR($B20&lt;&gt;"",$C20&lt;&gt;""))</formula>
    </cfRule>
    <cfRule type="expression" priority="342" aboveAverage="0" equalAverage="0" bottom="0" percent="0" rank="0" text="" dxfId="2260">
      <formula>AND(#ref!=1,#ref!=1)</formula>
    </cfRule>
    <cfRule type="expression" priority="343" aboveAverage="0" equalAverage="0" bottom="0" percent="0" rank="0" text="" dxfId="2261">
      <formula>#ref!=1</formula>
    </cfRule>
    <cfRule type="expression" priority="344" aboveAverage="0" equalAverage="0" bottom="0" percent="0" rank="0" text="" dxfId="2262">
      <formula>#ref!=1</formula>
    </cfRule>
    <cfRule type="expression" priority="345" aboveAverage="0" equalAverage="0" bottom="0" percent="0" rank="0" text="" dxfId="2263">
      <formula>AND($L20="X",OR($B20&lt;&gt;"",$C20&lt;&gt;""))</formula>
    </cfRule>
    <cfRule type="expression" priority="346" aboveAverage="0" equalAverage="0" bottom="0" percent="0" rank="0" text="" dxfId="2264">
      <formula>AND(#ref!=1,#ref!=1)</formula>
    </cfRule>
    <cfRule type="expression" priority="347" aboveAverage="0" equalAverage="0" bottom="0" percent="0" rank="0" text="" dxfId="2265">
      <formula>#ref!=1</formula>
    </cfRule>
    <cfRule type="expression" priority="348" aboveAverage="0" equalAverage="0" bottom="0" percent="0" rank="0" text="" dxfId="2266">
      <formula>#ref!=1</formula>
    </cfRule>
    <cfRule type="expression" priority="349" aboveAverage="0" equalAverage="0" bottom="0" percent="0" rank="0" text="" dxfId="2267">
      <formula>AND($L20="X",OR($B20&lt;&gt;"",$C20&lt;&gt;""))</formula>
    </cfRule>
    <cfRule type="expression" priority="350" aboveAverage="0" equalAverage="0" bottom="0" percent="0" rank="0" text="" dxfId="2268">
      <formula>AND(#ref!=1,#ref!=1)</formula>
    </cfRule>
    <cfRule type="expression" priority="351" aboveAverage="0" equalAverage="0" bottom="0" percent="0" rank="0" text="" dxfId="2269">
      <formula>#ref!=1</formula>
    </cfRule>
    <cfRule type="expression" priority="352" aboveAverage="0" equalAverage="0" bottom="0" percent="0" rank="0" text="" dxfId="2270">
      <formula>#ref!=1</formula>
    </cfRule>
    <cfRule type="expression" priority="353" aboveAverage="0" equalAverage="0" bottom="0" percent="0" rank="0" text="" dxfId="2271">
      <formula>AND($L20="X",OR($B20&lt;&gt;"",$C20&lt;&gt;""))</formula>
    </cfRule>
    <cfRule type="expression" priority="354" aboveAverage="0" equalAverage="0" bottom="0" percent="0" rank="0" text="" dxfId="2272">
      <formula>AND(#ref!=1,#ref!=1)</formula>
    </cfRule>
    <cfRule type="expression" priority="355" aboveAverage="0" equalAverage="0" bottom="0" percent="0" rank="0" text="" dxfId="2273">
      <formula>#ref!=1</formula>
    </cfRule>
    <cfRule type="expression" priority="356" aboveAverage="0" equalAverage="0" bottom="0" percent="0" rank="0" text="" dxfId="2274">
      <formula>#ref!=1</formula>
    </cfRule>
    <cfRule type="expression" priority="357" aboveAverage="0" equalAverage="0" bottom="0" percent="0" rank="0" text="" dxfId="2275">
      <formula>AND($L20="X",OR($B20&lt;&gt;"",$C20&lt;&gt;""))</formula>
    </cfRule>
    <cfRule type="expression" priority="358" aboveAverage="0" equalAverage="0" bottom="0" percent="0" rank="0" text="" dxfId="2276">
      <formula>AND(#ref!=1,#ref!=1)</formula>
    </cfRule>
    <cfRule type="expression" priority="359" aboveAverage="0" equalAverage="0" bottom="0" percent="0" rank="0" text="" dxfId="2277">
      <formula>#ref!=1</formula>
    </cfRule>
    <cfRule type="expression" priority="360" aboveAverage="0" equalAverage="0" bottom="0" percent="0" rank="0" text="" dxfId="2278">
      <formula>#ref!=1</formula>
    </cfRule>
    <cfRule type="expression" priority="361" aboveAverage="0" equalAverage="0" bottom="0" percent="0" rank="0" text="" dxfId="2279">
      <formula>AND($L20="X",OR($B20&lt;&gt;"",$C20&lt;&gt;""))</formula>
    </cfRule>
    <cfRule type="expression" priority="362" aboveAverage="0" equalAverage="0" bottom="0" percent="0" rank="0" text="" dxfId="2280">
      <formula>AND(#ref!=1,#ref!=1)</formula>
    </cfRule>
    <cfRule type="expression" priority="363" aboveAverage="0" equalAverage="0" bottom="0" percent="0" rank="0" text="" dxfId="2281">
      <formula>#ref!=1</formula>
    </cfRule>
    <cfRule type="expression" priority="364" aboveAverage="0" equalAverage="0" bottom="0" percent="0" rank="0" text="" dxfId="2282">
      <formula>#ref!=1</formula>
    </cfRule>
    <cfRule type="expression" priority="365" aboveAverage="0" equalAverage="0" bottom="0" percent="0" rank="0" text="" dxfId="2283">
      <formula>OR(#ref!="X",#ref!="X")</formula>
    </cfRule>
    <cfRule type="expression" priority="366" aboveAverage="0" equalAverage="0" bottom="0" percent="0" rank="0" text="" dxfId="2284">
      <formula>AND(#ref!=1,#ref!=1)</formula>
    </cfRule>
    <cfRule type="expression" priority="367" aboveAverage="0" equalAverage="0" bottom="0" percent="0" rank="0" text="" dxfId="2285">
      <formula>#ref!=1</formula>
    </cfRule>
    <cfRule type="expression" priority="368" aboveAverage="0" equalAverage="0" bottom="0" percent="0" rank="0" text="" dxfId="2286">
      <formula>#ref!=1</formula>
    </cfRule>
    <cfRule type="expression" priority="369" aboveAverage="0" equalAverage="0" bottom="0" percent="0" rank="0" text="" dxfId="2287">
      <formula>OR(#ref!="X",#ref!="X")</formula>
    </cfRule>
    <cfRule type="expression" priority="370" aboveAverage="0" equalAverage="0" bottom="0" percent="0" rank="0" text="" dxfId="2288">
      <formula>AND(#ref!=1,#ref!=1)</formula>
    </cfRule>
    <cfRule type="expression" priority="371" aboveAverage="0" equalAverage="0" bottom="0" percent="0" rank="0" text="" dxfId="2289">
      <formula>#ref!=1</formula>
    </cfRule>
    <cfRule type="expression" priority="372" aboveAverage="0" equalAverage="0" bottom="0" percent="0" rank="0" text="" dxfId="2290">
      <formula>AND(#ref!=1,#ref!=1)</formula>
    </cfRule>
    <cfRule type="expression" priority="373" aboveAverage="0" equalAverage="0" bottom="0" percent="0" rank="0" text="" dxfId="2291">
      <formula>#ref!=1</formula>
    </cfRule>
    <cfRule type="expression" priority="374" aboveAverage="0" equalAverage="0" bottom="0" percent="0" rank="0" text="" dxfId="2292">
      <formula>#ref!=1</formula>
    </cfRule>
    <cfRule type="expression" priority="375" aboveAverage="0" equalAverage="0" bottom="0" percent="0" rank="0" text="" dxfId="2293">
      <formula>AND($L20="X",OR($B20&lt;&gt;"",$C20&lt;&gt;""))</formula>
    </cfRule>
    <cfRule type="expression" priority="376" aboveAverage="0" equalAverage="0" bottom="0" percent="0" rank="0" text="" dxfId="2294">
      <formula>AND(#ref!=1,#ref!=1)</formula>
    </cfRule>
    <cfRule type="expression" priority="377" aboveAverage="0" equalAverage="0" bottom="0" percent="0" rank="0" text="" dxfId="2295">
      <formula>#ref!=1</formula>
    </cfRule>
    <cfRule type="expression" priority="378" aboveAverage="0" equalAverage="0" bottom="0" percent="0" rank="0" text="" dxfId="2296">
      <formula>#ref!=1</formula>
    </cfRule>
    <cfRule type="expression" priority="379" aboveAverage="0" equalAverage="0" bottom="0" percent="0" rank="0" text="" dxfId="2297">
      <formula>AND($L20="X",OR($B20&lt;&gt;"",$C20&lt;&gt;""))</formula>
    </cfRule>
    <cfRule type="expression" priority="380" aboveAverage="0" equalAverage="0" bottom="0" percent="0" rank="0" text="" dxfId="2298">
      <formula>AND(#ref!=1,#ref!=1)</formula>
    </cfRule>
    <cfRule type="expression" priority="381" aboveAverage="0" equalAverage="0" bottom="0" percent="0" rank="0" text="" dxfId="2299">
      <formula>#ref!=1</formula>
    </cfRule>
    <cfRule type="expression" priority="382" aboveAverage="0" equalAverage="0" bottom="0" percent="0" rank="0" text="" dxfId="2300">
      <formula>#ref!=1</formula>
    </cfRule>
    <cfRule type="expression" priority="383" aboveAverage="0" equalAverage="0" bottom="0" percent="0" rank="0" text="" dxfId="2301">
      <formula>AND($L20="X",OR($B20&lt;&gt;"",$C20&lt;&gt;""))</formula>
    </cfRule>
    <cfRule type="expression" priority="384" aboveAverage="0" equalAverage="0" bottom="0" percent="0" rank="0" text="" dxfId="2302">
      <formula>AND(#ref!=1,#ref!=1)</formula>
    </cfRule>
    <cfRule type="expression" priority="385" aboveAverage="0" equalAverage="0" bottom="0" percent="0" rank="0" text="" dxfId="2303">
      <formula>#ref!=1</formula>
    </cfRule>
    <cfRule type="expression" priority="386" aboveAverage="0" equalAverage="0" bottom="0" percent="0" rank="0" text="" dxfId="2304">
      <formula>#ref!=1</formula>
    </cfRule>
    <cfRule type="expression" priority="387" aboveAverage="0" equalAverage="0" bottom="0" percent="0" rank="0" text="" dxfId="2305">
      <formula>AND($L20="X",OR($B20&lt;&gt;"",$C20&lt;&gt;""))</formula>
    </cfRule>
    <cfRule type="expression" priority="388" aboveAverage="0" equalAverage="0" bottom="0" percent="0" rank="0" text="" dxfId="2306">
      <formula>AND(#ref!=1,#ref!=1)</formula>
    </cfRule>
    <cfRule type="expression" priority="389" aboveAverage="0" equalAverage="0" bottom="0" percent="0" rank="0" text="" dxfId="2307">
      <formula>#ref!=1</formula>
    </cfRule>
    <cfRule type="expression" priority="390" aboveAverage="0" equalAverage="0" bottom="0" percent="0" rank="0" text="" dxfId="2308">
      <formula>#ref!=1</formula>
    </cfRule>
    <cfRule type="expression" priority="391" aboveAverage="0" equalAverage="0" bottom="0" percent="0" rank="0" text="" dxfId="2309">
      <formula>AND($L20="X",OR($B20&lt;&gt;"",$C20&lt;&gt;""))</formula>
    </cfRule>
    <cfRule type="expression" priority="392" aboveAverage="0" equalAverage="0" bottom="0" percent="0" rank="0" text="" dxfId="2310">
      <formula>AND(#ref!=1,#ref!=1)</formula>
    </cfRule>
    <cfRule type="expression" priority="393" aboveAverage="0" equalAverage="0" bottom="0" percent="0" rank="0" text="" dxfId="2311">
      <formula>#ref!=1</formula>
    </cfRule>
    <cfRule type="expression" priority="394" aboveAverage="0" equalAverage="0" bottom="0" percent="0" rank="0" text="" dxfId="2312">
      <formula>#ref!=1</formula>
    </cfRule>
    <cfRule type="expression" priority="395" aboveAverage="0" equalAverage="0" bottom="0" percent="0" rank="0" text="" dxfId="2313">
      <formula>AND(#ref!=1,#ref!=1)</formula>
    </cfRule>
    <cfRule type="expression" priority="396" aboveAverage="0" equalAverage="0" bottom="0" percent="0" rank="0" text="" dxfId="2314">
      <formula>#ref!=1</formula>
    </cfRule>
    <cfRule type="expression" priority="397" aboveAverage="0" equalAverage="0" bottom="0" percent="0" rank="0" text="" dxfId="2315">
      <formula>#ref!=1</formula>
    </cfRule>
    <cfRule type="expression" priority="398" aboveAverage="0" equalAverage="0" bottom="0" percent="0" rank="0" text="" dxfId="2316">
      <formula>OR(#ref!="X",#ref!="X")</formula>
    </cfRule>
    <cfRule type="expression" priority="399" aboveAverage="0" equalAverage="0" bottom="0" percent="0" rank="0" text="" dxfId="2317">
      <formula>AND(#ref!=1,#ref!=1)</formula>
    </cfRule>
    <cfRule type="expression" priority="400" aboveAverage="0" equalAverage="0" bottom="0" percent="0" rank="0" text="" dxfId="2318">
      <formula>#ref!=1</formula>
    </cfRule>
    <cfRule type="expression" priority="401" aboveAverage="0" equalAverage="0" bottom="0" percent="0" rank="0" text="" dxfId="2319">
      <formula>#ref!=1</formula>
    </cfRule>
    <cfRule type="expression" priority="402" aboveAverage="0" equalAverage="0" bottom="0" percent="0" rank="0" text="" dxfId="2320">
      <formula>OR(#ref!="X",#ref!="X")</formula>
    </cfRule>
    <cfRule type="expression" priority="403" aboveAverage="0" equalAverage="0" bottom="0" percent="0" rank="0" text="" dxfId="2321">
      <formula>AND(#ref!=1,#ref!=1)</formula>
    </cfRule>
    <cfRule type="expression" priority="404" aboveAverage="0" equalAverage="0" bottom="0" percent="0" rank="0" text="" dxfId="2322">
      <formula>#ref!=1</formula>
    </cfRule>
    <cfRule type="expression" priority="405" aboveAverage="0" equalAverage="0" bottom="0" percent="0" rank="0" text="" dxfId="2323">
      <formula>AND(#ref!=1,#ref!=1)</formula>
    </cfRule>
    <cfRule type="expression" priority="406" aboveAverage="0" equalAverage="0" bottom="0" percent="0" rank="0" text="" dxfId="2324">
      <formula>#ref!=1</formula>
    </cfRule>
    <cfRule type="expression" priority="407" aboveAverage="0" equalAverage="0" bottom="0" percent="0" rank="0" text="" dxfId="2325">
      <formula>AND($L20="X",OR($B20&lt;&gt;"",$C20&lt;&gt;"",$D20&lt;&gt;"",$E20&lt;&gt;""))</formula>
    </cfRule>
    <cfRule type="expression" priority="408" aboveAverage="0" equalAverage="0" bottom="0" percent="0" rank="0" text="" dxfId="2326">
      <formula>AND($L20="X",OR($B20&lt;&gt;"",#ref!&lt;&gt;"",$C20&lt;&gt;"",$D20&lt;&gt;""))</formula>
    </cfRule>
    <cfRule type="expression" priority="409" aboveAverage="0" equalAverage="0" bottom="0" percent="0" rank="0" text="" dxfId="2327">
      <formula>AND(#ref!=1,#ref!=1)</formula>
    </cfRule>
    <cfRule type="expression" priority="410" aboveAverage="0" equalAverage="0" bottom="0" percent="0" rank="0" text="" dxfId="2328">
      <formula>#ref!=1</formula>
    </cfRule>
  </conditionalFormatting>
  <conditionalFormatting sqref="D24:D26">
    <cfRule type="expression" priority="411" aboveAverage="0" equalAverage="0" bottom="0" percent="0" rank="0" text="" dxfId="2329">
      <formula>AND($L24="X",OR($B24&lt;&gt;"",$C24&lt;&gt;"",$D24&lt;&gt;"",$E24&lt;&gt;""))</formula>
    </cfRule>
    <cfRule type="expression" priority="412" aboveAverage="0" equalAverage="0" bottom="0" percent="0" rank="0" text="" dxfId="2330">
      <formula>AND($L24="X",OR($B24&lt;&gt;"",#ref!&lt;&gt;"",$C24&lt;&gt;"",$D24&lt;&gt;""))</formula>
    </cfRule>
    <cfRule type="expression" priority="413" aboveAverage="0" equalAverage="0" bottom="0" percent="0" rank="0" text="" dxfId="2331">
      <formula>AND(#ref!=1,#ref!=1)</formula>
    </cfRule>
    <cfRule type="expression" priority="414" aboveAverage="0" equalAverage="0" bottom="0" percent="0" rank="0" text="" dxfId="2332">
      <formula>#ref!=1</formula>
    </cfRule>
  </conditionalFormatting>
  <conditionalFormatting sqref="D32 C41 D41:D43 D171 C191:C192 E199:E200">
    <cfRule type="expression" priority="415" aboveAverage="0" equalAverage="0" bottom="0" percent="0" rank="0" text="" dxfId="2333">
      <formula>AND($L32="X",OR($B32&lt;&gt;"",#ref!&lt;&gt;""))</formula>
    </cfRule>
  </conditionalFormatting>
  <conditionalFormatting sqref="D33">
    <cfRule type="expression" priority="416" aboveAverage="0" equalAverage="0" bottom="0" percent="0" rank="0" text="" dxfId="2334">
      <formula>AND($L33="X",$B33&lt;&gt;"")</formula>
    </cfRule>
  </conditionalFormatting>
  <conditionalFormatting sqref="D41">
    <cfRule type="expression" priority="417" aboveAverage="0" equalAverage="0" bottom="0" percent="0" rank="0" text="" dxfId="2335">
      <formula>AND($L41="X",OR($B41&lt;&gt;"",$C41&lt;&gt;"",$D41&lt;&gt;"",$E41&lt;&gt;""))</formula>
    </cfRule>
    <cfRule type="expression" priority="418" aboveAverage="0" equalAverage="0" bottom="0" percent="0" rank="0" text="" dxfId="2336">
      <formula>AND($L41="X",OR($B41&lt;&gt;"",#ref!&lt;&gt;"",$C41&lt;&gt;"",$D41&lt;&gt;""))</formula>
    </cfRule>
    <cfRule type="expression" priority="419" aboveAverage="0" equalAverage="0" bottom="0" percent="0" rank="0" text="" dxfId="2337">
      <formula>AND(#ref!=1,#ref!=1)</formula>
    </cfRule>
    <cfRule type="expression" priority="420" aboveAverage="0" equalAverage="0" bottom="0" percent="0" rank="0" text="" dxfId="2338">
      <formula>#ref!=1</formula>
    </cfRule>
    <cfRule type="expression" priority="421" aboveAverage="0" equalAverage="0" bottom="0" percent="0" rank="0" text="" dxfId="2339">
      <formula>#ref!=1</formula>
    </cfRule>
    <cfRule type="expression" priority="422" aboveAverage="0" equalAverage="0" bottom="0" percent="0" rank="0" text="" dxfId="2340">
      <formula>AND($L41="X",OR($B41&lt;&gt;"",$C41&lt;&gt;""))</formula>
    </cfRule>
    <cfRule type="expression" priority="423" aboveAverage="0" equalAverage="0" bottom="0" percent="0" rank="0" text="" dxfId="2341">
      <formula>AND(#ref!=1,#ref!=1)</formula>
    </cfRule>
    <cfRule type="expression" priority="424" aboveAverage="0" equalAverage="0" bottom="0" percent="0" rank="0" text="" dxfId="2342">
      <formula>#ref!=1</formula>
    </cfRule>
    <cfRule type="expression" priority="425" aboveAverage="0" equalAverage="0" bottom="0" percent="0" rank="0" text="" dxfId="2343">
      <formula>#ref!=1</formula>
    </cfRule>
    <cfRule type="expression" priority="426" aboveAverage="0" equalAverage="0" bottom="0" percent="0" rank="0" text="" dxfId="2344">
      <formula>AND($L41="X",OR($B41&lt;&gt;"",$C41&lt;&gt;""))</formula>
    </cfRule>
    <cfRule type="expression" priority="427" aboveAverage="0" equalAverage="0" bottom="0" percent="0" rank="0" text="" dxfId="2345">
      <formula>AND(#ref!=1,#ref!=1)</formula>
    </cfRule>
    <cfRule type="expression" priority="428" aboveAverage="0" equalAverage="0" bottom="0" percent="0" rank="0" text="" dxfId="2346">
      <formula>#ref!=1</formula>
    </cfRule>
    <cfRule type="expression" priority="429" aboveAverage="0" equalAverage="0" bottom="0" percent="0" rank="0" text="" dxfId="2347">
      <formula>#ref!=1</formula>
    </cfRule>
    <cfRule type="expression" priority="430" aboveAverage="0" equalAverage="0" bottom="0" percent="0" rank="0" text="" dxfId="2348">
      <formula>AND($L41="X",OR($B41&lt;&gt;"",$C41&lt;&gt;""))</formula>
    </cfRule>
    <cfRule type="expression" priority="431" aboveAverage="0" equalAverage="0" bottom="0" percent="0" rank="0" text="" dxfId="2349">
      <formula>AND(#ref!=1,#ref!=1)</formula>
    </cfRule>
    <cfRule type="expression" priority="432" aboveAverage="0" equalAverage="0" bottom="0" percent="0" rank="0" text="" dxfId="2350">
      <formula>#ref!=1</formula>
    </cfRule>
    <cfRule type="expression" priority="433" aboveAverage="0" equalAverage="0" bottom="0" percent="0" rank="0" text="" dxfId="2351">
      <formula>#ref!=1</formula>
    </cfRule>
    <cfRule type="expression" priority="434" aboveAverage="0" equalAverage="0" bottom="0" percent="0" rank="0" text="" dxfId="2352">
      <formula>AND($L41="X",OR($B41&lt;&gt;"",$C41&lt;&gt;""))</formula>
    </cfRule>
    <cfRule type="expression" priority="435" aboveAverage="0" equalAverage="0" bottom="0" percent="0" rank="0" text="" dxfId="2353">
      <formula>AND(#ref!=1,#ref!=1)</formula>
    </cfRule>
    <cfRule type="expression" priority="436" aboveAverage="0" equalAverage="0" bottom="0" percent="0" rank="0" text="" dxfId="2354">
      <formula>#ref!=1</formula>
    </cfRule>
    <cfRule type="expression" priority="437" aboveAverage="0" equalAverage="0" bottom="0" percent="0" rank="0" text="" dxfId="2355">
      <formula>#ref!=1</formula>
    </cfRule>
    <cfRule type="expression" priority="438" aboveAverage="0" equalAverage="0" bottom="0" percent="0" rank="0" text="" dxfId="2356">
      <formula>AND($L41="X",OR($B41&lt;&gt;"",$C41&lt;&gt;""))</formula>
    </cfRule>
    <cfRule type="expression" priority="439" aboveAverage="0" equalAverage="0" bottom="0" percent="0" rank="0" text="" dxfId="2357">
      <formula>AND(#ref!=1,#ref!=1)</formula>
    </cfRule>
    <cfRule type="expression" priority="440" aboveAverage="0" equalAverage="0" bottom="0" percent="0" rank="0" text="" dxfId="2358">
      <formula>#ref!=1</formula>
    </cfRule>
    <cfRule type="expression" priority="441" aboveAverage="0" equalAverage="0" bottom="0" percent="0" rank="0" text="" dxfId="2359">
      <formula>#ref!=1</formula>
    </cfRule>
    <cfRule type="expression" priority="442" aboveAverage="0" equalAverage="0" bottom="0" percent="0" rank="0" text="" dxfId="2360">
      <formula>AND($L41="X",OR($B41&lt;&gt;"",$C41&lt;&gt;""))</formula>
    </cfRule>
    <cfRule type="expression" priority="443" aboveAverage="0" equalAverage="0" bottom="0" percent="0" rank="0" text="" dxfId="2361">
      <formula>AND(#ref!=1,#ref!=1)</formula>
    </cfRule>
    <cfRule type="expression" priority="444" aboveAverage="0" equalAverage="0" bottom="0" percent="0" rank="0" text="" dxfId="2362">
      <formula>#ref!=1</formula>
    </cfRule>
    <cfRule type="expression" priority="445" aboveAverage="0" equalAverage="0" bottom="0" percent="0" rank="0" text="" dxfId="2363">
      <formula>#ref!=1</formula>
    </cfRule>
    <cfRule type="expression" priority="446" aboveAverage="0" equalAverage="0" bottom="0" percent="0" rank="0" text="" dxfId="2364">
      <formula>OR(#ref!="X",#ref!="X")</formula>
    </cfRule>
    <cfRule type="expression" priority="447" aboveAverage="0" equalAverage="0" bottom="0" percent="0" rank="0" text="" dxfId="2365">
      <formula>AND(#ref!=1,#ref!=1)</formula>
    </cfRule>
    <cfRule type="expression" priority="448" aboveAverage="0" equalAverage="0" bottom="0" percent="0" rank="0" text="" dxfId="2366">
      <formula>#ref!=1</formula>
    </cfRule>
    <cfRule type="expression" priority="449" aboveAverage="0" equalAverage="0" bottom="0" percent="0" rank="0" text="" dxfId="2367">
      <formula>#ref!=1</formula>
    </cfRule>
    <cfRule type="expression" priority="450" aboveAverage="0" equalAverage="0" bottom="0" percent="0" rank="0" text="" dxfId="2368">
      <formula>OR(#ref!="X",#ref!="X")</formula>
    </cfRule>
    <cfRule type="expression" priority="451" aboveAverage="0" equalAverage="0" bottom="0" percent="0" rank="0" text="" dxfId="2369">
      <formula>AND(#ref!=1,#ref!=1)</formula>
    </cfRule>
    <cfRule type="expression" priority="452" aboveAverage="0" equalAverage="0" bottom="0" percent="0" rank="0" text="" dxfId="2370">
      <formula>#ref!=1</formula>
    </cfRule>
    <cfRule type="expression" priority="453" aboveAverage="0" equalAverage="0" bottom="0" percent="0" rank="0" text="" dxfId="2371">
      <formula>AND(#ref!=1,#ref!=1)</formula>
    </cfRule>
    <cfRule type="expression" priority="454" aboveAverage="0" equalAverage="0" bottom="0" percent="0" rank="0" text="" dxfId="2372">
      <formula>#ref!=1</formula>
    </cfRule>
    <cfRule type="expression" priority="455" aboveAverage="0" equalAverage="0" bottom="0" percent="0" rank="0" text="" dxfId="2373">
      <formula>AND($L41="X",OR($B41&lt;&gt;"",#ref!&lt;&gt;"",$C41&lt;&gt;""))</formula>
    </cfRule>
    <cfRule type="expression" priority="456" aboveAverage="0" equalAverage="0" bottom="0" percent="0" rank="0" text="" dxfId="2374">
      <formula>AND($L41="X",OR($B41&lt;&gt;"",$C41&lt;&gt;"",$D41&lt;&gt;""))</formula>
    </cfRule>
    <cfRule type="expression" priority="457" aboveAverage="0" equalAverage="0" bottom="0" percent="0" rank="0" text="" dxfId="2375">
      <formula>AND($L41="X",OR($B41&lt;&gt;"",$C41&lt;&gt;"",$D41&lt;&gt;"",$E41&lt;&gt;""))</formula>
    </cfRule>
    <cfRule type="expression" priority="458" aboveAverage="0" equalAverage="0" bottom="0" percent="0" rank="0" text="" dxfId="2376">
      <formula>AND($L41="X",OR($B41&lt;&gt;"",$C41&lt;&gt;"",$E41&lt;&gt;"",#ref!&lt;&gt;""))</formula>
    </cfRule>
    <cfRule type="expression" priority="459" aboveAverage="0" equalAverage="0" bottom="0" percent="0" rank="0" text="" dxfId="2377">
      <formula>#ref!=1</formula>
    </cfRule>
    <cfRule type="expression" priority="460" aboveAverage="0" equalAverage="0" bottom="0" percent="0" rank="0" text="" dxfId="2378">
      <formula>AND($L41="X",OR($B41&lt;&gt;"",$C41&lt;&gt;"",$D41&lt;&gt;""))</formula>
    </cfRule>
    <cfRule type="expression" priority="461" aboveAverage="0" equalAverage="0" bottom="0" percent="0" rank="0" text="" dxfId="2379">
      <formula>AND($L41="X",OR($B41&lt;&gt;"",$C41&lt;&gt;"",$D41&lt;&gt;"",$E41&lt;&gt;""))</formula>
    </cfRule>
    <cfRule type="expression" priority="462" aboveAverage="0" equalAverage="0" bottom="0" percent="0" rank="0" text="" dxfId="2380">
      <formula>AND(#ref!=1,#ref!=1)</formula>
    </cfRule>
    <cfRule type="expression" priority="463" aboveAverage="0" equalAverage="0" bottom="0" percent="0" rank="0" text="" dxfId="2381">
      <formula>#ref!=1</formula>
    </cfRule>
    <cfRule type="expression" priority="464" aboveAverage="0" equalAverage="0" bottom="0" percent="0" rank="0" text="" dxfId="2382">
      <formula>#ref!=1</formula>
    </cfRule>
    <cfRule type="expression" priority="465" aboveAverage="0" equalAverage="0" bottom="0" percent="0" rank="0" text="" dxfId="2383">
      <formula>AND($L41="X",OR($B41&lt;&gt;"",$C41&lt;&gt;"",$E41&lt;&gt;"",#ref!&lt;&gt;""))</formula>
    </cfRule>
    <cfRule type="expression" priority="466" aboveAverage="0" equalAverage="0" bottom="0" percent="0" rank="0" text="" dxfId="2384">
      <formula>AND($L41="X",OR($B41&lt;&gt;"",$C41&lt;&gt;""))</formula>
    </cfRule>
    <cfRule type="expression" priority="467" aboveAverage="0" equalAverage="0" bottom="0" percent="0" rank="0" text="" dxfId="2385">
      <formula>AND($L41="X",OR($B41&lt;&gt;"",$C41&lt;&gt;"",$D41&lt;&gt;"",$E41&lt;&gt;""))</formula>
    </cfRule>
    <cfRule type="expression" priority="468" aboveAverage="0" equalAverage="0" bottom="0" percent="0" rank="0" text="" dxfId="2386">
      <formula>AND(#ref!=1,#ref!=1)</formula>
    </cfRule>
    <cfRule type="expression" priority="469" aboveAverage="0" equalAverage="0" bottom="0" percent="0" rank="0" text="" dxfId="2387">
      <formula>#ref!=1</formula>
    </cfRule>
    <cfRule type="expression" priority="470" aboveAverage="0" equalAverage="0" bottom="0" percent="0" rank="0" text="" dxfId="2388">
      <formula>#ref!=1</formula>
    </cfRule>
    <cfRule type="expression" priority="471" aboveAverage="0" equalAverage="0" bottom="0" percent="0" rank="0" text="" dxfId="2389">
      <formula>AND($L41="X",OR($B41&lt;&gt;"",$C41&lt;&gt;"",$E41&lt;&gt;"",#ref!&lt;&gt;""))</formula>
    </cfRule>
    <cfRule type="expression" priority="472" aboveAverage="0" equalAverage="0" bottom="0" percent="0" rank="0" text="" dxfId="2390">
      <formula>#ref!=1</formula>
    </cfRule>
    <cfRule type="expression" priority="473" aboveAverage="0" equalAverage="0" bottom="0" percent="0" rank="0" text="" dxfId="2391">
      <formula>AND($L41="X",OR($B41&lt;&gt;"",$C41&lt;&gt;"",$D41&lt;&gt;""))</formula>
    </cfRule>
    <cfRule type="expression" priority="474" aboveAverage="0" equalAverage="0" bottom="0" percent="0" rank="0" text="" dxfId="2392">
      <formula>AND($L41="X",OR($B41&lt;&gt;"",$C41&lt;&gt;"",$D41&lt;&gt;"",$E41&lt;&gt;""))</formula>
    </cfRule>
    <cfRule type="expression" priority="475" aboveAverage="0" equalAverage="0" bottom="0" percent="0" rank="0" text="" dxfId="2393">
      <formula>AND(#ref!=1,#ref!=1)</formula>
    </cfRule>
    <cfRule type="expression" priority="476" aboveAverage="0" equalAverage="0" bottom="0" percent="0" rank="0" text="" dxfId="2394">
      <formula>#ref!=1</formula>
    </cfRule>
    <cfRule type="expression" priority="477" aboveAverage="0" equalAverage="0" bottom="0" percent="0" rank="0" text="" dxfId="2395">
      <formula>AND($L41="X",OR($B41&lt;&gt;"",$C41&lt;&gt;"",$E41&lt;&gt;"",#ref!&lt;&gt;""))</formula>
    </cfRule>
    <cfRule type="expression" priority="478" aboveAverage="0" equalAverage="0" bottom="0" percent="0" rank="0" text="" dxfId="2396">
      <formula>AND($L41="X",OR($B41&lt;&gt;"",$C41&lt;&gt;""))</formula>
    </cfRule>
    <cfRule type="expression" priority="479" aboveAverage="0" equalAverage="0" bottom="0" percent="0" rank="0" text="" dxfId="2397">
      <formula>AND($L41="X",$B41&lt;&gt;"")</formula>
    </cfRule>
    <cfRule type="expression" priority="480" aboveAverage="0" equalAverage="0" bottom="0" percent="0" rank="0" text="" dxfId="2398">
      <formula>AND($L41="X",OR($B41&lt;&gt;"",$C41&lt;&gt;"",$D41&lt;&gt;""))</formula>
    </cfRule>
    <cfRule type="expression" priority="481" aboveAverage="0" equalAverage="0" bottom="0" percent="0" rank="0" text="" dxfId="2399">
      <formula>AND($L41="X",OR($B41&lt;&gt;"",#ref!&lt;&gt;"",$C41&lt;&gt;""))</formula>
    </cfRule>
    <cfRule type="expression" priority="482" aboveAverage="0" equalAverage="0" bottom="0" percent="0" rank="0" text="" dxfId="2400">
      <formula>AND($L41="X",OR($B41&lt;&gt;"",#ref!&lt;&gt;"",$C41&lt;&gt;"",$D41&lt;&gt;""))</formula>
    </cfRule>
    <cfRule type="expression" priority="483" aboveAverage="0" equalAverage="0" bottom="0" percent="0" rank="0" text="" dxfId="2401">
      <formula>AND($L41="X",OR($B41&lt;&gt;"",#ref!&lt;&gt;"",$D41&lt;&gt;"",#ref!&lt;&gt;""))</formula>
    </cfRule>
    <cfRule type="expression" priority="484" aboveAverage="0" equalAverage="0" bottom="0" percent="0" rank="0" text="" dxfId="2402">
      <formula>#ref!=1</formula>
    </cfRule>
    <cfRule type="expression" priority="485" aboveAverage="0" equalAverage="0" bottom="0" percent="0" rank="0" text="" dxfId="2403">
      <formula>AND($L41="X",OR($B41&lt;&gt;"",#ref!&lt;&gt;"",$C41&lt;&gt;""))</formula>
    </cfRule>
    <cfRule type="expression" priority="486" aboveAverage="0" equalAverage="0" bottom="0" percent="0" rank="0" text="" dxfId="2404">
      <formula>AND(#ref!=1,#ref!=1)</formula>
    </cfRule>
    <cfRule type="expression" priority="487" aboveAverage="0" equalAverage="0" bottom="0" percent="0" rank="0" text="" dxfId="2405">
      <formula>#ref!=1</formula>
    </cfRule>
    <cfRule type="expression" priority="488" aboveAverage="0" equalAverage="0" bottom="0" percent="0" rank="0" text="" dxfId="2406">
      <formula>AND($L41="X",$B41&lt;&gt;"")</formula>
    </cfRule>
    <cfRule type="expression" priority="489" aboveAverage="0" equalAverage="0" bottom="0" percent="0" rank="0" text="" dxfId="2407">
      <formula>AND($L41="X",OR($B41&lt;&gt;"",#ref!&lt;&gt;""))</formula>
    </cfRule>
  </conditionalFormatting>
  <conditionalFormatting sqref="D44">
    <cfRule type="expression" priority="490" aboveAverage="0" equalAverage="0" bottom="0" percent="0" rank="0" text="" dxfId="2408">
      <formula>AND($L44="X",OR($B44&lt;&gt;"",#ref!&lt;&gt;"",$C44&lt;&gt;""))</formula>
    </cfRule>
    <cfRule type="expression" priority="491" aboveAverage="0" equalAverage="0" bottom="0" percent="0" rank="0" text="" dxfId="2409">
      <formula>AND($L44="X",OR($B44&lt;&gt;"",$C44&lt;&gt;"",$D44&lt;&gt;""))</formula>
    </cfRule>
    <cfRule type="expression" priority="492" aboveAverage="0" equalAverage="0" bottom="0" percent="0" rank="0" text="" dxfId="2410">
      <formula>AND($L44="X",OR($B44&lt;&gt;"",$C44&lt;&gt;"",$D44&lt;&gt;"",$E44&lt;&gt;""))</formula>
    </cfRule>
    <cfRule type="expression" priority="493" aboveAverage="0" equalAverage="0" bottom="0" percent="0" rank="0" text="" dxfId="2411">
      <formula>AND($L44="X",OR($B44&lt;&gt;"",$C44&lt;&gt;"",$E44&lt;&gt;"",#ref!&lt;&gt;""))</formula>
    </cfRule>
    <cfRule type="expression" priority="494" aboveAverage="0" equalAverage="0" bottom="0" percent="0" rank="0" text="" dxfId="2412">
      <formula>#ref!=1</formula>
    </cfRule>
    <cfRule type="expression" priority="495" aboveAverage="0" equalAverage="0" bottom="0" percent="0" rank="0" text="" dxfId="2413">
      <formula>AND($L44="X",OR($B44&lt;&gt;"",$C44&lt;&gt;"",$D44&lt;&gt;""))</formula>
    </cfRule>
    <cfRule type="expression" priority="496" aboveAverage="0" equalAverage="0" bottom="0" percent="0" rank="0" text="" dxfId="2414">
      <formula>AND($L44="X",OR($B44&lt;&gt;"",$C44&lt;&gt;"",$D44&lt;&gt;"",$E44&lt;&gt;""))</formula>
    </cfRule>
    <cfRule type="expression" priority="497" aboveAverage="0" equalAverage="0" bottom="0" percent="0" rank="0" text="" dxfId="2415">
      <formula>AND(#ref!=1,#ref!=1)</formula>
    </cfRule>
    <cfRule type="expression" priority="498" aboveAverage="0" equalAverage="0" bottom="0" percent="0" rank="0" text="" dxfId="2416">
      <formula>#ref!=1</formula>
    </cfRule>
    <cfRule type="expression" priority="499" aboveAverage="0" equalAverage="0" bottom="0" percent="0" rank="0" text="" dxfId="2417">
      <formula>#ref!=1</formula>
    </cfRule>
    <cfRule type="expression" priority="500" aboveAverage="0" equalAverage="0" bottom="0" percent="0" rank="0" text="" dxfId="2418">
      <formula>AND($L44="X",OR($B44&lt;&gt;"",$C44&lt;&gt;"",$E44&lt;&gt;"",#ref!&lt;&gt;""))</formula>
    </cfRule>
    <cfRule type="expression" priority="501" aboveAverage="0" equalAverage="0" bottom="0" percent="0" rank="0" text="" dxfId="2419">
      <formula>AND($L44="X",OR($B44&lt;&gt;"",$C44&lt;&gt;""))</formula>
    </cfRule>
    <cfRule type="expression" priority="502" aboveAverage="0" equalAverage="0" bottom="0" percent="0" rank="0" text="" dxfId="2420">
      <formula>AND($L44="X",OR($B44&lt;&gt;"",$C44&lt;&gt;"",$D44&lt;&gt;"",$E44&lt;&gt;""))</formula>
    </cfRule>
    <cfRule type="expression" priority="503" aboveAverage="0" equalAverage="0" bottom="0" percent="0" rank="0" text="" dxfId="2421">
      <formula>AND(#ref!=1,#ref!=1)</formula>
    </cfRule>
    <cfRule type="expression" priority="504" aboveAverage="0" equalAverage="0" bottom="0" percent="0" rank="0" text="" dxfId="2422">
      <formula>#ref!=1</formula>
    </cfRule>
    <cfRule type="expression" priority="505" aboveAverage="0" equalAverage="0" bottom="0" percent="0" rank="0" text="" dxfId="2423">
      <formula>#ref!=1</formula>
    </cfRule>
    <cfRule type="expression" priority="506" aboveAverage="0" equalAverage="0" bottom="0" percent="0" rank="0" text="" dxfId="2424">
      <formula>AND($L44="X",OR($B44&lt;&gt;"",$C44&lt;&gt;"",$E44&lt;&gt;"",#ref!&lt;&gt;""))</formula>
    </cfRule>
    <cfRule type="expression" priority="507" aboveAverage="0" equalAverage="0" bottom="0" percent="0" rank="0" text="" dxfId="2425">
      <formula>#ref!=1</formula>
    </cfRule>
    <cfRule type="expression" priority="508" aboveAverage="0" equalAverage="0" bottom="0" percent="0" rank="0" text="" dxfId="2426">
      <formula>AND($L44="X",OR($B44&lt;&gt;"",$C44&lt;&gt;"",$D44&lt;&gt;""))</formula>
    </cfRule>
    <cfRule type="expression" priority="509" aboveAverage="0" equalAverage="0" bottom="0" percent="0" rank="0" text="" dxfId="2427">
      <formula>AND($L44="X",OR($B44&lt;&gt;"",$C44&lt;&gt;"",$D44&lt;&gt;"",$E44&lt;&gt;""))</formula>
    </cfRule>
    <cfRule type="expression" priority="510" aboveAverage="0" equalAverage="0" bottom="0" percent="0" rank="0" text="" dxfId="2428">
      <formula>AND(#ref!=1,#ref!=1)</formula>
    </cfRule>
    <cfRule type="expression" priority="511" aboveAverage="0" equalAverage="0" bottom="0" percent="0" rank="0" text="" dxfId="2429">
      <formula>#ref!=1</formula>
    </cfRule>
    <cfRule type="expression" priority="512" aboveAverage="0" equalAverage="0" bottom="0" percent="0" rank="0" text="" dxfId="2430">
      <formula>AND($L44="X",OR($B44&lt;&gt;"",$C44&lt;&gt;"",$E44&lt;&gt;"",#ref!&lt;&gt;""))</formula>
    </cfRule>
    <cfRule type="expression" priority="513" aboveAverage="0" equalAverage="0" bottom="0" percent="0" rank="0" text="" dxfId="2431">
      <formula>AND($L44="X",OR($B44&lt;&gt;"",$C44&lt;&gt;""))</formula>
    </cfRule>
    <cfRule type="expression" priority="514" aboveAverage="0" equalAverage="0" bottom="0" percent="0" rank="0" text="" dxfId="2432">
      <formula>AND($L44="X",$B44&lt;&gt;"")</formula>
    </cfRule>
    <cfRule type="expression" priority="515" aboveAverage="0" equalAverage="0" bottom="0" percent="0" rank="0" text="" dxfId="2433">
      <formula>AND($L44="X",OR($B44&lt;&gt;"",$C44&lt;&gt;"",$D44&lt;&gt;""))</formula>
    </cfRule>
  </conditionalFormatting>
  <conditionalFormatting sqref="D55 G55">
    <cfRule type="expression" priority="516" aboveAverage="0" equalAverage="0" bottom="0" percent="0" rank="0" text="" dxfId="2434">
      <formula>AND($L55="X",OR($B55&lt;&gt;"",#ref!&lt;&gt;"",$C55&lt;&gt;""))</formula>
    </cfRule>
    <cfRule type="expression" priority="517" aboveAverage="0" equalAverage="0" bottom="0" percent="0" rank="0" text="" dxfId="2435">
      <formula>AND($L55="X",OR($B55&lt;&gt;"",$C55&lt;&gt;"",$D55&lt;&gt;""))</formula>
    </cfRule>
    <cfRule type="expression" priority="518" aboveAverage="0" equalAverage="0" bottom="0" percent="0" rank="0" text="" dxfId="2436">
      <formula>AND($L55="X",OR($B55&lt;&gt;"",$C55&lt;&gt;"",$D55&lt;&gt;"",$E55&lt;&gt;""))</formula>
    </cfRule>
    <cfRule type="expression" priority="519" aboveAverage="0" equalAverage="0" bottom="0" percent="0" rank="0" text="" dxfId="2437">
      <formula>AND($L55="X",OR($B55&lt;&gt;"",$C55&lt;&gt;"",$E55&lt;&gt;"",#ref!&lt;&gt;""))</formula>
    </cfRule>
    <cfRule type="expression" priority="520" aboveAverage="0" equalAverage="0" bottom="0" percent="0" rank="0" text="" dxfId="2438">
      <formula>#ref!=1</formula>
    </cfRule>
    <cfRule type="expression" priority="521" aboveAverage="0" equalAverage="0" bottom="0" percent="0" rank="0" text="" dxfId="2439">
      <formula>AND($L55="X",OR($B55&lt;&gt;"",$C55&lt;&gt;"",$D55&lt;&gt;""))</formula>
    </cfRule>
    <cfRule type="expression" priority="522" aboveAverage="0" equalAverage="0" bottom="0" percent="0" rank="0" text="" dxfId="2440">
      <formula>AND($L55="X",OR($B55&lt;&gt;"",$C55&lt;&gt;"",$D55&lt;&gt;"",$E55&lt;&gt;""))</formula>
    </cfRule>
    <cfRule type="expression" priority="523" aboveAverage="0" equalAverage="0" bottom="0" percent="0" rank="0" text="" dxfId="2441">
      <formula>AND(#ref!=1,#ref!=1)</formula>
    </cfRule>
    <cfRule type="expression" priority="524" aboveAverage="0" equalAverage="0" bottom="0" percent="0" rank="0" text="" dxfId="2442">
      <formula>#ref!=1</formula>
    </cfRule>
    <cfRule type="expression" priority="525" aboveAverage="0" equalAverage="0" bottom="0" percent="0" rank="0" text="" dxfId="2443">
      <formula>#ref!=1</formula>
    </cfRule>
    <cfRule type="expression" priority="526" aboveAverage="0" equalAverage="0" bottom="0" percent="0" rank="0" text="" dxfId="2444">
      <formula>AND($L55="X",OR($B55&lt;&gt;"",$C55&lt;&gt;"",$E55&lt;&gt;"",#ref!&lt;&gt;""))</formula>
    </cfRule>
    <cfRule type="expression" priority="527" aboveAverage="0" equalAverage="0" bottom="0" percent="0" rank="0" text="" dxfId="2445">
      <formula>AND($L55="X",OR($B55&lt;&gt;"",$C55&lt;&gt;""))</formula>
    </cfRule>
    <cfRule type="expression" priority="528" aboveAverage="0" equalAverage="0" bottom="0" percent="0" rank="0" text="" dxfId="2446">
      <formula>AND($L55="X",OR($B55&lt;&gt;"",$C55&lt;&gt;"",$D55&lt;&gt;"",$E55&lt;&gt;""))</formula>
    </cfRule>
    <cfRule type="expression" priority="529" aboveAverage="0" equalAverage="0" bottom="0" percent="0" rank="0" text="" dxfId="2447">
      <formula>AND(#ref!=1,#ref!=1)</formula>
    </cfRule>
    <cfRule type="expression" priority="530" aboveAverage="0" equalAverage="0" bottom="0" percent="0" rank="0" text="" dxfId="2448">
      <formula>#ref!=1</formula>
    </cfRule>
    <cfRule type="expression" priority="531" aboveAverage="0" equalAverage="0" bottom="0" percent="0" rank="0" text="" dxfId="2449">
      <formula>#ref!=1</formula>
    </cfRule>
    <cfRule type="expression" priority="532" aboveAverage="0" equalAverage="0" bottom="0" percent="0" rank="0" text="" dxfId="2450">
      <formula>AND($L55="X",OR($B55&lt;&gt;"",$C55&lt;&gt;"",$E55&lt;&gt;"",#ref!&lt;&gt;""))</formula>
    </cfRule>
    <cfRule type="expression" priority="533" aboveAverage="0" equalAverage="0" bottom="0" percent="0" rank="0" text="" dxfId="2451">
      <formula>#ref!=1</formula>
    </cfRule>
    <cfRule type="expression" priority="534" aboveAverage="0" equalAverage="0" bottom="0" percent="0" rank="0" text="" dxfId="2452">
      <formula>AND($L55="X",OR($B55&lt;&gt;"",$C55&lt;&gt;"",$D55&lt;&gt;""))</formula>
    </cfRule>
    <cfRule type="expression" priority="535" aboveAverage="0" equalAverage="0" bottom="0" percent="0" rank="0" text="" dxfId="2453">
      <formula>AND($L55="X",OR($B55&lt;&gt;"",$C55&lt;&gt;"",$D55&lt;&gt;"",$E55&lt;&gt;""))</formula>
    </cfRule>
    <cfRule type="expression" priority="536" aboveAverage="0" equalAverage="0" bottom="0" percent="0" rank="0" text="" dxfId="2454">
      <formula>AND(#ref!=1,#ref!=1)</formula>
    </cfRule>
    <cfRule type="expression" priority="537" aboveAverage="0" equalAverage="0" bottom="0" percent="0" rank="0" text="" dxfId="2455">
      <formula>#ref!=1</formula>
    </cfRule>
    <cfRule type="expression" priority="538" aboveAverage="0" equalAverage="0" bottom="0" percent="0" rank="0" text="" dxfId="2456">
      <formula>AND($L55="X",OR($B55&lt;&gt;"",$C55&lt;&gt;"",$E55&lt;&gt;"",#ref!&lt;&gt;""))</formula>
    </cfRule>
    <cfRule type="expression" priority="539" aboveAverage="0" equalAverage="0" bottom="0" percent="0" rank="0" text="" dxfId="2457">
      <formula>AND($L55="X",OR($B55&lt;&gt;"",$C55&lt;&gt;""))</formula>
    </cfRule>
    <cfRule type="expression" priority="540" aboveAverage="0" equalAverage="0" bottom="0" percent="0" rank="0" text="" dxfId="2458">
      <formula>AND($L55="X",$B55&lt;&gt;"")</formula>
    </cfRule>
    <cfRule type="expression" priority="541" aboveAverage="0" equalAverage="0" bottom="0" percent="0" rank="0" text="" dxfId="2459">
      <formula>AND($L55="X",OR($B55&lt;&gt;"",$C55&lt;&gt;"",$D55&lt;&gt;""))</formula>
    </cfRule>
  </conditionalFormatting>
  <conditionalFormatting sqref="D92 F98">
    <cfRule type="expression" priority="542" aboveAverage="0" equalAverage="0" bottom="0" percent="0" rank="0" text="" dxfId="2460">
      <formula>AND($L92="X",OR($B92&lt;&gt;"",#ref!&lt;&gt;"",$C92&lt;&gt;"",$D92&lt;&gt;""))</formula>
    </cfRule>
    <cfRule type="expression" priority="543" aboveAverage="0" equalAverage="0" bottom="0" percent="0" rank="0" text="" dxfId="2461">
      <formula>AND($L92="X",OR($B92&lt;&gt;"",$C92&lt;&gt;"",$D92&lt;&gt;""))</formula>
    </cfRule>
  </conditionalFormatting>
  <conditionalFormatting sqref="D101 G101">
    <cfRule type="expression" priority="544" aboveAverage="0" equalAverage="0" bottom="0" percent="0" rank="0" text="" dxfId="2462">
      <formula>AND($L101="X",OR($B101&lt;&gt;"",#ref!&lt;&gt;"",$C101&lt;&gt;""))</formula>
    </cfRule>
    <cfRule type="expression" priority="545" aboveAverage="0" equalAverage="0" bottom="0" percent="0" rank="0" text="" dxfId="2463">
      <formula>AND($L101="X",OR($B101&lt;&gt;"",$C101&lt;&gt;"",$D101&lt;&gt;""))</formula>
    </cfRule>
    <cfRule type="expression" priority="546" aboveAverage="0" equalAverage="0" bottom="0" percent="0" rank="0" text="" dxfId="2464">
      <formula>AND($L101="X",OR($B101&lt;&gt;"",$C101&lt;&gt;"",$D101&lt;&gt;"",$E101&lt;&gt;""))</formula>
    </cfRule>
    <cfRule type="expression" priority="547" aboveAverage="0" equalAverage="0" bottom="0" percent="0" rank="0" text="" dxfId="2465">
      <formula>AND($L101="X",OR($B101&lt;&gt;"",$C101&lt;&gt;"",$E101&lt;&gt;"",#ref!&lt;&gt;""))</formula>
    </cfRule>
    <cfRule type="expression" priority="548" aboveAverage="0" equalAverage="0" bottom="0" percent="0" rank="0" text="" dxfId="2466">
      <formula>#ref!=1</formula>
    </cfRule>
    <cfRule type="expression" priority="549" aboveAverage="0" equalAverage="0" bottom="0" percent="0" rank="0" text="" dxfId="2467">
      <formula>AND($L101="X",OR($B101&lt;&gt;"",$C101&lt;&gt;"",$D101&lt;&gt;""))</formula>
    </cfRule>
    <cfRule type="expression" priority="550" aboveAverage="0" equalAverage="0" bottom="0" percent="0" rank="0" text="" dxfId="2468">
      <formula>AND($L101="X",OR($B101&lt;&gt;"",$C101&lt;&gt;"",$D101&lt;&gt;"",$E101&lt;&gt;""))</formula>
    </cfRule>
    <cfRule type="expression" priority="551" aboveAverage="0" equalAverage="0" bottom="0" percent="0" rank="0" text="" dxfId="2469">
      <formula>AND(#ref!=1,#ref!=1)</formula>
    </cfRule>
    <cfRule type="expression" priority="552" aboveAverage="0" equalAverage="0" bottom="0" percent="0" rank="0" text="" dxfId="2470">
      <formula>#ref!=1</formula>
    </cfRule>
    <cfRule type="expression" priority="553" aboveAverage="0" equalAverage="0" bottom="0" percent="0" rank="0" text="" dxfId="2471">
      <formula>#ref!=1</formula>
    </cfRule>
    <cfRule type="expression" priority="554" aboveAverage="0" equalAverage="0" bottom="0" percent="0" rank="0" text="" dxfId="2472">
      <formula>AND($L101="X",OR($B101&lt;&gt;"",$C101&lt;&gt;"",$E101&lt;&gt;"",#ref!&lt;&gt;""))</formula>
    </cfRule>
    <cfRule type="expression" priority="555" aboveAverage="0" equalAverage="0" bottom="0" percent="0" rank="0" text="" dxfId="2473">
      <formula>AND($L101="X",OR($B101&lt;&gt;"",$C101&lt;&gt;""))</formula>
    </cfRule>
    <cfRule type="expression" priority="556" aboveAverage="0" equalAverage="0" bottom="0" percent="0" rank="0" text="" dxfId="2474">
      <formula>AND($L101="X",OR($B101&lt;&gt;"",$C101&lt;&gt;"",$D101&lt;&gt;"",$E101&lt;&gt;""))</formula>
    </cfRule>
    <cfRule type="expression" priority="557" aboveAverage="0" equalAverage="0" bottom="0" percent="0" rank="0" text="" dxfId="2475">
      <formula>AND(#ref!=1,#ref!=1)</formula>
    </cfRule>
    <cfRule type="expression" priority="558" aboveAverage="0" equalAverage="0" bottom="0" percent="0" rank="0" text="" dxfId="2476">
      <formula>#ref!=1</formula>
    </cfRule>
    <cfRule type="expression" priority="559" aboveAverage="0" equalAverage="0" bottom="0" percent="0" rank="0" text="" dxfId="2477">
      <formula>#ref!=1</formula>
    </cfRule>
    <cfRule type="expression" priority="560" aboveAverage="0" equalAverage="0" bottom="0" percent="0" rank="0" text="" dxfId="2478">
      <formula>AND($L101="X",OR($B101&lt;&gt;"",$C101&lt;&gt;"",$E101&lt;&gt;"",#ref!&lt;&gt;""))</formula>
    </cfRule>
    <cfRule type="expression" priority="561" aboveAverage="0" equalAverage="0" bottom="0" percent="0" rank="0" text="" dxfId="2479">
      <formula>#ref!=1</formula>
    </cfRule>
    <cfRule type="expression" priority="562" aboveAverage="0" equalAverage="0" bottom="0" percent="0" rank="0" text="" dxfId="2480">
      <formula>AND($L101="X",OR($B101&lt;&gt;"",$C101&lt;&gt;"",$D101&lt;&gt;""))</formula>
    </cfRule>
    <cfRule type="expression" priority="563" aboveAverage="0" equalAverage="0" bottom="0" percent="0" rank="0" text="" dxfId="2481">
      <formula>AND($L101="X",OR($B101&lt;&gt;"",$C101&lt;&gt;"",$D101&lt;&gt;"",$E101&lt;&gt;""))</formula>
    </cfRule>
    <cfRule type="expression" priority="564" aboveAverage="0" equalAverage="0" bottom="0" percent="0" rank="0" text="" dxfId="2482">
      <formula>AND(#ref!=1,#ref!=1)</formula>
    </cfRule>
    <cfRule type="expression" priority="565" aboveAverage="0" equalAverage="0" bottom="0" percent="0" rank="0" text="" dxfId="2483">
      <formula>#ref!=1</formula>
    </cfRule>
    <cfRule type="expression" priority="566" aboveAverage="0" equalAverage="0" bottom="0" percent="0" rank="0" text="" dxfId="2484">
      <formula>AND($L101="X",OR($B101&lt;&gt;"",$C101&lt;&gt;"",$E101&lt;&gt;"",#ref!&lt;&gt;""))</formula>
    </cfRule>
  </conditionalFormatting>
  <conditionalFormatting sqref="D115:D117 G115:G117">
    <cfRule type="expression" priority="567" aboveAverage="0" equalAverage="0" bottom="0" percent="0" rank="0" text="" dxfId="2485">
      <formula>AND($L115="X",OR($B115&lt;&gt;"",#ref!&lt;&gt;"",$C115&lt;&gt;""))</formula>
    </cfRule>
    <cfRule type="expression" priority="568" aboveAverage="0" equalAverage="0" bottom="0" percent="0" rank="0" text="" dxfId="2486">
      <formula>AND($L115="X",OR($B115&lt;&gt;"",$C115&lt;&gt;"",$D115&lt;&gt;""))</formula>
    </cfRule>
    <cfRule type="expression" priority="569" aboveAverage="0" equalAverage="0" bottom="0" percent="0" rank="0" text="" dxfId="2487">
      <formula>AND($L115="X",OR($B115&lt;&gt;"",$C115&lt;&gt;"",$D115&lt;&gt;"",$E115&lt;&gt;""))</formula>
    </cfRule>
    <cfRule type="expression" priority="570" aboveAverage="0" equalAverage="0" bottom="0" percent="0" rank="0" text="" dxfId="2488">
      <formula>AND($L115="X",OR($B115&lt;&gt;"",$C115&lt;&gt;"",$E115&lt;&gt;"",#ref!&lt;&gt;""))</formula>
    </cfRule>
    <cfRule type="expression" priority="571" aboveAverage="0" equalAverage="0" bottom="0" percent="0" rank="0" text="" dxfId="2489">
      <formula>#ref!=1</formula>
    </cfRule>
    <cfRule type="expression" priority="572" aboveAverage="0" equalAverage="0" bottom="0" percent="0" rank="0" text="" dxfId="2490">
      <formula>AND($L115="X",OR($B115&lt;&gt;"",$C115&lt;&gt;"",$D115&lt;&gt;""))</formula>
    </cfRule>
    <cfRule type="expression" priority="573" aboveAverage="0" equalAverage="0" bottom="0" percent="0" rank="0" text="" dxfId="2491">
      <formula>AND($L115="X",OR($B115&lt;&gt;"",$C115&lt;&gt;"",$D115&lt;&gt;"",$E115&lt;&gt;""))</formula>
    </cfRule>
    <cfRule type="expression" priority="574" aboveAverage="0" equalAverage="0" bottom="0" percent="0" rank="0" text="" dxfId="2492">
      <formula>AND(#ref!=1,#ref!=1)</formula>
    </cfRule>
    <cfRule type="expression" priority="575" aboveAverage="0" equalAverage="0" bottom="0" percent="0" rank="0" text="" dxfId="2493">
      <formula>#ref!=1</formula>
    </cfRule>
    <cfRule type="expression" priority="576" aboveAverage="0" equalAverage="0" bottom="0" percent="0" rank="0" text="" dxfId="2494">
      <formula>#ref!=1</formula>
    </cfRule>
    <cfRule type="expression" priority="577" aboveAverage="0" equalAverage="0" bottom="0" percent="0" rank="0" text="" dxfId="2495">
      <formula>AND($L115="X",OR($B115&lt;&gt;"",$C115&lt;&gt;"",$E115&lt;&gt;"",#ref!&lt;&gt;""))</formula>
    </cfRule>
  </conditionalFormatting>
  <conditionalFormatting sqref="D123 D135:D136 D172:D174 C182 D183:D184 C186:C187">
    <cfRule type="expression" priority="578" aboveAverage="0" equalAverage="0" bottom="0" percent="0" rank="0" text="" dxfId="2496">
      <formula>AND($L123="X",OR(#ref!&lt;&gt;"",$B123&lt;&gt;""))</formula>
    </cfRule>
  </conditionalFormatting>
  <conditionalFormatting sqref="D123 G123">
    <cfRule type="expression" priority="579" aboveAverage="0" equalAverage="0" bottom="0" percent="0" rank="0" text="" dxfId="2497">
      <formula>AND($L123="X",OR($B123&lt;&gt;"",#ref!&lt;&gt;"",$C123&lt;&gt;""))</formula>
    </cfRule>
    <cfRule type="expression" priority="580" aboveAverage="0" equalAverage="0" bottom="0" percent="0" rank="0" text="" dxfId="2498">
      <formula>AND($L123="X",OR($B123&lt;&gt;"",$C123&lt;&gt;"",$D123&lt;&gt;""))</formula>
    </cfRule>
    <cfRule type="expression" priority="581" aboveAverage="0" equalAverage="0" bottom="0" percent="0" rank="0" text="" dxfId="2499">
      <formula>AND($L123="X",OR($B123&lt;&gt;"",$C123&lt;&gt;"",$D123&lt;&gt;"",$E123&lt;&gt;""))</formula>
    </cfRule>
    <cfRule type="expression" priority="582" aboveAverage="0" equalAverage="0" bottom="0" percent="0" rank="0" text="" dxfId="2500">
      <formula>AND($L123="X",OR($B123&lt;&gt;"",$C123&lt;&gt;"",$E123&lt;&gt;"",#ref!&lt;&gt;""))</formula>
    </cfRule>
    <cfRule type="expression" priority="583" aboveAverage="0" equalAverage="0" bottom="0" percent="0" rank="0" text="" dxfId="2501">
      <formula>#ref!=1</formula>
    </cfRule>
    <cfRule type="expression" priority="584" aboveAverage="0" equalAverage="0" bottom="0" percent="0" rank="0" text="" dxfId="2502">
      <formula>AND($L123="X",OR($B123&lt;&gt;"",$C123&lt;&gt;"",$D123&lt;&gt;""))</formula>
    </cfRule>
  </conditionalFormatting>
  <conditionalFormatting sqref="D131">
    <cfRule type="expression" priority="585" aboveAverage="0" equalAverage="0" bottom="0" percent="0" rank="0" text="" dxfId="2503">
      <formula>AND($L131="X",OR($B131&lt;&gt;"",#ref!&lt;&gt;"",$C131&lt;&gt;"",$D131&lt;&gt;""))</formula>
    </cfRule>
    <cfRule type="expression" priority="586" aboveAverage="0" equalAverage="0" bottom="0" percent="0" rank="0" text="" dxfId="2504">
      <formula>AND($L131="X",OR($B131&lt;&gt;"",$C131&lt;&gt;"",$D131&lt;&gt;"",$E131&lt;&gt;""))</formula>
    </cfRule>
    <cfRule type="expression" priority="587" aboveAverage="0" equalAverage="0" bottom="0" percent="0" rank="0" text="" dxfId="2505">
      <formula>AND($L131="X",OR($B131&lt;&gt;"",$C131&lt;&gt;"",$E131&lt;&gt;"",#ref!&lt;&gt;""))</formula>
    </cfRule>
  </conditionalFormatting>
  <conditionalFormatting sqref="D133 G133">
    <cfRule type="expression" priority="588" aboveAverage="0" equalAverage="0" bottom="0" percent="0" rank="0" text="" dxfId="2506">
      <formula>AND($L133="X",OR($B133&lt;&gt;"",#ref!&lt;&gt;"",$C133&lt;&gt;""))</formula>
    </cfRule>
    <cfRule type="expression" priority="589" aboveAverage="0" equalAverage="0" bottom="0" percent="0" rank="0" text="" dxfId="2507">
      <formula>AND($L133="X",OR($B133&lt;&gt;"",$C133&lt;&gt;"",$D133&lt;&gt;""))</formula>
    </cfRule>
    <cfRule type="expression" priority="590" aboveAverage="0" equalAverage="0" bottom="0" percent="0" rank="0" text="" dxfId="2508">
      <formula>AND($L133="X",OR($B133&lt;&gt;"",$C133&lt;&gt;"",$D133&lt;&gt;"",$E133&lt;&gt;""))</formula>
    </cfRule>
    <cfRule type="expression" priority="591" aboveAverage="0" equalAverage="0" bottom="0" percent="0" rank="0" text="" dxfId="2509">
      <formula>AND($L133="X",OR($B133&lt;&gt;"",$C133&lt;&gt;"",$E133&lt;&gt;"",#ref!&lt;&gt;""))</formula>
    </cfRule>
    <cfRule type="expression" priority="592" aboveAverage="0" equalAverage="0" bottom="0" percent="0" rank="0" text="" dxfId="2510">
      <formula>#ref!=1</formula>
    </cfRule>
    <cfRule type="expression" priority="593" aboveAverage="0" equalAverage="0" bottom="0" percent="0" rank="0" text="" dxfId="2511">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priority="594" aboveAverage="0" equalAverage="0" bottom="0" percent="0" rank="0" text="" dxfId="2512">
      <formula>AND($L17="X",OR($B17&lt;&gt;"",$C17&lt;&gt;""))</formula>
    </cfRule>
  </conditionalFormatting>
  <conditionalFormatting sqref="D149:D150">
    <cfRule type="expression" priority="595" aboveAverage="0" equalAverage="0" bottom="0" percent="0" rank="0" text="" dxfId="2513">
      <formula>OR(#ref!="X",#ref!="X")</formula>
    </cfRule>
    <cfRule type="expression" priority="596" aboveAverage="0" equalAverage="0" bottom="0" percent="0" rank="0" text="" dxfId="2514">
      <formula>AND(#ref!=1,#ref!=1)</formula>
    </cfRule>
    <cfRule type="expression" priority="597" aboveAverage="0" equalAverage="0" bottom="0" percent="0" rank="0" text="" dxfId="2515">
      <formula>#ref!=1</formula>
    </cfRule>
  </conditionalFormatting>
  <conditionalFormatting sqref="D151 G151">
    <cfRule type="expression" priority="598" aboveAverage="0" equalAverage="0" bottom="0" percent="0" rank="0" text="" dxfId="2516">
      <formula>AND($L151="X",OR($B151&lt;&gt;"",#ref!&lt;&gt;"",$C151&lt;&gt;""))</formula>
    </cfRule>
    <cfRule type="expression" priority="599" aboveAverage="0" equalAverage="0" bottom="0" percent="0" rank="0" text="" dxfId="2517">
      <formula>AND($L151="X",OR($B151&lt;&gt;"",$C151&lt;&gt;"",$D151&lt;&gt;""))</formula>
    </cfRule>
  </conditionalFormatting>
  <conditionalFormatting sqref="D178:D179">
    <cfRule type="expression" priority="600" aboveAverage="0" equalAverage="0" bottom="0" percent="0" rank="0" text="" dxfId="2518">
      <formula>#ref!=1</formula>
    </cfRule>
    <cfRule type="expression" priority="601" aboveAverage="0" equalAverage="0" bottom="0" percent="0" rank="0" text="" dxfId="2519">
      <formula>AND($L178="X",OR($B178&lt;&gt;"",$C178&lt;&gt;"",$D178&lt;&gt;"",$E178&lt;&gt;""))</formula>
    </cfRule>
    <cfRule type="expression" priority="602" aboveAverage="0" equalAverage="0" bottom="0" percent="0" rank="0" text="" dxfId="2520">
      <formula>AND(#ref!=1,#ref!=1)</formula>
    </cfRule>
    <cfRule type="expression" priority="603" aboveAverage="0" equalAverage="0" bottom="0" percent="0" rank="0" text="" dxfId="2521">
      <formula>#ref!=1</formula>
    </cfRule>
    <cfRule type="expression" priority="604" aboveAverage="0" equalAverage="0" bottom="0" percent="0" rank="0" text="" dxfId="2522">
      <formula>AND($L178="X",OR($B178&lt;&gt;"",$C178&lt;&gt;"",$D178&lt;&gt;""))</formula>
    </cfRule>
    <cfRule type="expression" priority="605" aboveAverage="0" equalAverage="0" bottom="0" percent="0" rank="0" text="" dxfId="2523">
      <formula>#ref!=1</formula>
    </cfRule>
    <cfRule type="expression" priority="606" aboveAverage="0" equalAverage="0" bottom="0" percent="0" rank="0" text="" dxfId="2524">
      <formula>AND($L178="X",OR($B178&lt;&gt;"",$C178&lt;&gt;"",$D178&lt;&gt;"",$E178&lt;&gt;""))</formula>
    </cfRule>
    <cfRule type="expression" priority="607" aboveAverage="0" equalAverage="0" bottom="0" percent="0" rank="0" text="" dxfId="2525">
      <formula>AND(#ref!=1,#ref!=1)</formula>
    </cfRule>
    <cfRule type="expression" priority="608" aboveAverage="0" equalAverage="0" bottom="0" percent="0" rank="0" text="" dxfId="2526">
      <formula>#ref!=1</formula>
    </cfRule>
    <cfRule type="expression" priority="609" aboveAverage="0" equalAverage="0" bottom="0" percent="0" rank="0" text="" dxfId="2527">
      <formula>AND($L178="X",OR($B178&lt;&gt;"",$C178&lt;&gt;"",$D178&lt;&gt;""))</formula>
    </cfRule>
  </conditionalFormatting>
  <conditionalFormatting sqref="D181 D185">
    <cfRule type="expression" priority="610" aboveAverage="0" equalAverage="0" bottom="0" percent="0" rank="0" text="" dxfId="2528">
      <formula>AND($L181="X",OR($B181&lt;&gt;"",$C181&lt;&gt;""))</formula>
    </cfRule>
    <cfRule type="expression" priority="611" aboveAverage="0" equalAverage="0" bottom="0" percent="0" rank="0" text="" dxfId="2529">
      <formula>#ref!=1</formula>
    </cfRule>
    <cfRule type="expression" priority="612" aboveAverage="0" equalAverage="0" bottom="0" percent="0" rank="0" text="" dxfId="2530">
      <formula>AND($L181="X",OR($B181&lt;&gt;"",$C181&lt;&gt;"",$D181&lt;&gt;"",$E181&lt;&gt;""))</formula>
    </cfRule>
    <cfRule type="expression" priority="613" aboveAverage="0" equalAverage="0" bottom="0" percent="0" rank="0" text="" dxfId="2531">
      <formula>AND(#ref!=1,#ref!=1)</formula>
    </cfRule>
    <cfRule type="expression" priority="614" aboveAverage="0" equalAverage="0" bottom="0" percent="0" rank="0" text="" dxfId="2532">
      <formula>#ref!=1</formula>
    </cfRule>
    <cfRule type="expression" priority="615" aboveAverage="0" equalAverage="0" bottom="0" percent="0" rank="0" text="" dxfId="2533">
      <formula>AND($L181="X",OR($B181&lt;&gt;"",$C181&lt;&gt;"",$D181&lt;&gt;""))</formula>
    </cfRule>
    <cfRule type="expression" priority="616" aboveAverage="0" equalAverage="0" bottom="0" percent="0" rank="0" text="" dxfId="2534">
      <formula>#ref!=1</formula>
    </cfRule>
    <cfRule type="expression" priority="617" aboveAverage="0" equalAverage="0" bottom="0" percent="0" rank="0" text="" dxfId="2535">
      <formula>AND($L181="X",OR($B181&lt;&gt;"",$C181&lt;&gt;"",$D181&lt;&gt;"",$E181&lt;&gt;""))</formula>
    </cfRule>
    <cfRule type="expression" priority="618" aboveAverage="0" equalAverage="0" bottom="0" percent="0" rank="0" text="" dxfId="2536">
      <formula>AND(#ref!=1,#ref!=1)</formula>
    </cfRule>
    <cfRule type="expression" priority="619" aboveAverage="0" equalAverage="0" bottom="0" percent="0" rank="0" text="" dxfId="2537">
      <formula>#ref!=1</formula>
    </cfRule>
    <cfRule type="expression" priority="620" aboveAverage="0" equalAverage="0" bottom="0" percent="0" rank="0" text="" dxfId="2538">
      <formula>AND($L181="X",OR($B181&lt;&gt;"",$C181&lt;&gt;"",$D181&lt;&gt;""))</formula>
    </cfRule>
    <cfRule type="expression" priority="621" aboveAverage="0" equalAverage="0" bottom="0" percent="0" rank="0" text="" dxfId="2539">
      <formula>AND($L181="X",OR($B181&lt;&gt;"",$C181&lt;&gt;""))</formula>
    </cfRule>
    <cfRule type="expression" priority="622" aboveAverage="0" equalAverage="0" bottom="0" percent="0" rank="0" text="" dxfId="2540">
      <formula>AND(#ref!=1,#ref!=1)</formula>
    </cfRule>
    <cfRule type="expression" priority="623" aboveAverage="0" equalAverage="0" bottom="0" percent="0" rank="0" text="" dxfId="2541">
      <formula>#ref!=1</formula>
    </cfRule>
    <cfRule type="expression" priority="624" aboveAverage="0" equalAverage="0" bottom="0" percent="0" rank="0" text="" dxfId="2542">
      <formula>AND($L181="X",OR($B181&lt;&gt;"",$C181&lt;&gt;""))</formula>
    </cfRule>
  </conditionalFormatting>
  <conditionalFormatting sqref="D182 D186:D187">
    <cfRule type="expression" priority="625" aboveAverage="0" equalAverage="0" bottom="0" percent="0" rank="0" text="" dxfId="2543">
      <formula>AND($L182="X",OR(#ref!&lt;&gt;"",$B182&lt;&gt;"",$C182&lt;&gt;""))</formula>
    </cfRule>
  </conditionalFormatting>
  <conditionalFormatting sqref="D182 D186:E186">
    <cfRule type="expression" priority="626" aboveAverage="0" equalAverage="0" bottom="0" percent="0" rank="0" text="" dxfId="2544">
      <formula>AND(#ref!=1,#ref!=1)</formula>
    </cfRule>
    <cfRule type="expression" priority="627" aboveAverage="0" equalAverage="0" bottom="0" percent="0" rank="0" text="" dxfId="2545">
      <formula>#ref!=1</formula>
    </cfRule>
    <cfRule type="expression" priority="628" aboveAverage="0" equalAverage="0" bottom="0" percent="0" rank="0" text="" dxfId="2546">
      <formula>#ref!=1</formula>
    </cfRule>
    <cfRule type="expression" priority="629" aboveAverage="0" equalAverage="0" bottom="0" percent="0" rank="0" text="" dxfId="2547">
      <formula>AND($L182="X",#ref!&lt;&gt;"")</formula>
    </cfRule>
  </conditionalFormatting>
  <conditionalFormatting sqref="D188:D190">
    <cfRule type="expression" priority="630" aboveAverage="0" equalAverage="0" bottom="0" percent="0" rank="0" text="" dxfId="2548">
      <formula>AND(#ref!="X",OR(#ref!&lt;&gt;"",$B188&lt;&gt;"",$C188&lt;&gt;""))</formula>
    </cfRule>
  </conditionalFormatting>
  <conditionalFormatting sqref="D191">
    <cfRule type="expression" priority="631" aboveAverage="0" equalAverage="0" bottom="0" percent="0" rank="0" text="" dxfId="2549">
      <formula>AND($L191="X",OR($B191&lt;&gt;"",#ref!&lt;&gt;"",$C191&lt;&gt;""))</formula>
    </cfRule>
  </conditionalFormatting>
  <conditionalFormatting sqref="D193:D197">
    <cfRule type="expression" priority="632" aboveAverage="0" equalAverage="0" bottom="0" percent="0" rank="0" text="" dxfId="2550">
      <formula>OR(#ref!="X",#ref!="X")</formula>
    </cfRule>
    <cfRule type="expression" priority="633" aboveAverage="0" equalAverage="0" bottom="0" percent="0" rank="0" text="" dxfId="2551">
      <formula>AND(#ref!=1,#ref!=1)</formula>
    </cfRule>
    <cfRule type="expression" priority="634" aboveAverage="0" equalAverage="0" bottom="0" percent="0" rank="0" text="" dxfId="2552">
      <formula>#ref!=1</formula>
    </cfRule>
    <cfRule type="expression" priority="635" aboveAverage="0" equalAverage="0" bottom="0" percent="0" rank="0" text="" dxfId="2553">
      <formula>#ref!=1</formula>
    </cfRule>
    <cfRule type="expression" priority="636" aboveAverage="0" equalAverage="0" bottom="0" percent="0" rank="0" text="" dxfId="2554">
      <formula>AND($L193="X",OR($B193&lt;&gt;"",#ref!&lt;&gt;"",#ref!&lt;&gt;"",$C193&lt;&gt;""))</formula>
    </cfRule>
  </conditionalFormatting>
  <conditionalFormatting sqref="D201">
    <cfRule type="expression" priority="637" aboveAverage="0" equalAverage="0" bottom="0" percent="0" rank="0" text="" dxfId="2555">
      <formula>AND($L201="X",OR($B201&lt;&gt;"",$C201&lt;&gt;""))</formula>
    </cfRule>
  </conditionalFormatting>
  <conditionalFormatting sqref="D20:E26 G20:G26">
    <cfRule type="expression" priority="638" aboveAverage="0" equalAverage="0" bottom="0" percent="0" rank="0" text="" dxfId="2556">
      <formula>AND($L20="X",OR($B20&lt;&gt;"",$C20&lt;&gt;"",$D20&lt;&gt;""))</formula>
    </cfRule>
    <cfRule type="expression" priority="639" aboveAverage="0" equalAverage="0" bottom="0" percent="0" rank="0" text="" dxfId="2557">
      <formula>AND($L20="X",OR($B20&lt;&gt;"",$C20&lt;&gt;"",$D20&lt;&gt;"",$E20&lt;&gt;""))</formula>
    </cfRule>
    <cfRule type="expression" priority="640" aboveAverage="0" equalAverage="0" bottom="0" percent="0" rank="0" text="" dxfId="2558">
      <formula>AND($L20="X",OR($B20&lt;&gt;"",$C20&lt;&gt;"",$E20&lt;&gt;"",#ref!&lt;&gt;""))</formula>
    </cfRule>
    <cfRule type="expression" priority="641" aboveAverage="0" equalAverage="0" bottom="0" percent="0" rank="0" text="" dxfId="2559">
      <formula>#ref!=1</formula>
    </cfRule>
    <cfRule type="expression" priority="642" aboveAverage="0" equalAverage="0" bottom="0" percent="0" rank="0" text="" dxfId="2560">
      <formula>AND($L20="X",OR($B20&lt;&gt;"",$C20&lt;&gt;"",$D20&lt;&gt;""))</formula>
    </cfRule>
    <cfRule type="expression" priority="643" aboveAverage="0" equalAverage="0" bottom="0" percent="0" rank="0" text="" dxfId="2561">
      <formula>AND($L20="X",OR($B20&lt;&gt;"",$C20&lt;&gt;"",$D20&lt;&gt;"",$E20&lt;&gt;""))</formula>
    </cfRule>
    <cfRule type="expression" priority="644" aboveAverage="0" equalAverage="0" bottom="0" percent="0" rank="0" text="" dxfId="2562">
      <formula>AND(#ref!=1,#ref!=1)</formula>
    </cfRule>
    <cfRule type="expression" priority="645" aboveAverage="0" equalAverage="0" bottom="0" percent="0" rank="0" text="" dxfId="2563">
      <formula>#ref!=1</formula>
    </cfRule>
    <cfRule type="expression" priority="646" aboveAverage="0" equalAverage="0" bottom="0" percent="0" rank="0" text="" dxfId="2564">
      <formula>#ref!=1</formula>
    </cfRule>
    <cfRule type="expression" priority="647" aboveAverage="0" equalAverage="0" bottom="0" percent="0" rank="0" text="" dxfId="2565">
      <formula>AND($L20="X",OR($B20&lt;&gt;"",$C20&lt;&gt;"",$E20&lt;&gt;"",#ref!&lt;&gt;""))</formula>
    </cfRule>
    <cfRule type="expression" priority="648" aboveAverage="0" equalAverage="0" bottom="0" percent="0" rank="0" text="" dxfId="2566">
      <formula>AND($L20="X",OR($B20&lt;&gt;"",$C20&lt;&gt;""))</formula>
    </cfRule>
    <cfRule type="expression" priority="649" aboveAverage="0" equalAverage="0" bottom="0" percent="0" rank="0" text="" dxfId="2567">
      <formula>AND($L20="X",OR($B20&lt;&gt;"",$C20&lt;&gt;"",$D20&lt;&gt;"",$E20&lt;&gt;""))</formula>
    </cfRule>
    <cfRule type="expression" priority="650" aboveAverage="0" equalAverage="0" bottom="0" percent="0" rank="0" text="" dxfId="2568">
      <formula>AND(#ref!=1,#ref!=1)</formula>
    </cfRule>
    <cfRule type="expression" priority="651" aboveAverage="0" equalAverage="0" bottom="0" percent="0" rank="0" text="" dxfId="2569">
      <formula>#ref!=1</formula>
    </cfRule>
    <cfRule type="expression" priority="652" aboveAverage="0" equalAverage="0" bottom="0" percent="0" rank="0" text="" dxfId="2570">
      <formula>#ref!=1</formula>
    </cfRule>
    <cfRule type="expression" priority="653" aboveAverage="0" equalAverage="0" bottom="0" percent="0" rank="0" text="" dxfId="2571">
      <formula>AND($L20="X",OR($B20&lt;&gt;"",$C20&lt;&gt;"",$E20&lt;&gt;"",#ref!&lt;&gt;""))</formula>
    </cfRule>
    <cfRule type="expression" priority="654" aboveAverage="0" equalAverage="0" bottom="0" percent="0" rank="0" text="" dxfId="2572">
      <formula>#ref!=1</formula>
    </cfRule>
    <cfRule type="expression" priority="655" aboveAverage="0" equalAverage="0" bottom="0" percent="0" rank="0" text="" dxfId="2573">
      <formula>AND($L20="X",OR($B20&lt;&gt;"",$C20&lt;&gt;"",$D20&lt;&gt;""))</formula>
    </cfRule>
    <cfRule type="expression" priority="656" aboveAverage="0" equalAverage="0" bottom="0" percent="0" rank="0" text="" dxfId="2574">
      <formula>AND(#ref!=1,#ref!=1)</formula>
    </cfRule>
    <cfRule type="expression" priority="657" aboveAverage="0" equalAverage="0" bottom="0" percent="0" rank="0" text="" dxfId="2575">
      <formula>#ref!=1</formula>
    </cfRule>
    <cfRule type="expression" priority="658" aboveAverage="0" equalAverage="0" bottom="0" percent="0" rank="0" text="" dxfId="2576">
      <formula>AND($L20="X",OR($B20&lt;&gt;"",$C20&lt;&gt;""))</formula>
    </cfRule>
    <cfRule type="expression" priority="659" aboveAverage="0" equalAverage="0" bottom="0" percent="0" rank="0" text="" dxfId="2577">
      <formula>AND($L20="X",$B20&lt;&gt;"")</formula>
    </cfRule>
  </conditionalFormatting>
  <conditionalFormatting sqref="D20:E27 G20:G27">
    <cfRule type="expression" priority="660" aboveAverage="0" equalAverage="0" bottom="0" percent="0" rank="0" text="" dxfId="2578">
      <formula>AND($L20="X",OR($B20&lt;&gt;"",#ref!&lt;&gt;"",$C20&lt;&gt;""))</formula>
    </cfRule>
    <cfRule type="expression" priority="661" aboveAverage="0" equalAverage="0" bottom="0" percent="0" rank="0" text="" dxfId="2579">
      <formula>AND($L20="X",OR($B20&lt;&gt;"",$C20&lt;&gt;"",$D20&lt;&gt;"",$E20&lt;&gt;""))</formula>
    </cfRule>
    <cfRule type="expression" priority="662" aboveAverage="0" equalAverage="0" bottom="0" percent="0" rank="0" text="" dxfId="2580">
      <formula>AND($L20="X",OR($B20&lt;&gt;"",$C20&lt;&gt;"",$E20&lt;&gt;"",#ref!&lt;&gt;""))</formula>
    </cfRule>
    <cfRule type="expression" priority="663" aboveAverage="0" equalAverage="0" bottom="0" percent="0" rank="0" text="" dxfId="2581">
      <formula>AND($L20="X",OR($B20&lt;&gt;"",$C20&lt;&gt;"",$D20&lt;&gt;""))</formula>
    </cfRule>
  </conditionalFormatting>
  <conditionalFormatting sqref="D27:E27 G27">
    <cfRule type="expression" priority="664" aboveAverage="0" equalAverage="0" bottom="0" percent="0" rank="0" text="" dxfId="2582">
      <formula>#ref!=1</formula>
    </cfRule>
    <cfRule type="expression" priority="665" aboveAverage="0" equalAverage="0" bottom="0" percent="0" rank="0" text="" dxfId="2583">
      <formula>AND($L27="X",OR($B27&lt;&gt;"",$C27&lt;&gt;"",$D27&lt;&gt;""))</formula>
    </cfRule>
    <cfRule type="expression" priority="666" aboveAverage="0" equalAverage="0" bottom="0" percent="0" rank="0" text="" dxfId="2584">
      <formula>AND($L27="X",OR($B27&lt;&gt;"",$C27&lt;&gt;"",$D27&lt;&gt;"",$E27&lt;&gt;""))</formula>
    </cfRule>
    <cfRule type="expression" priority="667" aboveAverage="0" equalAverage="0" bottom="0" percent="0" rank="0" text="" dxfId="2585">
      <formula>AND(#ref!=1,#ref!=1)</formula>
    </cfRule>
    <cfRule type="expression" priority="668" aboveAverage="0" equalAverage="0" bottom="0" percent="0" rank="0" text="" dxfId="2586">
      <formula>#ref!=1</formula>
    </cfRule>
    <cfRule type="expression" priority="669" aboveAverage="0" equalAverage="0" bottom="0" percent="0" rank="0" text="" dxfId="2587">
      <formula>#ref!=1</formula>
    </cfRule>
    <cfRule type="expression" priority="670" aboveAverage="0" equalAverage="0" bottom="0" percent="0" rank="0" text="" dxfId="2588">
      <formula>AND($L27="X",OR($B27&lt;&gt;"",$C27&lt;&gt;"",$E27&lt;&gt;"",#ref!&lt;&gt;""))</formula>
    </cfRule>
    <cfRule type="expression" priority="671" aboveAverage="0" equalAverage="0" bottom="0" percent="0" rank="0" text="" dxfId="2589">
      <formula>AND($L27="X",OR($B27&lt;&gt;"",$C27&lt;&gt;""))</formula>
    </cfRule>
    <cfRule type="expression" priority="672" aboveAverage="0" equalAverage="0" bottom="0" percent="0" rank="0" text="" dxfId="2590">
      <formula>AND($L27="X",OR($B27&lt;&gt;"",$C27&lt;&gt;"",$D27&lt;&gt;"",$E27&lt;&gt;""))</formula>
    </cfRule>
    <cfRule type="expression" priority="673" aboveAverage="0" equalAverage="0" bottom="0" percent="0" rank="0" text="" dxfId="2591">
      <formula>AND(#ref!=1,#ref!=1)</formula>
    </cfRule>
    <cfRule type="expression" priority="674" aboveAverage="0" equalAverage="0" bottom="0" percent="0" rank="0" text="" dxfId="2592">
      <formula>#ref!=1</formula>
    </cfRule>
    <cfRule type="expression" priority="675" aboveAverage="0" equalAverage="0" bottom="0" percent="0" rank="0" text="" dxfId="2593">
      <formula>#ref!=1</formula>
    </cfRule>
    <cfRule type="expression" priority="676" aboveAverage="0" equalAverage="0" bottom="0" percent="0" rank="0" text="" dxfId="2594">
      <formula>AND($L27="X",OR($B27&lt;&gt;"",$C27&lt;&gt;"",$E27&lt;&gt;"",#ref!&lt;&gt;""))</formula>
    </cfRule>
    <cfRule type="expression" priority="677" aboveAverage="0" equalAverage="0" bottom="0" percent="0" rank="0" text="" dxfId="2595">
      <formula>#ref!=1</formula>
    </cfRule>
    <cfRule type="expression" priority="678" aboveAverage="0" equalAverage="0" bottom="0" percent="0" rank="0" text="" dxfId="2596">
      <formula>AND($L27="X",OR($B27&lt;&gt;"",$C27&lt;&gt;"",$D27&lt;&gt;""))</formula>
    </cfRule>
    <cfRule type="expression" priority="679" aboveAverage="0" equalAverage="0" bottom="0" percent="0" rank="0" text="" dxfId="2597">
      <formula>AND($L27="X",OR($B27&lt;&gt;"",$C27&lt;&gt;"",$D27&lt;&gt;"",$E27&lt;&gt;""))</formula>
    </cfRule>
    <cfRule type="expression" priority="680" aboveAverage="0" equalAverage="0" bottom="0" percent="0" rank="0" text="" dxfId="2598">
      <formula>AND(#ref!=1,#ref!=1)</formula>
    </cfRule>
    <cfRule type="expression" priority="681" aboveAverage="0" equalAverage="0" bottom="0" percent="0" rank="0" text="" dxfId="2599">
      <formula>#ref!=1</formula>
    </cfRule>
    <cfRule type="expression" priority="682" aboveAverage="0" equalAverage="0" bottom="0" percent="0" rank="0" text="" dxfId="2600">
      <formula>AND($L27="X",OR($B27&lt;&gt;"",$C27&lt;&gt;"",$E27&lt;&gt;"",#ref!&lt;&gt;""))</formula>
    </cfRule>
    <cfRule type="expression" priority="683" aboveAverage="0" equalAverage="0" bottom="0" percent="0" rank="0" text="" dxfId="2601">
      <formula>AND($L27="X",OR($B27&lt;&gt;"",$C27&lt;&gt;""))</formula>
    </cfRule>
    <cfRule type="expression" priority="684" aboveAverage="0" equalAverage="0" bottom="0" percent="0" rank="0" text="" dxfId="2602">
      <formula>AND($L27="X",$B27&lt;&gt;"")</formula>
    </cfRule>
    <cfRule type="expression" priority="685" aboveAverage="0" equalAverage="0" bottom="0" percent="0" rank="0" text="" dxfId="2603">
      <formula>AND($L27="X",OR($B27&lt;&gt;"",$C27&lt;&gt;"",$D27&lt;&gt;""))</formula>
    </cfRule>
  </conditionalFormatting>
  <conditionalFormatting sqref="D33:E33 G33">
    <cfRule type="expression" priority="686" aboveAverage="0" equalAverage="0" bottom="0" percent="0" rank="0" text="" dxfId="2604">
      <formula>AND($L33="X",OR($B33&lt;&gt;"",#ref!&lt;&gt;"",$C33&lt;&gt;""))</formula>
    </cfRule>
    <cfRule type="expression" priority="687" aboveAverage="0" equalAverage="0" bottom="0" percent="0" rank="0" text="" dxfId="2605">
      <formula>AND($L33="X",OR($B33&lt;&gt;"",$C33&lt;&gt;"",$D33&lt;&gt;""))</formula>
    </cfRule>
    <cfRule type="expression" priority="688" aboveAverage="0" equalAverage="0" bottom="0" percent="0" rank="0" text="" dxfId="2606">
      <formula>AND($L33="X",OR($B33&lt;&gt;"",$C33&lt;&gt;"",$D33&lt;&gt;"",$E33&lt;&gt;""))</formula>
    </cfRule>
    <cfRule type="expression" priority="689" aboveAverage="0" equalAverage="0" bottom="0" percent="0" rank="0" text="" dxfId="2607">
      <formula>AND($L33="X",OR($B33&lt;&gt;"",$C33&lt;&gt;"",$E33&lt;&gt;"",#ref!&lt;&gt;""))</formula>
    </cfRule>
    <cfRule type="expression" priority="690" aboveAverage="0" equalAverage="0" bottom="0" percent="0" rank="0" text="" dxfId="2608">
      <formula>#ref!=1</formula>
    </cfRule>
    <cfRule type="expression" priority="691" aboveAverage="0" equalAverage="0" bottom="0" percent="0" rank="0" text="" dxfId="2609">
      <formula>AND($L33="X",OR($B33&lt;&gt;"",$C33&lt;&gt;"",$D33&lt;&gt;""))</formula>
    </cfRule>
    <cfRule type="expression" priority="692" aboveAverage="0" equalAverage="0" bottom="0" percent="0" rank="0" text="" dxfId="2610">
      <formula>AND($L33="X",OR($B33&lt;&gt;"",$C33&lt;&gt;"",$D33&lt;&gt;"",$E33&lt;&gt;""))</formula>
    </cfRule>
    <cfRule type="expression" priority="693" aboveAverage="0" equalAverage="0" bottom="0" percent="0" rank="0" text="" dxfId="2611">
      <formula>AND(#ref!=1,#ref!=1)</formula>
    </cfRule>
    <cfRule type="expression" priority="694" aboveAverage="0" equalAverage="0" bottom="0" percent="0" rank="0" text="" dxfId="2612">
      <formula>#ref!=1</formula>
    </cfRule>
    <cfRule type="expression" priority="695" aboveAverage="0" equalAverage="0" bottom="0" percent="0" rank="0" text="" dxfId="2613">
      <formula>#ref!=1</formula>
    </cfRule>
    <cfRule type="expression" priority="696" aboveAverage="0" equalAverage="0" bottom="0" percent="0" rank="0" text="" dxfId="2614">
      <formula>AND($L33="X",OR($B33&lt;&gt;"",$C33&lt;&gt;"",$E33&lt;&gt;"",#ref!&lt;&gt;""))</formula>
    </cfRule>
    <cfRule type="expression" priority="697" aboveAverage="0" equalAverage="0" bottom="0" percent="0" rank="0" text="" dxfId="2615">
      <formula>AND($L33="X",OR($B33&lt;&gt;"",$C33&lt;&gt;""))</formula>
    </cfRule>
    <cfRule type="expression" priority="698" aboveAverage="0" equalAverage="0" bottom="0" percent="0" rank="0" text="" dxfId="2616">
      <formula>AND($L33="X",OR($B33&lt;&gt;"",$C33&lt;&gt;"",$D33&lt;&gt;"",$E33&lt;&gt;""))</formula>
    </cfRule>
    <cfRule type="expression" priority="699" aboveAverage="0" equalAverage="0" bottom="0" percent="0" rank="0" text="" dxfId="2617">
      <formula>AND(#ref!=1,#ref!=1)</formula>
    </cfRule>
    <cfRule type="expression" priority="700" aboveAverage="0" equalAverage="0" bottom="0" percent="0" rank="0" text="" dxfId="2618">
      <formula>#ref!=1</formula>
    </cfRule>
    <cfRule type="expression" priority="701" aboveAverage="0" equalAverage="0" bottom="0" percent="0" rank="0" text="" dxfId="2619">
      <formula>#ref!=1</formula>
    </cfRule>
    <cfRule type="expression" priority="702" aboveAverage="0" equalAverage="0" bottom="0" percent="0" rank="0" text="" dxfId="2620">
      <formula>AND($L33="X",OR($B33&lt;&gt;"",$C33&lt;&gt;"",$E33&lt;&gt;"",#ref!&lt;&gt;""))</formula>
    </cfRule>
    <cfRule type="expression" priority="703" aboveAverage="0" equalAverage="0" bottom="0" percent="0" rank="0" text="" dxfId="2621">
      <formula>#ref!=1</formula>
    </cfRule>
    <cfRule type="expression" priority="704" aboveAverage="0" equalAverage="0" bottom="0" percent="0" rank="0" text="" dxfId="2622">
      <formula>AND($L33="X",OR($B33&lt;&gt;"",$C33&lt;&gt;"",$D33&lt;&gt;""))</formula>
    </cfRule>
    <cfRule type="expression" priority="705" aboveAverage="0" equalAverage="0" bottom="0" percent="0" rank="0" text="" dxfId="2623">
      <formula>AND($L33="X",OR($B33&lt;&gt;"",$C33&lt;&gt;"",$D33&lt;&gt;"",$E33&lt;&gt;""))</formula>
    </cfRule>
    <cfRule type="expression" priority="706" aboveAverage="0" equalAverage="0" bottom="0" percent="0" rank="0" text="" dxfId="2624">
      <formula>AND(#ref!=1,#ref!=1)</formula>
    </cfRule>
    <cfRule type="expression" priority="707" aboveAverage="0" equalAverage="0" bottom="0" percent="0" rank="0" text="" dxfId="2625">
      <formula>#ref!=1</formula>
    </cfRule>
    <cfRule type="expression" priority="708" aboveAverage="0" equalAverage="0" bottom="0" percent="0" rank="0" text="" dxfId="2626">
      <formula>AND($L33="X",OR($B33&lt;&gt;"",$C33&lt;&gt;"",$E33&lt;&gt;"",#ref!&lt;&gt;""))</formula>
    </cfRule>
    <cfRule type="expression" priority="709" aboveAverage="0" equalAverage="0" bottom="0" percent="0" rank="0" text="" dxfId="2627">
      <formula>AND($L33="X",OR($B33&lt;&gt;"",$C33&lt;&gt;""))</formula>
    </cfRule>
    <cfRule type="expression" priority="710" aboveAverage="0" equalAverage="0" bottom="0" percent="0" rank="0" text="" dxfId="2628">
      <formula>AND($L33="X",$B33&lt;&gt;"")</formula>
    </cfRule>
    <cfRule type="expression" priority="711" aboveAverage="0" equalAverage="0" bottom="0" percent="0" rank="0" text="" dxfId="2629">
      <formula>AND($L33="X",OR($B33&lt;&gt;"",$C33&lt;&gt;"",$D33&lt;&gt;""))</formula>
    </cfRule>
  </conditionalFormatting>
  <conditionalFormatting sqref="D123:E123 D133:G133">
    <cfRule type="expression" priority="712" aboveAverage="0" equalAverage="0" bottom="0" percent="0" rank="0" text="" dxfId="2630">
      <formula>#ref!=1</formula>
    </cfRule>
    <cfRule type="expression" priority="713" aboveAverage="0" equalAverage="0" bottom="0" percent="0" rank="0" text="" dxfId="2631">
      <formula>AND($L123="X",OR($B123&lt;&gt;"",$C123&lt;&gt;"",$D123&lt;&gt;""))</formula>
    </cfRule>
    <cfRule type="expression" priority="714" aboveAverage="0" equalAverage="0" bottom="0" percent="0" rank="0" text="" dxfId="2632">
      <formula>AND(#ref!=1,#ref!=1)</formula>
    </cfRule>
    <cfRule type="expression" priority="715" aboveAverage="0" equalAverage="0" bottom="0" percent="0" rank="0" text="" dxfId="2633">
      <formula>#ref!=1</formula>
    </cfRule>
  </conditionalFormatting>
  <conditionalFormatting sqref="D131:E131 E133:F133 F134:G134">
    <cfRule type="expression" priority="716" aboveAverage="0" equalAverage="0" bottom="0" percent="0" rank="0" text="" dxfId="2634">
      <formula>AND($L131="X",OR($B131&lt;&gt;"",#ref!&lt;&gt;"",$C131&lt;&gt;""))</formula>
    </cfRule>
    <cfRule type="expression" priority="717" aboveAverage="0" equalAverage="0" bottom="0" percent="0" rank="0" text="" dxfId="2635">
      <formula>AND($L131="X",OR($B131&lt;&gt;"",$C131&lt;&gt;""))</formula>
    </cfRule>
  </conditionalFormatting>
  <conditionalFormatting sqref="D192:E192 E193:E195 E196:F196">
    <cfRule type="expression" priority="718" aboveAverage="0" equalAverage="0" bottom="0" percent="0" rank="0" text="" dxfId="2636">
      <formula>AND($L192="X",OR($B192&lt;&gt;"",#ref!&lt;&gt;"",#ref!&lt;&gt;"",$C192&lt;&gt;""))</formula>
    </cfRule>
  </conditionalFormatting>
  <conditionalFormatting sqref="D20:G20">
    <cfRule type="expression" priority="719" aboveAverage="0" equalAverage="0" bottom="0" percent="0" rank="0" text="" dxfId="2637">
      <formula>AND(#ref!=1,#ref!=1)</formula>
    </cfRule>
    <cfRule type="expression" priority="720" aboveAverage="0" equalAverage="0" bottom="0" percent="0" rank="0" text="" dxfId="2638">
      <formula>#ref!=1</formula>
    </cfRule>
    <cfRule type="expression" priority="721" aboveAverage="0" equalAverage="0" bottom="0" percent="0" rank="0" text="" dxfId="2639">
      <formula>#ref!=1</formula>
    </cfRule>
    <cfRule type="expression" priority="722" aboveAverage="0" equalAverage="0" bottom="0" percent="0" rank="0" text="" dxfId="2640">
      <formula>AND($L20="X",OR($B20&lt;&gt;"",$C20&lt;&gt;""))</formula>
    </cfRule>
    <cfRule type="expression" priority="723" aboveAverage="0" equalAverage="0" bottom="0" percent="0" rank="0" text="" dxfId="2641">
      <formula>AND(#ref!=1,#ref!=1)</formula>
    </cfRule>
    <cfRule type="expression" priority="724" aboveAverage="0" equalAverage="0" bottom="0" percent="0" rank="0" text="" dxfId="2642">
      <formula>#ref!=1</formula>
    </cfRule>
    <cfRule type="expression" priority="725" aboveAverage="0" equalAverage="0" bottom="0" percent="0" rank="0" text="" dxfId="2643">
      <formula>#ref!=1</formula>
    </cfRule>
    <cfRule type="expression" priority="726" aboveAverage="0" equalAverage="0" bottom="0" percent="0" rank="0" text="" dxfId="2644">
      <formula>AND($L20="X",OR($B20&lt;&gt;"",$C20&lt;&gt;""))</formula>
    </cfRule>
    <cfRule type="expression" priority="727" aboveAverage="0" equalAverage="0" bottom="0" percent="0" rank="0" text="" dxfId="2645">
      <formula>AND(#ref!=1,#ref!=1)</formula>
    </cfRule>
    <cfRule type="expression" priority="728" aboveAverage="0" equalAverage="0" bottom="0" percent="0" rank="0" text="" dxfId="2646">
      <formula>#ref!=1</formula>
    </cfRule>
    <cfRule type="expression" priority="729" aboveAverage="0" equalAverage="0" bottom="0" percent="0" rank="0" text="" dxfId="2647">
      <formula>#ref!=1</formula>
    </cfRule>
    <cfRule type="expression" priority="730" aboveAverage="0" equalAverage="0" bottom="0" percent="0" rank="0" text="" dxfId="2648">
      <formula>AND($L20="X",OR($B20&lt;&gt;"",$C20&lt;&gt;""))</formula>
    </cfRule>
    <cfRule type="expression" priority="731" aboveAverage="0" equalAverage="0" bottom="0" percent="0" rank="0" text="" dxfId="2649">
      <formula>AND(#ref!=1,#ref!=1)</formula>
    </cfRule>
    <cfRule type="expression" priority="732" aboveAverage="0" equalAverage="0" bottom="0" percent="0" rank="0" text="" dxfId="2650">
      <formula>#ref!=1</formula>
    </cfRule>
    <cfRule type="expression" priority="733" aboveAverage="0" equalAverage="0" bottom="0" percent="0" rank="0" text="" dxfId="2651">
      <formula>#ref!=1</formula>
    </cfRule>
    <cfRule type="expression" priority="734" aboveAverage="0" equalAverage="0" bottom="0" percent="0" rank="0" text="" dxfId="2652">
      <formula>AND($L20="X",OR($B20&lt;&gt;"",$C20&lt;&gt;""))</formula>
    </cfRule>
    <cfRule type="expression" priority="735" aboveAverage="0" equalAverage="0" bottom="0" percent="0" rank="0" text="" dxfId="2653">
      <formula>AND(#ref!=1,#ref!=1)</formula>
    </cfRule>
    <cfRule type="expression" priority="736" aboveAverage="0" equalAverage="0" bottom="0" percent="0" rank="0" text="" dxfId="2654">
      <formula>#ref!=1</formula>
    </cfRule>
    <cfRule type="expression" priority="737" aboveAverage="0" equalAverage="0" bottom="0" percent="0" rank="0" text="" dxfId="2655">
      <formula>#ref!=1</formula>
    </cfRule>
    <cfRule type="expression" priority="738" aboveAverage="0" equalAverage="0" bottom="0" percent="0" rank="0" text="" dxfId="2656">
      <formula>AND($L20="X",OR($B20&lt;&gt;"",$C20&lt;&gt;""))</formula>
    </cfRule>
    <cfRule type="expression" priority="739" aboveAverage="0" equalAverage="0" bottom="0" percent="0" rank="0" text="" dxfId="2657">
      <formula>AND(#ref!=1,#ref!=1)</formula>
    </cfRule>
    <cfRule type="expression" priority="740" aboveAverage="0" equalAverage="0" bottom="0" percent="0" rank="0" text="" dxfId="2658">
      <formula>#ref!=1</formula>
    </cfRule>
    <cfRule type="expression" priority="741" aboveAverage="0" equalAverage="0" bottom="0" percent="0" rank="0" text="" dxfId="2659">
      <formula>#ref!=1</formula>
    </cfRule>
    <cfRule type="expression" priority="742" aboveAverage="0" equalAverage="0" bottom="0" percent="0" rank="0" text="" dxfId="2660">
      <formula>AND($L20="X",OR($B20&lt;&gt;"",$C20&lt;&gt;""))</formula>
    </cfRule>
    <cfRule type="expression" priority="743" aboveAverage="0" equalAverage="0" bottom="0" percent="0" rank="0" text="" dxfId="2661">
      <formula>AND(#ref!=1,#ref!=1)</formula>
    </cfRule>
    <cfRule type="expression" priority="744" aboveAverage="0" equalAverage="0" bottom="0" percent="0" rank="0" text="" dxfId="2662">
      <formula>#ref!=1</formula>
    </cfRule>
    <cfRule type="expression" priority="745" aboveAverage="0" equalAverage="0" bottom="0" percent="0" rank="0" text="" dxfId="2663">
      <formula>#ref!=1</formula>
    </cfRule>
    <cfRule type="expression" priority="746" aboveAverage="0" equalAverage="0" bottom="0" percent="0" rank="0" text="" dxfId="2664">
      <formula>OR(#ref!="X",#ref!="X")</formula>
    </cfRule>
    <cfRule type="expression" priority="747" aboveAverage="0" equalAverage="0" bottom="0" percent="0" rank="0" text="" dxfId="2665">
      <formula>AND(#ref!=1,#ref!=1)</formula>
    </cfRule>
    <cfRule type="expression" priority="748" aboveAverage="0" equalAverage="0" bottom="0" percent="0" rank="0" text="" dxfId="2666">
      <formula>#ref!=1</formula>
    </cfRule>
    <cfRule type="expression" priority="749" aboveAverage="0" equalAverage="0" bottom="0" percent="0" rank="0" text="" dxfId="2667">
      <formula>#ref!=1</formula>
    </cfRule>
    <cfRule type="expression" priority="750" aboveAverage="0" equalAverage="0" bottom="0" percent="0" rank="0" text="" dxfId="2668">
      <formula>OR(#ref!="X",#ref!="X")</formula>
    </cfRule>
    <cfRule type="expression" priority="751" aboveAverage="0" equalAverage="0" bottom="0" percent="0" rank="0" text="" dxfId="2669">
      <formula>AND(#ref!=1,#ref!=1)</formula>
    </cfRule>
    <cfRule type="expression" priority="752" aboveAverage="0" equalAverage="0" bottom="0" percent="0" rank="0" text="" dxfId="2670">
      <formula>#ref!=1</formula>
    </cfRule>
  </conditionalFormatting>
  <conditionalFormatting sqref="D20:G22">
    <cfRule type="expression" priority="753" aboveAverage="0" equalAverage="0" bottom="0" percent="0" rank="0" text="" dxfId="2671">
      <formula>AND($L20="X",OR($B20&lt;&gt;"",$C20&lt;&gt;"",$D20&lt;&gt;"",$E20&lt;&gt;""))</formula>
    </cfRule>
    <cfRule type="expression" priority="754" aboveAverage="0" equalAverage="0" bottom="0" percent="0" rank="0" text="" dxfId="2672">
      <formula>AND($L20="X",OR($B20&lt;&gt;"",#ref!&lt;&gt;"",$C20&lt;&gt;"",$D20&lt;&gt;""))</formula>
    </cfRule>
  </conditionalFormatting>
  <conditionalFormatting sqref="D21:G22">
    <cfRule type="expression" priority="755" aboveAverage="0" equalAverage="0" bottom="0" percent="0" rank="0" text="" dxfId="2673">
      <formula>AND(#ref!=1,#ref!=1)</formula>
    </cfRule>
    <cfRule type="expression" priority="756" aboveAverage="0" equalAverage="0" bottom="0" percent="0" rank="0" text="" dxfId="2674">
      <formula>#ref!=1</formula>
    </cfRule>
    <cfRule type="expression" priority="757" aboveAverage="0" equalAverage="0" bottom="0" percent="0" rank="0" text="" dxfId="2675">
      <formula>#ref!=1</formula>
    </cfRule>
    <cfRule type="expression" priority="758" aboveAverage="0" equalAverage="0" bottom="0" percent="0" rank="0" text="" dxfId="2676">
      <formula>AND($L21="X",OR($B21&lt;&gt;"",$C21&lt;&gt;""))</formula>
    </cfRule>
    <cfRule type="expression" priority="759" aboveAverage="0" equalAverage="0" bottom="0" percent="0" rank="0" text="" dxfId="2677">
      <formula>AND(#ref!=1,#ref!=1)</formula>
    </cfRule>
    <cfRule type="expression" priority="760" aboveAverage="0" equalAverage="0" bottom="0" percent="0" rank="0" text="" dxfId="2678">
      <formula>#ref!=1</formula>
    </cfRule>
    <cfRule type="expression" priority="761" aboveAverage="0" equalAverage="0" bottom="0" percent="0" rank="0" text="" dxfId="2679">
      <formula>#ref!=1</formula>
    </cfRule>
    <cfRule type="expression" priority="762" aboveAverage="0" equalAverage="0" bottom="0" percent="0" rank="0" text="" dxfId="2680">
      <formula>AND($L21="X",OR($B21&lt;&gt;"",$C21&lt;&gt;""))</formula>
    </cfRule>
    <cfRule type="expression" priority="763" aboveAverage="0" equalAverage="0" bottom="0" percent="0" rank="0" text="" dxfId="2681">
      <formula>AND(#ref!=1,#ref!=1)</formula>
    </cfRule>
    <cfRule type="expression" priority="764" aboveAverage="0" equalAverage="0" bottom="0" percent="0" rank="0" text="" dxfId="2682">
      <formula>#ref!=1</formula>
    </cfRule>
    <cfRule type="expression" priority="765" aboveAverage="0" equalAverage="0" bottom="0" percent="0" rank="0" text="" dxfId="2683">
      <formula>#ref!=1</formula>
    </cfRule>
    <cfRule type="expression" priority="766" aboveAverage="0" equalAverage="0" bottom="0" percent="0" rank="0" text="" dxfId="2684">
      <formula>AND($L21="X",OR($B21&lt;&gt;"",$C21&lt;&gt;""))</formula>
    </cfRule>
    <cfRule type="expression" priority="767" aboveAverage="0" equalAverage="0" bottom="0" percent="0" rank="0" text="" dxfId="2685">
      <formula>AND(#ref!=1,#ref!=1)</formula>
    </cfRule>
    <cfRule type="expression" priority="768" aboveAverage="0" equalAverage="0" bottom="0" percent="0" rank="0" text="" dxfId="2686">
      <formula>#ref!=1</formula>
    </cfRule>
    <cfRule type="expression" priority="769" aboveAverage="0" equalAverage="0" bottom="0" percent="0" rank="0" text="" dxfId="2687">
      <formula>#ref!=1</formula>
    </cfRule>
    <cfRule type="expression" priority="770" aboveAverage="0" equalAverage="0" bottom="0" percent="0" rank="0" text="" dxfId="2688">
      <formula>AND($L21="X",OR($B21&lt;&gt;"",$C21&lt;&gt;""))</formula>
    </cfRule>
    <cfRule type="expression" priority="771" aboveAverage="0" equalAverage="0" bottom="0" percent="0" rank="0" text="" dxfId="2689">
      <formula>AND(#ref!=1,#ref!=1)</formula>
    </cfRule>
    <cfRule type="expression" priority="772" aboveAverage="0" equalAverage="0" bottom="0" percent="0" rank="0" text="" dxfId="2690">
      <formula>#ref!=1</formula>
    </cfRule>
    <cfRule type="expression" priority="773" aboveAverage="0" equalAverage="0" bottom="0" percent="0" rank="0" text="" dxfId="2691">
      <formula>#ref!=1</formula>
    </cfRule>
    <cfRule type="expression" priority="774" aboveAverage="0" equalAverage="0" bottom="0" percent="0" rank="0" text="" dxfId="2692">
      <formula>AND($L21="X",OR($B21&lt;&gt;"",$C21&lt;&gt;""))</formula>
    </cfRule>
    <cfRule type="expression" priority="775" aboveAverage="0" equalAverage="0" bottom="0" percent="0" rank="0" text="" dxfId="2693">
      <formula>AND(#ref!=1,#ref!=1)</formula>
    </cfRule>
    <cfRule type="expression" priority="776" aboveAverage="0" equalAverage="0" bottom="0" percent="0" rank="0" text="" dxfId="2694">
      <formula>#ref!=1</formula>
    </cfRule>
    <cfRule type="expression" priority="777" aboveAverage="0" equalAverage="0" bottom="0" percent="0" rank="0" text="" dxfId="2695">
      <formula>#ref!=1</formula>
    </cfRule>
    <cfRule type="expression" priority="778" aboveAverage="0" equalAverage="0" bottom="0" percent="0" rank="0" text="" dxfId="2696">
      <formula>AND($L21="X",OR($B21&lt;&gt;"",$C21&lt;&gt;""))</formula>
    </cfRule>
    <cfRule type="expression" priority="779" aboveAverage="0" equalAverage="0" bottom="0" percent="0" rank="0" text="" dxfId="2697">
      <formula>AND(#ref!=1,#ref!=1)</formula>
    </cfRule>
    <cfRule type="expression" priority="780" aboveAverage="0" equalAverage="0" bottom="0" percent="0" rank="0" text="" dxfId="2698">
      <formula>#ref!=1</formula>
    </cfRule>
    <cfRule type="expression" priority="781" aboveAverage="0" equalAverage="0" bottom="0" percent="0" rank="0" text="" dxfId="2699">
      <formula>#ref!=1</formula>
    </cfRule>
    <cfRule type="expression" priority="782" aboveAverage="0" equalAverage="0" bottom="0" percent="0" rank="0" text="" dxfId="2700">
      <formula>OR(#ref!="X",#ref!="X")</formula>
    </cfRule>
    <cfRule type="expression" priority="783" aboveAverage="0" equalAverage="0" bottom="0" percent="0" rank="0" text="" dxfId="2701">
      <formula>AND(#ref!=1,#ref!=1)</formula>
    </cfRule>
    <cfRule type="expression" priority="784" aboveAverage="0" equalAverage="0" bottom="0" percent="0" rank="0" text="" dxfId="2702">
      <formula>#ref!=1</formula>
    </cfRule>
    <cfRule type="expression" priority="785" aboveAverage="0" equalAverage="0" bottom="0" percent="0" rank="0" text="" dxfId="2703">
      <formula>#ref!=1</formula>
    </cfRule>
    <cfRule type="expression" priority="786" aboveAverage="0" equalAverage="0" bottom="0" percent="0" rank="0" text="" dxfId="2704">
      <formula>OR(#ref!="X",#ref!="X")</formula>
    </cfRule>
    <cfRule type="expression" priority="787" aboveAverage="0" equalAverage="0" bottom="0" percent="0" rank="0" text="" dxfId="2705">
      <formula>AND(#ref!=1,#ref!=1)</formula>
    </cfRule>
    <cfRule type="expression" priority="788" aboveAverage="0" equalAverage="0" bottom="0" percent="0" rank="0" text="" dxfId="2706">
      <formula>#ref!=1</formula>
    </cfRule>
  </conditionalFormatting>
  <conditionalFormatting sqref="D23:G23 D25:G26 D117:G117">
    <cfRule type="expression" priority="789" aboveAverage="0" equalAverage="0" bottom="0" percent="0" rank="0" text="" dxfId="2707">
      <formula>AND($L23="X",OR($B23&lt;&gt;"",$C23&lt;&gt;""))</formula>
    </cfRule>
    <cfRule type="expression" priority="790" aboveAverage="0" equalAverage="0" bottom="0" percent="0" rank="0" text="" dxfId="2708">
      <formula>AND(#ref!=1,#ref!=1)</formula>
    </cfRule>
    <cfRule type="expression" priority="791" aboveAverage="0" equalAverage="0" bottom="0" percent="0" rank="0" text="" dxfId="2709">
      <formula>#ref!=1</formula>
    </cfRule>
    <cfRule type="expression" priority="792" aboveAverage="0" equalAverage="0" bottom="0" percent="0" rank="0" text="" dxfId="2710">
      <formula>#ref!=1</formula>
    </cfRule>
    <cfRule type="expression" priority="793" aboveAverage="0" equalAverage="0" bottom="0" percent="0" rank="0" text="" dxfId="2711">
      <formula>AND($L23="X",OR($B23&lt;&gt;"",$C23&lt;&gt;""))</formula>
    </cfRule>
    <cfRule type="expression" priority="794" aboveAverage="0" equalAverage="0" bottom="0" percent="0" rank="0" text="" dxfId="2712">
      <formula>AND(#ref!=1,#ref!=1)</formula>
    </cfRule>
    <cfRule type="expression" priority="795" aboveAverage="0" equalAverage="0" bottom="0" percent="0" rank="0" text="" dxfId="2713">
      <formula>#ref!=1</formula>
    </cfRule>
    <cfRule type="expression" priority="796" aboveAverage="0" equalAverage="0" bottom="0" percent="0" rank="0" text="" dxfId="2714">
      <formula>#ref!=1</formula>
    </cfRule>
    <cfRule type="expression" priority="797" aboveAverage="0" equalAverage="0" bottom="0" percent="0" rank="0" text="" dxfId="2715">
      <formula>AND($L23="X",OR($B23&lt;&gt;"",$C23&lt;&gt;""))</formula>
    </cfRule>
    <cfRule type="expression" priority="798" aboveAverage="0" equalAverage="0" bottom="0" percent="0" rank="0" text="" dxfId="2716">
      <formula>AND(#ref!=1,#ref!=1)</formula>
    </cfRule>
    <cfRule type="expression" priority="799" aboveAverage="0" equalAverage="0" bottom="0" percent="0" rank="0" text="" dxfId="2717">
      <formula>#ref!=1</formula>
    </cfRule>
    <cfRule type="expression" priority="800" aboveAverage="0" equalAverage="0" bottom="0" percent="0" rank="0" text="" dxfId="2718">
      <formula>#ref!=1</formula>
    </cfRule>
    <cfRule type="expression" priority="801" aboveAverage="0" equalAverage="0" bottom="0" percent="0" rank="0" text="" dxfId="2719">
      <formula>AND($L23="X",OR($B23&lt;&gt;"",$C23&lt;&gt;""))</formula>
    </cfRule>
    <cfRule type="expression" priority="802" aboveAverage="0" equalAverage="0" bottom="0" percent="0" rank="0" text="" dxfId="2720">
      <formula>AND(#ref!=1,#ref!=1)</formula>
    </cfRule>
    <cfRule type="expression" priority="803" aboveAverage="0" equalAverage="0" bottom="0" percent="0" rank="0" text="" dxfId="2721">
      <formula>#ref!=1</formula>
    </cfRule>
    <cfRule type="expression" priority="804" aboveAverage="0" equalAverage="0" bottom="0" percent="0" rank="0" text="" dxfId="2722">
      <formula>#ref!=1</formula>
    </cfRule>
    <cfRule type="expression" priority="805" aboveAverage="0" equalAverage="0" bottom="0" percent="0" rank="0" text="" dxfId="2723">
      <formula>AND($L23="X",OR($B23&lt;&gt;"",$C23&lt;&gt;""))</formula>
    </cfRule>
    <cfRule type="expression" priority="806" aboveAverage="0" equalAverage="0" bottom="0" percent="0" rank="0" text="" dxfId="2724">
      <formula>AND(#ref!=1,#ref!=1)</formula>
    </cfRule>
    <cfRule type="expression" priority="807" aboveAverage="0" equalAverage="0" bottom="0" percent="0" rank="0" text="" dxfId="2725">
      <formula>#ref!=1</formula>
    </cfRule>
    <cfRule type="expression" priority="808" aboveAverage="0" equalAverage="0" bottom="0" percent="0" rank="0" text="" dxfId="2726">
      <formula>#ref!=1</formula>
    </cfRule>
    <cfRule type="expression" priority="809" aboveAverage="0" equalAverage="0" bottom="0" percent="0" rank="0" text="" dxfId="2727">
      <formula>AND($L23="X",OR($B23&lt;&gt;"",$C23&lt;&gt;""))</formula>
    </cfRule>
    <cfRule type="expression" priority="810" aboveAverage="0" equalAverage="0" bottom="0" percent="0" rank="0" text="" dxfId="2728">
      <formula>AND(#ref!=1,#ref!=1)</formula>
    </cfRule>
    <cfRule type="expression" priority="811" aboveAverage="0" equalAverage="0" bottom="0" percent="0" rank="0" text="" dxfId="2729">
      <formula>#ref!=1</formula>
    </cfRule>
    <cfRule type="expression" priority="812" aboveAverage="0" equalAverage="0" bottom="0" percent="0" rank="0" text="" dxfId="2730">
      <formula>#ref!=1</formula>
    </cfRule>
    <cfRule type="expression" priority="813" aboveAverage="0" equalAverage="0" bottom="0" percent="0" rank="0" text="" dxfId="2731">
      <formula>OR(#ref!="X",#ref!="X")</formula>
    </cfRule>
    <cfRule type="expression" priority="814" aboveAverage="0" equalAverage="0" bottom="0" percent="0" rank="0" text="" dxfId="2732">
      <formula>AND(#ref!=1,#ref!=1)</formula>
    </cfRule>
    <cfRule type="expression" priority="815" aboveAverage="0" equalAverage="0" bottom="0" percent="0" rank="0" text="" dxfId="2733">
      <formula>#ref!=1</formula>
    </cfRule>
    <cfRule type="expression" priority="816" aboveAverage="0" equalAverage="0" bottom="0" percent="0" rank="0" text="" dxfId="2734">
      <formula>#ref!=1</formula>
    </cfRule>
    <cfRule type="expression" priority="817" aboveAverage="0" equalAverage="0" bottom="0" percent="0" rank="0" text="" dxfId="2735">
      <formula>OR(#ref!="X",#ref!="X")</formula>
    </cfRule>
    <cfRule type="expression" priority="818" aboveAverage="0" equalAverage="0" bottom="0" percent="0" rank="0" text="" dxfId="2736">
      <formula>AND(#ref!=1,#ref!=1)</formula>
    </cfRule>
    <cfRule type="expression" priority="819" aboveAverage="0" equalAverage="0" bottom="0" percent="0" rank="0" text="" dxfId="2737">
      <formula>#ref!=1</formula>
    </cfRule>
  </conditionalFormatting>
  <conditionalFormatting sqref="D23:G24 D27:G27">
    <cfRule type="expression" priority="820" aboveAverage="0" equalAverage="0" bottom="0" percent="0" rank="0" text="" dxfId="2738">
      <formula>AND(#ref!=1,#ref!=1)</formula>
    </cfRule>
    <cfRule type="expression" priority="821" aboveAverage="0" equalAverage="0" bottom="0" percent="0" rank="0" text="" dxfId="2739">
      <formula>#ref!=1</formula>
    </cfRule>
  </conditionalFormatting>
  <conditionalFormatting sqref="D24:G24 D27:G27">
    <cfRule type="expression" priority="822" aboveAverage="0" equalAverage="0" bottom="0" percent="0" rank="0" text="" dxfId="2740">
      <formula>#ref!=1</formula>
    </cfRule>
    <cfRule type="expression" priority="823" aboveAverage="0" equalAverage="0" bottom="0" percent="0" rank="0" text="" dxfId="2741">
      <formula>AND($L24="X",OR($B24&lt;&gt;"",$C24&lt;&gt;""))</formula>
    </cfRule>
    <cfRule type="expression" priority="824" aboveAverage="0" equalAverage="0" bottom="0" percent="0" rank="0" text="" dxfId="2742">
      <formula>AND(#ref!=1,#ref!=1)</formula>
    </cfRule>
    <cfRule type="expression" priority="825" aboveAverage="0" equalAverage="0" bottom="0" percent="0" rank="0" text="" dxfId="2743">
      <formula>#ref!=1</formula>
    </cfRule>
    <cfRule type="expression" priority="826" aboveAverage="0" equalAverage="0" bottom="0" percent="0" rank="0" text="" dxfId="2744">
      <formula>#ref!=1</formula>
    </cfRule>
    <cfRule type="expression" priority="827" aboveAverage="0" equalAverage="0" bottom="0" percent="0" rank="0" text="" dxfId="2745">
      <formula>AND($L24="X",OR($B24&lt;&gt;"",$C24&lt;&gt;""))</formula>
    </cfRule>
    <cfRule type="expression" priority="828" aboveAverage="0" equalAverage="0" bottom="0" percent="0" rank="0" text="" dxfId="2746">
      <formula>AND(#ref!=1,#ref!=1)</formula>
    </cfRule>
    <cfRule type="expression" priority="829" aboveAverage="0" equalAverage="0" bottom="0" percent="0" rank="0" text="" dxfId="2747">
      <formula>#ref!=1</formula>
    </cfRule>
    <cfRule type="expression" priority="830" aboveAverage="0" equalAverage="0" bottom="0" percent="0" rank="0" text="" dxfId="2748">
      <formula>#ref!=1</formula>
    </cfRule>
    <cfRule type="expression" priority="831" aboveAverage="0" equalAverage="0" bottom="0" percent="0" rank="0" text="" dxfId="2749">
      <formula>AND($L24="X",OR($B24&lt;&gt;"",$C24&lt;&gt;""))</formula>
    </cfRule>
    <cfRule type="expression" priority="832" aboveAverage="0" equalAverage="0" bottom="0" percent="0" rank="0" text="" dxfId="2750">
      <formula>AND(#ref!=1,#ref!=1)</formula>
    </cfRule>
    <cfRule type="expression" priority="833" aboveAverage="0" equalAverage="0" bottom="0" percent="0" rank="0" text="" dxfId="2751">
      <formula>#ref!=1</formula>
    </cfRule>
    <cfRule type="expression" priority="834" aboveAverage="0" equalAverage="0" bottom="0" percent="0" rank="0" text="" dxfId="2752">
      <formula>#ref!=1</formula>
    </cfRule>
    <cfRule type="expression" priority="835" aboveAverage="0" equalAverage="0" bottom="0" percent="0" rank="0" text="" dxfId="2753">
      <formula>AND($L24="X",OR($B24&lt;&gt;"",$C24&lt;&gt;""))</formula>
    </cfRule>
    <cfRule type="expression" priority="836" aboveAverage="0" equalAverage="0" bottom="0" percent="0" rank="0" text="" dxfId="2754">
      <formula>AND(#ref!=1,#ref!=1)</formula>
    </cfRule>
    <cfRule type="expression" priority="837" aboveAverage="0" equalAverage="0" bottom="0" percent="0" rank="0" text="" dxfId="2755">
      <formula>#ref!=1</formula>
    </cfRule>
    <cfRule type="expression" priority="838" aboveAverage="0" equalAverage="0" bottom="0" percent="0" rank="0" text="" dxfId="2756">
      <formula>#ref!=1</formula>
    </cfRule>
    <cfRule type="expression" priority="839" aboveAverage="0" equalAverage="0" bottom="0" percent="0" rank="0" text="" dxfId="2757">
      <formula>AND($L24="X",OR($B24&lt;&gt;"",$C24&lt;&gt;""))</formula>
    </cfRule>
    <cfRule type="expression" priority="840" aboveAverage="0" equalAverage="0" bottom="0" percent="0" rank="0" text="" dxfId="2758">
      <formula>AND(#ref!=1,#ref!=1)</formula>
    </cfRule>
    <cfRule type="expression" priority="841" aboveAverage="0" equalAverage="0" bottom="0" percent="0" rank="0" text="" dxfId="2759">
      <formula>#ref!=1</formula>
    </cfRule>
    <cfRule type="expression" priority="842" aboveAverage="0" equalAverage="0" bottom="0" percent="0" rank="0" text="" dxfId="2760">
      <formula>#ref!=1</formula>
    </cfRule>
    <cfRule type="expression" priority="843" aboveAverage="0" equalAverage="0" bottom="0" percent="0" rank="0" text="" dxfId="2761">
      <formula>AND($L24="X",OR($B24&lt;&gt;"",$C24&lt;&gt;""))</formula>
    </cfRule>
    <cfRule type="expression" priority="844" aboveAverage="0" equalAverage="0" bottom="0" percent="0" rank="0" text="" dxfId="2762">
      <formula>AND(#ref!=1,#ref!=1)</formula>
    </cfRule>
    <cfRule type="expression" priority="845" aboveAverage="0" equalAverage="0" bottom="0" percent="0" rank="0" text="" dxfId="2763">
      <formula>#ref!=1</formula>
    </cfRule>
    <cfRule type="expression" priority="846" aboveAverage="0" equalAverage="0" bottom="0" percent="0" rank="0" text="" dxfId="2764">
      <formula>#ref!=1</formula>
    </cfRule>
    <cfRule type="expression" priority="847" aboveAverage="0" equalAverage="0" bottom="0" percent="0" rank="0" text="" dxfId="2765">
      <formula>OR(#ref!="X",#ref!="X")</formula>
    </cfRule>
    <cfRule type="expression" priority="848" aboveAverage="0" equalAverage="0" bottom="0" percent="0" rank="0" text="" dxfId="2766">
      <formula>AND(#ref!=1,#ref!=1)</formula>
    </cfRule>
    <cfRule type="expression" priority="849" aboveAverage="0" equalAverage="0" bottom="0" percent="0" rank="0" text="" dxfId="2767">
      <formula>#ref!=1</formula>
    </cfRule>
    <cfRule type="expression" priority="850" aboveAverage="0" equalAverage="0" bottom="0" percent="0" rank="0" text="" dxfId="2768">
      <formula>#ref!=1</formula>
    </cfRule>
    <cfRule type="expression" priority="851" aboveAverage="0" equalAverage="0" bottom="0" percent="0" rank="0" text="" dxfId="2769">
      <formula>OR(#ref!="X",#ref!="X")</formula>
    </cfRule>
    <cfRule type="expression" priority="852" aboveAverage="0" equalAverage="0" bottom="0" percent="0" rank="0" text="" dxfId="2770">
      <formula>AND(#ref!=1,#ref!=1)</formula>
    </cfRule>
    <cfRule type="expression" priority="853" aboveAverage="0" equalAverage="0" bottom="0" percent="0" rank="0" text="" dxfId="2771">
      <formula>#ref!=1</formula>
    </cfRule>
  </conditionalFormatting>
  <conditionalFormatting sqref="D25:G26 D117:G117 D23:G23">
    <cfRule type="expression" priority="854" aboveAverage="0" equalAverage="0" bottom="0" percent="0" rank="0" text="" dxfId="2772">
      <formula>#ref!=1</formula>
    </cfRule>
  </conditionalFormatting>
  <conditionalFormatting sqref="D25:G26 D117:G117">
    <cfRule type="expression" priority="855" aboveAverage="0" equalAverage="0" bottom="0" percent="0" rank="0" text="" dxfId="2773">
      <formula>AND(#ref!=1,#ref!=1)</formula>
    </cfRule>
    <cfRule type="expression" priority="856" aboveAverage="0" equalAverage="0" bottom="0" percent="0" rank="0" text="" dxfId="2774">
      <formula>#ref!=1</formula>
    </cfRule>
  </conditionalFormatting>
  <conditionalFormatting sqref="D25:G27 B101:G134 B144:D145 F144:G145">
    <cfRule type="expression" priority="857" aboveAverage="0" equalAverage="0" bottom="0" percent="0" rank="0" text="" dxfId="2775">
      <formula>AND(#ref!=1,#ref!=1)</formula>
    </cfRule>
    <cfRule type="expression" priority="858" aboveAverage="0" equalAverage="0" bottom="0" percent="0" rank="0" text="" dxfId="2776">
      <formula>#ref!=1</formula>
    </cfRule>
  </conditionalFormatting>
  <conditionalFormatting sqref="D33:G33 E45:G45 D55:G55 E86:G86">
    <cfRule type="expression" priority="859" aboveAverage="0" equalAverage="0" bottom="0" percent="0" rank="0" text="" dxfId="2777">
      <formula>AND(#ref!=1,#ref!=1)</formula>
    </cfRule>
    <cfRule type="expression" priority="860" aboveAverage="0" equalAverage="0" bottom="0" percent="0" rank="0" text="" dxfId="2778">
      <formula>#ref!=1</formula>
    </cfRule>
    <cfRule type="expression" priority="861" aboveAverage="0" equalAverage="0" bottom="0" percent="0" rank="0" text="" dxfId="2779">
      <formula>#ref!=1</formula>
    </cfRule>
    <cfRule type="expression" priority="862" aboveAverage="0" equalAverage="0" bottom="0" percent="0" rank="0" text="" dxfId="2780">
      <formula>AND($L33="X",OR($B33&lt;&gt;"",$C33&lt;&gt;""))</formula>
    </cfRule>
    <cfRule type="expression" priority="863" aboveAverage="0" equalAverage="0" bottom="0" percent="0" rank="0" text="" dxfId="2781">
      <formula>AND(#ref!=1,#ref!=1)</formula>
    </cfRule>
    <cfRule type="expression" priority="864" aboveAverage="0" equalAverage="0" bottom="0" percent="0" rank="0" text="" dxfId="2782">
      <formula>#ref!=1</formula>
    </cfRule>
    <cfRule type="expression" priority="865" aboveAverage="0" equalAverage="0" bottom="0" percent="0" rank="0" text="" dxfId="2783">
      <formula>#ref!=1</formula>
    </cfRule>
    <cfRule type="expression" priority="866" aboveAverage="0" equalAverage="0" bottom="0" percent="0" rank="0" text="" dxfId="2784">
      <formula>AND($L33="X",OR($B33&lt;&gt;"",$C33&lt;&gt;""))</formula>
    </cfRule>
    <cfRule type="expression" priority="867" aboveAverage="0" equalAverage="0" bottom="0" percent="0" rank="0" text="" dxfId="2785">
      <formula>AND(#ref!=1,#ref!=1)</formula>
    </cfRule>
    <cfRule type="expression" priority="868" aboveAverage="0" equalAverage="0" bottom="0" percent="0" rank="0" text="" dxfId="2786">
      <formula>#ref!=1</formula>
    </cfRule>
    <cfRule type="expression" priority="869" aboveAverage="0" equalAverage="0" bottom="0" percent="0" rank="0" text="" dxfId="2787">
      <formula>#ref!=1</formula>
    </cfRule>
    <cfRule type="expression" priority="870" aboveAverage="0" equalAverage="0" bottom="0" percent="0" rank="0" text="" dxfId="2788">
      <formula>AND($L33="X",OR($B33&lt;&gt;"",$C33&lt;&gt;""))</formula>
    </cfRule>
    <cfRule type="expression" priority="871" aboveAverage="0" equalAverage="0" bottom="0" percent="0" rank="0" text="" dxfId="2789">
      <formula>AND(#ref!=1,#ref!=1)</formula>
    </cfRule>
    <cfRule type="expression" priority="872" aboveAverage="0" equalAverage="0" bottom="0" percent="0" rank="0" text="" dxfId="2790">
      <formula>#ref!=1</formula>
    </cfRule>
    <cfRule type="expression" priority="873" aboveAverage="0" equalAverage="0" bottom="0" percent="0" rank="0" text="" dxfId="2791">
      <formula>#ref!=1</formula>
    </cfRule>
    <cfRule type="expression" priority="874" aboveAverage="0" equalAverage="0" bottom="0" percent="0" rank="0" text="" dxfId="2792">
      <formula>AND($L33="X",OR($B33&lt;&gt;"",$C33&lt;&gt;""))</formula>
    </cfRule>
    <cfRule type="expression" priority="875" aboveAverage="0" equalAverage="0" bottom="0" percent="0" rank="0" text="" dxfId="2793">
      <formula>AND(#ref!=1,#ref!=1)</formula>
    </cfRule>
    <cfRule type="expression" priority="876" aboveAverage="0" equalAverage="0" bottom="0" percent="0" rank="0" text="" dxfId="2794">
      <formula>#ref!=1</formula>
    </cfRule>
    <cfRule type="expression" priority="877" aboveAverage="0" equalAverage="0" bottom="0" percent="0" rank="0" text="" dxfId="2795">
      <formula>#ref!=1</formula>
    </cfRule>
    <cfRule type="expression" priority="878" aboveAverage="0" equalAverage="0" bottom="0" percent="0" rank="0" text="" dxfId="2796">
      <formula>AND($L33="X",OR($B33&lt;&gt;"",$C33&lt;&gt;""))</formula>
    </cfRule>
    <cfRule type="expression" priority="879" aboveAverage="0" equalAverage="0" bottom="0" percent="0" rank="0" text="" dxfId="2797">
      <formula>AND(#ref!=1,#ref!=1)</formula>
    </cfRule>
    <cfRule type="expression" priority="880" aboveAverage="0" equalAverage="0" bottom="0" percent="0" rank="0" text="" dxfId="2798">
      <formula>#ref!=1</formula>
    </cfRule>
    <cfRule type="expression" priority="881" aboveAverage="0" equalAverage="0" bottom="0" percent="0" rank="0" text="" dxfId="2799">
      <formula>#ref!=1</formula>
    </cfRule>
    <cfRule type="expression" priority="882" aboveAverage="0" equalAverage="0" bottom="0" percent="0" rank="0" text="" dxfId="2800">
      <formula>AND($L33="X",OR($B33&lt;&gt;"",$C33&lt;&gt;""))</formula>
    </cfRule>
    <cfRule type="expression" priority="883" aboveAverage="0" equalAverage="0" bottom="0" percent="0" rank="0" text="" dxfId="2801">
      <formula>AND(#ref!=1,#ref!=1)</formula>
    </cfRule>
    <cfRule type="expression" priority="884" aboveAverage="0" equalAverage="0" bottom="0" percent="0" rank="0" text="" dxfId="2802">
      <formula>#ref!=1</formula>
    </cfRule>
    <cfRule type="expression" priority="885" aboveAverage="0" equalAverage="0" bottom="0" percent="0" rank="0" text="" dxfId="2803">
      <formula>#ref!=1</formula>
    </cfRule>
    <cfRule type="expression" priority="886" aboveAverage="0" equalAverage="0" bottom="0" percent="0" rank="0" text="" dxfId="2804">
      <formula>AND(NOT(ISBLANK($P33)),ISBLANK(#ref!),ISBLANK(#ref!))</formula>
    </cfRule>
    <cfRule type="expression" priority="887" aboveAverage="0" equalAverage="0" bottom="0" percent="0" rank="0" text="" dxfId="2805">
      <formula>OR(#ref!="X",#ref!="X")</formula>
    </cfRule>
    <cfRule type="expression" priority="888" aboveAverage="0" equalAverage="0" bottom="0" percent="0" rank="0" text="" dxfId="2806">
      <formula>AND(#ref!=1,#ref!=1)</formula>
    </cfRule>
    <cfRule type="expression" priority="889" aboveAverage="0" equalAverage="0" bottom="0" percent="0" rank="0" text="" dxfId="2807">
      <formula>#ref!=1</formula>
    </cfRule>
    <cfRule type="expression" priority="890" aboveAverage="0" equalAverage="0" bottom="0" percent="0" rank="0" text="" dxfId="2808">
      <formula>#ref!=1</formula>
    </cfRule>
    <cfRule type="expression" priority="891" aboveAverage="0" equalAverage="0" bottom="0" percent="0" rank="0" text="" dxfId="2809">
      <formula>OR(#ref!="X",#ref!="X")</formula>
    </cfRule>
    <cfRule type="expression" priority="892" aboveAverage="0" equalAverage="0" bottom="0" percent="0" rank="0" text="" dxfId="2810">
      <formula>AND(#ref!=1,#ref!=1)</formula>
    </cfRule>
    <cfRule type="expression" priority="893" aboveAverage="0" equalAverage="0" bottom="0" percent="0" rank="0" text="" dxfId="2811">
      <formula>#ref!=1</formula>
    </cfRule>
    <cfRule type="expression" priority="894" aboveAverage="0" equalAverage="0" bottom="0" percent="0" rank="0" text="" dxfId="2812">
      <formula>AND(#ref!=1,#ref!=1)</formula>
    </cfRule>
    <cfRule type="expression" priority="895" aboveAverage="0" equalAverage="0" bottom="0" percent="0" rank="0" text="" dxfId="2813">
      <formula>#ref!=1</formula>
    </cfRule>
  </conditionalFormatting>
  <conditionalFormatting sqref="D41:G41">
    <cfRule type="expression" priority="896" aboveAverage="0" equalAverage="0" bottom="0" percent="0" rank="0" text="" dxfId="2814">
      <formula>AND($L41="X",OR($B41&lt;&gt;"",$C41&lt;&gt;"",$D41&lt;&gt;"",$E41&lt;&gt;"",$F41&lt;&gt;""))</formula>
    </cfRule>
    <cfRule type="expression" priority="897" aboveAverage="0" equalAverage="0" bottom="0" percent="0" rank="0" text="" dxfId="2815">
      <formula>AND(#ref!=1,#ref!=1)</formula>
    </cfRule>
    <cfRule type="expression" priority="898" aboveAverage="0" equalAverage="0" bottom="0" percent="0" rank="0" text="" dxfId="2816">
      <formula>#ref!=1</formula>
    </cfRule>
    <cfRule type="expression" priority="899" aboveAverage="0" equalAverage="0" bottom="0" percent="0" rank="0" text="" dxfId="2817">
      <formula>OR(#ref!="X",#ref!="X")</formula>
    </cfRule>
  </conditionalFormatting>
  <conditionalFormatting sqref="D99:G101 D135:D143 D146:D148 D150 D152:D165">
    <cfRule type="expression" priority="900" aboveAverage="0" equalAverage="0" bottom="0" percent="0" rank="0" text="" dxfId="2818">
      <formula>#ref!=1</formula>
    </cfRule>
  </conditionalFormatting>
  <conditionalFormatting sqref="D99:G101 D146:D148 D150 D152:D165 D135:D143">
    <cfRule type="expression" priority="901" aboveAverage="0" equalAverage="0" bottom="0" percent="0" rank="0" text="" dxfId="2819">
      <formula>AND(#ref!=1,#ref!=1)</formula>
    </cfRule>
  </conditionalFormatting>
  <conditionalFormatting sqref="D99:G101 D146:D148 D150 D152:D165">
    <cfRule type="expression" priority="902" aboveAverage="0" equalAverage="0" bottom="0" percent="0" rank="0" text="" dxfId="2820">
      <formula>OR(#ref!="X",#ref!="X")</formula>
    </cfRule>
  </conditionalFormatting>
  <conditionalFormatting sqref="D101:G101">
    <cfRule type="expression" priority="903" aboveAverage="0" equalAverage="0" bottom="0" percent="0" rank="0" text="" dxfId="2821">
      <formula>AND($L101="X",OR($B101&lt;&gt;"",$C101&lt;&gt;"",$D101&lt;&gt;"",$E101&lt;&gt;""))</formula>
    </cfRule>
    <cfRule type="expression" priority="904" aboveAverage="0" equalAverage="0" bottom="0" percent="0" rank="0" text="" dxfId="2822">
      <formula>AND($L101="X",OR($B101&lt;&gt;"",#ref!&lt;&gt;"",$C101&lt;&gt;"",$D101&lt;&gt;""))</formula>
    </cfRule>
    <cfRule type="expression" priority="905" aboveAverage="0" equalAverage="0" bottom="0" percent="0" rank="0" text="" dxfId="2823">
      <formula>AND(#ref!=1,#ref!=1)</formula>
    </cfRule>
    <cfRule type="expression" priority="906" aboveAverage="0" equalAverage="0" bottom="0" percent="0" rank="0" text="" dxfId="2824">
      <formula>#ref!=1</formula>
    </cfRule>
    <cfRule type="expression" priority="907" aboveAverage="0" equalAverage="0" bottom="0" percent="0" rank="0" text="" dxfId="2825">
      <formula>#ref!=1</formula>
    </cfRule>
    <cfRule type="expression" priority="908" aboveAverage="0" equalAverage="0" bottom="0" percent="0" rank="0" text="" dxfId="2826">
      <formula>AND($L101="X",OR($B101&lt;&gt;"",$C101&lt;&gt;""))</formula>
    </cfRule>
    <cfRule type="expression" priority="909" aboveAverage="0" equalAverage="0" bottom="0" percent="0" rank="0" text="" dxfId="2827">
      <formula>AND(#ref!=1,#ref!=1)</formula>
    </cfRule>
    <cfRule type="expression" priority="910" aboveAverage="0" equalAverage="0" bottom="0" percent="0" rank="0" text="" dxfId="2828">
      <formula>#ref!=1</formula>
    </cfRule>
    <cfRule type="expression" priority="911" aboveAverage="0" equalAverage="0" bottom="0" percent="0" rank="0" text="" dxfId="2829">
      <formula>#ref!=1</formula>
    </cfRule>
    <cfRule type="expression" priority="912" aboveAverage="0" equalAverage="0" bottom="0" percent="0" rank="0" text="" dxfId="2830">
      <formula>AND($L101="X",OR($B101&lt;&gt;"",$C101&lt;&gt;""))</formula>
    </cfRule>
    <cfRule type="expression" priority="913" aboveAverage="0" equalAverage="0" bottom="0" percent="0" rank="0" text="" dxfId="2831">
      <formula>AND(#ref!=1,#ref!=1)</formula>
    </cfRule>
    <cfRule type="expression" priority="914" aboveAverage="0" equalAverage="0" bottom="0" percent="0" rank="0" text="" dxfId="2832">
      <formula>#ref!=1</formula>
    </cfRule>
    <cfRule type="expression" priority="915" aboveAverage="0" equalAverage="0" bottom="0" percent="0" rank="0" text="" dxfId="2833">
      <formula>#ref!=1</formula>
    </cfRule>
    <cfRule type="expression" priority="916" aboveAverage="0" equalAverage="0" bottom="0" percent="0" rank="0" text="" dxfId="2834">
      <formula>AND($L101="X",OR($B101&lt;&gt;"",$C101&lt;&gt;""))</formula>
    </cfRule>
    <cfRule type="expression" priority="917" aboveAverage="0" equalAverage="0" bottom="0" percent="0" rank="0" text="" dxfId="2835">
      <formula>AND(#ref!=1,#ref!=1)</formula>
    </cfRule>
    <cfRule type="expression" priority="918" aboveAverage="0" equalAverage="0" bottom="0" percent="0" rank="0" text="" dxfId="2836">
      <formula>#ref!=1</formula>
    </cfRule>
    <cfRule type="expression" priority="919" aboveAverage="0" equalAverage="0" bottom="0" percent="0" rank="0" text="" dxfId="2837">
      <formula>#ref!=1</formula>
    </cfRule>
    <cfRule type="expression" priority="920" aboveAverage="0" equalAverage="0" bottom="0" percent="0" rank="0" text="" dxfId="2838">
      <formula>AND($L101="X",OR($B101&lt;&gt;"",$C101&lt;&gt;""))</formula>
    </cfRule>
    <cfRule type="expression" priority="921" aboveAverage="0" equalAverage="0" bottom="0" percent="0" rank="0" text="" dxfId="2839">
      <formula>AND(#ref!=1,#ref!=1)</formula>
    </cfRule>
    <cfRule type="expression" priority="922" aboveAverage="0" equalAverage="0" bottom="0" percent="0" rank="0" text="" dxfId="2840">
      <formula>#ref!=1</formula>
    </cfRule>
    <cfRule type="expression" priority="923" aboveAverage="0" equalAverage="0" bottom="0" percent="0" rank="0" text="" dxfId="2841">
      <formula>#ref!=1</formula>
    </cfRule>
    <cfRule type="expression" priority="924" aboveAverage="0" equalAverage="0" bottom="0" percent="0" rank="0" text="" dxfId="2842">
      <formula>AND($L101="X",OR($B101&lt;&gt;"",$C101&lt;&gt;""))</formula>
    </cfRule>
    <cfRule type="expression" priority="925" aboveAverage="0" equalAverage="0" bottom="0" percent="0" rank="0" text="" dxfId="2843">
      <formula>AND(#ref!=1,#ref!=1)</formula>
    </cfRule>
    <cfRule type="expression" priority="926" aboveAverage="0" equalAverage="0" bottom="0" percent="0" rank="0" text="" dxfId="2844">
      <formula>#ref!=1</formula>
    </cfRule>
    <cfRule type="expression" priority="927" aboveAverage="0" equalAverage="0" bottom="0" percent="0" rank="0" text="" dxfId="2845">
      <formula>#ref!=1</formula>
    </cfRule>
    <cfRule type="expression" priority="928" aboveAverage="0" equalAverage="0" bottom="0" percent="0" rank="0" text="" dxfId="2846">
      <formula>AND($L101="X",OR($B101&lt;&gt;"",$C101&lt;&gt;""))</formula>
    </cfRule>
    <cfRule type="expression" priority="929" aboveAverage="0" equalAverage="0" bottom="0" percent="0" rank="0" text="" dxfId="2847">
      <formula>AND(#ref!=1,#ref!=1)</formula>
    </cfRule>
    <cfRule type="expression" priority="930" aboveAverage="0" equalAverage="0" bottom="0" percent="0" rank="0" text="" dxfId="2848">
      <formula>#ref!=1</formula>
    </cfRule>
    <cfRule type="expression" priority="931" aboveAverage="0" equalAverage="0" bottom="0" percent="0" rank="0" text="" dxfId="2849">
      <formula>#ref!=1</formula>
    </cfRule>
    <cfRule type="expression" priority="932" aboveAverage="0" equalAverage="0" bottom="0" percent="0" rank="0" text="" dxfId="2850">
      <formula>AND(NOT(ISBLANK($P101)),ISBLANK(#ref!),ISBLANK(#ref!))</formula>
    </cfRule>
    <cfRule type="expression" priority="933" aboveAverage="0" equalAverage="0" bottom="0" percent="0" rank="0" text="" dxfId="2851">
      <formula>OR(#ref!="X",#ref!="X")</formula>
    </cfRule>
    <cfRule type="expression" priority="934" aboveAverage="0" equalAverage="0" bottom="0" percent="0" rank="0" text="" dxfId="2852">
      <formula>AND(#ref!=1,#ref!=1)</formula>
    </cfRule>
    <cfRule type="expression" priority="935" aboveAverage="0" equalAverage="0" bottom="0" percent="0" rank="0" text="" dxfId="2853">
      <formula>#ref!=1</formula>
    </cfRule>
    <cfRule type="expression" priority="936" aboveAverage="0" equalAverage="0" bottom="0" percent="0" rank="0" text="" dxfId="2854">
      <formula>#ref!=1</formula>
    </cfRule>
  </conditionalFormatting>
  <conditionalFormatting sqref="D115:G115">
    <cfRule type="expression" priority="937" aboveAverage="0" equalAverage="0" bottom="0" percent="0" rank="0" text="" dxfId="2855">
      <formula>AND(#ref!=1,#ref!=1)</formula>
    </cfRule>
    <cfRule type="expression" priority="938" aboveAverage="0" equalAverage="0" bottom="0" percent="0" rank="0" text="" dxfId="2856">
      <formula>#ref!=1</formula>
    </cfRule>
    <cfRule type="expression" priority="939" aboveAverage="0" equalAverage="0" bottom="0" percent="0" rank="0" text="" dxfId="2857">
      <formula>#ref!=1</formula>
    </cfRule>
    <cfRule type="expression" priority="940" aboveAverage="0" equalAverage="0" bottom="0" percent="0" rank="0" text="" dxfId="2858">
      <formula>AND($L115="X",OR($B115&lt;&gt;"",$C115&lt;&gt;""))</formula>
    </cfRule>
    <cfRule type="expression" priority="941" aboveAverage="0" equalAverage="0" bottom="0" percent="0" rank="0" text="" dxfId="2859">
      <formula>AND(#ref!=1,#ref!=1)</formula>
    </cfRule>
    <cfRule type="expression" priority="942" aboveAverage="0" equalAverage="0" bottom="0" percent="0" rank="0" text="" dxfId="2860">
      <formula>#ref!=1</formula>
    </cfRule>
    <cfRule type="expression" priority="943" aboveAverage="0" equalAverage="0" bottom="0" percent="0" rank="0" text="" dxfId="2861">
      <formula>#ref!=1</formula>
    </cfRule>
    <cfRule type="expression" priority="944" aboveAverage="0" equalAverage="0" bottom="0" percent="0" rank="0" text="" dxfId="2862">
      <formula>AND($L115="X",OR($B115&lt;&gt;"",$C115&lt;&gt;""))</formula>
    </cfRule>
    <cfRule type="expression" priority="945" aboveAverage="0" equalAverage="0" bottom="0" percent="0" rank="0" text="" dxfId="2863">
      <formula>AND(#ref!=1,#ref!=1)</formula>
    </cfRule>
    <cfRule type="expression" priority="946" aboveAverage="0" equalAverage="0" bottom="0" percent="0" rank="0" text="" dxfId="2864">
      <formula>#ref!=1</formula>
    </cfRule>
    <cfRule type="expression" priority="947" aboveAverage="0" equalAverage="0" bottom="0" percent="0" rank="0" text="" dxfId="2865">
      <formula>#ref!=1</formula>
    </cfRule>
    <cfRule type="expression" priority="948" aboveAverage="0" equalAverage="0" bottom="0" percent="0" rank="0" text="" dxfId="2866">
      <formula>AND($L115="X",OR($B115&lt;&gt;"",$C115&lt;&gt;""))</formula>
    </cfRule>
    <cfRule type="expression" priority="949" aboveAverage="0" equalAverage="0" bottom="0" percent="0" rank="0" text="" dxfId="2867">
      <formula>AND(#ref!=1,#ref!=1)</formula>
    </cfRule>
    <cfRule type="expression" priority="950" aboveAverage="0" equalAverage="0" bottom="0" percent="0" rank="0" text="" dxfId="2868">
      <formula>#ref!=1</formula>
    </cfRule>
    <cfRule type="expression" priority="951" aboveAverage="0" equalAverage="0" bottom="0" percent="0" rank="0" text="" dxfId="2869">
      <formula>#ref!=1</formula>
    </cfRule>
    <cfRule type="expression" priority="952" aboveAverage="0" equalAverage="0" bottom="0" percent="0" rank="0" text="" dxfId="2870">
      <formula>AND($L115="X",OR($B115&lt;&gt;"",$C115&lt;&gt;""))</formula>
    </cfRule>
    <cfRule type="expression" priority="953" aboveAverage="0" equalAverage="0" bottom="0" percent="0" rank="0" text="" dxfId="2871">
      <formula>AND(#ref!=1,#ref!=1)</formula>
    </cfRule>
    <cfRule type="expression" priority="954" aboveAverage="0" equalAverage="0" bottom="0" percent="0" rank="0" text="" dxfId="2872">
      <formula>#ref!=1</formula>
    </cfRule>
    <cfRule type="expression" priority="955" aboveAverage="0" equalAverage="0" bottom="0" percent="0" rank="0" text="" dxfId="2873">
      <formula>#ref!=1</formula>
    </cfRule>
    <cfRule type="expression" priority="956" aboveAverage="0" equalAverage="0" bottom="0" percent="0" rank="0" text="" dxfId="2874">
      <formula>AND(#ref!=1,#ref!=1)</formula>
    </cfRule>
    <cfRule type="expression" priority="957" aboveAverage="0" equalAverage="0" bottom="0" percent="0" rank="0" text="" dxfId="2875">
      <formula>#ref!=1</formula>
    </cfRule>
    <cfRule type="expression" priority="958" aboveAverage="0" equalAverage="0" bottom="0" percent="0" rank="0" text="" dxfId="2876">
      <formula>AND(NOT(ISBLANK($P115)),ISBLANK(#ref!),ISBLANK(#ref!))</formula>
    </cfRule>
    <cfRule type="expression" priority="959" aboveAverage="0" equalAverage="0" bottom="0" percent="0" rank="0" text="" dxfId="2877">
      <formula>OR(#ref!="X",#ref!="X")</formula>
    </cfRule>
  </conditionalFormatting>
  <conditionalFormatting sqref="D115:G116">
    <cfRule type="expression" priority="960" aboveAverage="0" equalAverage="0" bottom="0" percent="0" rank="0" text="" dxfId="2878">
      <formula>#ref!=1</formula>
    </cfRule>
    <cfRule type="expression" priority="961" aboveAverage="0" equalAverage="0" bottom="0" percent="0" rank="0" text="" dxfId="2879">
      <formula>AND($L115="X",OR($B115&lt;&gt;"",$C115&lt;&gt;""))</formula>
    </cfRule>
    <cfRule type="expression" priority="962" aboveAverage="0" equalAverage="0" bottom="0" percent="0" rank="0" text="" dxfId="2880">
      <formula>AND(#ref!=1,#ref!=1)</formula>
    </cfRule>
    <cfRule type="expression" priority="963" aboveAverage="0" equalAverage="0" bottom="0" percent="0" rank="0" text="" dxfId="2881">
      <formula>#ref!=1</formula>
    </cfRule>
    <cfRule type="expression" priority="964" aboveAverage="0" equalAverage="0" bottom="0" percent="0" rank="0" text="" dxfId="2882">
      <formula>#ref!=1</formula>
    </cfRule>
    <cfRule type="expression" priority="965" aboveAverage="0" equalAverage="0" bottom="0" percent="0" rank="0" text="" dxfId="2883">
      <formula>AND($L115="X",OR($B115&lt;&gt;"",$C115&lt;&gt;""))</formula>
    </cfRule>
    <cfRule type="expression" priority="966" aboveAverage="0" equalAverage="0" bottom="0" percent="0" rank="0" text="" dxfId="2884">
      <formula>AND(#ref!=1,#ref!=1)</formula>
    </cfRule>
    <cfRule type="expression" priority="967" aboveAverage="0" equalAverage="0" bottom="0" percent="0" rank="0" text="" dxfId="2885">
      <formula>#ref!=1</formula>
    </cfRule>
    <cfRule type="expression" priority="968" aboveAverage="0" equalAverage="0" bottom="0" percent="0" rank="0" text="" dxfId="2886">
      <formula>#ref!=1</formula>
    </cfRule>
  </conditionalFormatting>
  <conditionalFormatting sqref="D115:G117 D166:G167 D191:G191">
    <cfRule type="expression" priority="969" aboveAverage="0" equalAverage="0" bottom="0" percent="0" rank="0" text="" dxfId="2887">
      <formula>AND($L115="X",OR($B115&lt;&gt;"",$C115&lt;&gt;"",$D115&lt;&gt;"",$E115&lt;&gt;""))</formula>
    </cfRule>
    <cfRule type="expression" priority="970" aboveAverage="0" equalAverage="0" bottom="0" percent="0" rank="0" text="" dxfId="2888">
      <formula>AND($L115="X",OR($B115&lt;&gt;"",#ref!&lt;&gt;"",$C115&lt;&gt;"",$D115&lt;&gt;""))</formula>
    </cfRule>
  </conditionalFormatting>
  <conditionalFormatting sqref="D116:G116">
    <cfRule type="expression" priority="971" aboveAverage="0" equalAverage="0" bottom="0" percent="0" rank="0" text="" dxfId="2889">
      <formula>AND($L116="X",OR($B116&lt;&gt;"",$C116&lt;&gt;""))</formula>
    </cfRule>
    <cfRule type="expression" priority="972" aboveAverage="0" equalAverage="0" bottom="0" percent="0" rank="0" text="" dxfId="2890">
      <formula>AND(#ref!=1,#ref!=1)</formula>
    </cfRule>
    <cfRule type="expression" priority="973" aboveAverage="0" equalAverage="0" bottom="0" percent="0" rank="0" text="" dxfId="2891">
      <formula>#ref!=1</formula>
    </cfRule>
    <cfRule type="expression" priority="974" aboveAverage="0" equalAverage="0" bottom="0" percent="0" rank="0" text="" dxfId="2892">
      <formula>#ref!=1</formula>
    </cfRule>
    <cfRule type="expression" priority="975" aboveAverage="0" equalAverage="0" bottom="0" percent="0" rank="0" text="" dxfId="2893">
      <formula>AND($L116="X",OR($B116&lt;&gt;"",$C116&lt;&gt;""))</formula>
    </cfRule>
    <cfRule type="expression" priority="976" aboveAverage="0" equalAverage="0" bottom="0" percent="0" rank="0" text="" dxfId="2894">
      <formula>AND(#ref!=1,#ref!=1)</formula>
    </cfRule>
    <cfRule type="expression" priority="977" aboveAverage="0" equalAverage="0" bottom="0" percent="0" rank="0" text="" dxfId="2895">
      <formula>#ref!=1</formula>
    </cfRule>
    <cfRule type="expression" priority="978" aboveAverage="0" equalAverage="0" bottom="0" percent="0" rank="0" text="" dxfId="2896">
      <formula>#ref!=1</formula>
    </cfRule>
    <cfRule type="expression" priority="979" aboveAverage="0" equalAverage="0" bottom="0" percent="0" rank="0" text="" dxfId="2897">
      <formula>AND($L116="X",OR($B116&lt;&gt;"",$C116&lt;&gt;""))</formula>
    </cfRule>
    <cfRule type="expression" priority="980" aboveAverage="0" equalAverage="0" bottom="0" percent="0" rank="0" text="" dxfId="2898">
      <formula>AND(#ref!=1,#ref!=1)</formula>
    </cfRule>
    <cfRule type="expression" priority="981" aboveAverage="0" equalAverage="0" bottom="0" percent="0" rank="0" text="" dxfId="2899">
      <formula>#ref!=1</formula>
    </cfRule>
    <cfRule type="expression" priority="982" aboveAverage="0" equalAverage="0" bottom="0" percent="0" rank="0" text="" dxfId="2900">
      <formula>#ref!=1</formula>
    </cfRule>
    <cfRule type="expression" priority="983" aboveAverage="0" equalAverage="0" bottom="0" percent="0" rank="0" text="" dxfId="2901">
      <formula>AND($L116="X",OR($B116&lt;&gt;"",$C116&lt;&gt;""))</formula>
    </cfRule>
    <cfRule type="expression" priority="984" aboveAverage="0" equalAverage="0" bottom="0" percent="0" rank="0" text="" dxfId="2902">
      <formula>AND(#ref!=1,#ref!=1)</formula>
    </cfRule>
    <cfRule type="expression" priority="985" aboveAverage="0" equalAverage="0" bottom="0" percent="0" rank="0" text="" dxfId="2903">
      <formula>#ref!=1</formula>
    </cfRule>
    <cfRule type="expression" priority="986" aboveAverage="0" equalAverage="0" bottom="0" percent="0" rank="0" text="" dxfId="2904">
      <formula>#ref!=1</formula>
    </cfRule>
    <cfRule type="expression" priority="987" aboveAverage="0" equalAverage="0" bottom="0" percent="0" rank="0" text="" dxfId="2905">
      <formula>AND(NOT(ISBLANK($P116)),ISBLANK(#ref!),ISBLANK(#ref!))</formula>
    </cfRule>
    <cfRule type="expression" priority="988" aboveAverage="0" equalAverage="0" bottom="0" percent="0" rank="0" text="" dxfId="2906">
      <formula>OR(#ref!="X",#ref!="X")</formula>
    </cfRule>
    <cfRule type="expression" priority="989" aboveAverage="0" equalAverage="0" bottom="0" percent="0" rank="0" text="" dxfId="2907">
      <formula>AND(#ref!=1,#ref!=1)</formula>
    </cfRule>
    <cfRule type="expression" priority="990" aboveAverage="0" equalAverage="0" bottom="0" percent="0" rank="0" text="" dxfId="2908">
      <formula>#ref!=1</formula>
    </cfRule>
    <cfRule type="expression" priority="991" aboveAverage="0" equalAverage="0" bottom="0" percent="0" rank="0" text="" dxfId="2909">
      <formula>#ref!=1</formula>
    </cfRule>
    <cfRule type="expression" priority="992" aboveAverage="0" equalAverage="0" bottom="0" percent="0" rank="0" text="" dxfId="2910">
      <formula>OR(#ref!="X",#ref!="X")</formula>
    </cfRule>
    <cfRule type="expression" priority="993" aboveAverage="0" equalAverage="0" bottom="0" percent="0" rank="0" text="" dxfId="2911">
      <formula>AND(#ref!=1,#ref!=1)</formula>
    </cfRule>
    <cfRule type="expression" priority="994" aboveAverage="0" equalAverage="0" bottom="0" percent="0" rank="0" text="" dxfId="2912">
      <formula>#ref!=1</formula>
    </cfRule>
  </conditionalFormatting>
  <conditionalFormatting sqref="D123:G123 D133:G133">
    <cfRule type="expression" priority="995" aboveAverage="0" equalAverage="0" bottom="0" percent="0" rank="0" text="" dxfId="2913">
      <formula>#ref!=1</formula>
    </cfRule>
    <cfRule type="expression" priority="996" aboveAverage="0" equalAverage="0" bottom="0" percent="0" rank="0" text="" dxfId="2914">
      <formula>AND($L123="X",OR($B123&lt;&gt;"",#ref!&lt;&gt;"",$C123&lt;&gt;"",$D123&lt;&gt;""))</formula>
    </cfRule>
    <cfRule type="expression" priority="997" aboveAverage="0" equalAverage="0" bottom="0" percent="0" rank="0" text="" dxfId="2915">
      <formula>AND(#ref!=1,#ref!=1)</formula>
    </cfRule>
    <cfRule type="expression" priority="998" aboveAverage="0" equalAverage="0" bottom="0" percent="0" rank="0" text="" dxfId="2916">
      <formula>#ref!=1</formula>
    </cfRule>
    <cfRule type="expression" priority="999" aboveAverage="0" equalAverage="0" bottom="0" percent="0" rank="0" text="" dxfId="2917">
      <formula>#ref!=1</formula>
    </cfRule>
    <cfRule type="expression" priority="1000" aboveAverage="0" equalAverage="0" bottom="0" percent="0" rank="0" text="" dxfId="2918">
      <formula>AND($L123="X",OR($B123&lt;&gt;"",$C123&lt;&gt;""))</formula>
    </cfRule>
    <cfRule type="expression" priority="1001" aboveAverage="0" equalAverage="0" bottom="0" percent="0" rank="0" text="" dxfId="2919">
      <formula>AND(#ref!=1,#ref!=1)</formula>
    </cfRule>
    <cfRule type="expression" priority="1002" aboveAverage="0" equalAverage="0" bottom="0" percent="0" rank="0" text="" dxfId="2920">
      <formula>#ref!=1</formula>
    </cfRule>
    <cfRule type="expression" priority="1003" aboveAverage="0" equalAverage="0" bottom="0" percent="0" rank="0" text="" dxfId="2921">
      <formula>#ref!=1</formula>
    </cfRule>
    <cfRule type="expression" priority="1004" aboveAverage="0" equalAverage="0" bottom="0" percent="0" rank="0" text="" dxfId="2922">
      <formula>AND($L123="X",OR($B123&lt;&gt;"",$C123&lt;&gt;""))</formula>
    </cfRule>
    <cfRule type="expression" priority="1005" aboveAverage="0" equalAverage="0" bottom="0" percent="0" rank="0" text="" dxfId="2923">
      <formula>AND(#ref!=1,#ref!=1)</formula>
    </cfRule>
    <cfRule type="expression" priority="1006" aboveAverage="0" equalAverage="0" bottom="0" percent="0" rank="0" text="" dxfId="2924">
      <formula>#ref!=1</formula>
    </cfRule>
    <cfRule type="expression" priority="1007" aboveAverage="0" equalAverage="0" bottom="0" percent="0" rank="0" text="" dxfId="2925">
      <formula>#ref!=1</formula>
    </cfRule>
    <cfRule type="expression" priority="1008" aboveAverage="0" equalAverage="0" bottom="0" percent="0" rank="0" text="" dxfId="2926">
      <formula>AND($L123="X",OR($B123&lt;&gt;"",$C123&lt;&gt;""))</formula>
    </cfRule>
    <cfRule type="expression" priority="1009" aboveAverage="0" equalAverage="0" bottom="0" percent="0" rank="0" text="" dxfId="2927">
      <formula>AND(#ref!=1,#ref!=1)</formula>
    </cfRule>
    <cfRule type="expression" priority="1010" aboveAverage="0" equalAverage="0" bottom="0" percent="0" rank="0" text="" dxfId="2928">
      <formula>#ref!=1</formula>
    </cfRule>
    <cfRule type="expression" priority="1011" aboveAverage="0" equalAverage="0" bottom="0" percent="0" rank="0" text="" dxfId="2929">
      <formula>#ref!=1</formula>
    </cfRule>
    <cfRule type="expression" priority="1012" aboveAverage="0" equalAverage="0" bottom="0" percent="0" rank="0" text="" dxfId="2930">
      <formula>AND($L123="X",OR($B123&lt;&gt;"",$C123&lt;&gt;""))</formula>
    </cfRule>
    <cfRule type="expression" priority="1013" aboveAverage="0" equalAverage="0" bottom="0" percent="0" rank="0" text="" dxfId="2931">
      <formula>AND(#ref!=1,#ref!=1)</formula>
    </cfRule>
    <cfRule type="expression" priority="1014" aboveAverage="0" equalAverage="0" bottom="0" percent="0" rank="0" text="" dxfId="2932">
      <formula>#ref!=1</formula>
    </cfRule>
    <cfRule type="expression" priority="1015" aboveAverage="0" equalAverage="0" bottom="0" percent="0" rank="0" text="" dxfId="2933">
      <formula>#ref!=1</formula>
    </cfRule>
    <cfRule type="expression" priority="1016" aboveAverage="0" equalAverage="0" bottom="0" percent="0" rank="0" text="" dxfId="2934">
      <formula>AND($L123="X",OR($B123&lt;&gt;"",$C123&lt;&gt;""))</formula>
    </cfRule>
    <cfRule type="expression" priority="1017" aboveAverage="0" equalAverage="0" bottom="0" percent="0" rank="0" text="" dxfId="2935">
      <formula>AND(#ref!=1,#ref!=1)</formula>
    </cfRule>
    <cfRule type="expression" priority="1018" aboveAverage="0" equalAverage="0" bottom="0" percent="0" rank="0" text="" dxfId="2936">
      <formula>#ref!=1</formula>
    </cfRule>
    <cfRule type="expression" priority="1019" aboveAverage="0" equalAverage="0" bottom="0" percent="0" rank="0" text="" dxfId="2937">
      <formula>#ref!=1</formula>
    </cfRule>
    <cfRule type="expression" priority="1020" aboveAverage="0" equalAverage="0" bottom="0" percent="0" rank="0" text="" dxfId="2938">
      <formula>AND($L123="X",OR($B123&lt;&gt;"",$C123&lt;&gt;""))</formula>
    </cfRule>
    <cfRule type="expression" priority="1021" aboveAverage="0" equalAverage="0" bottom="0" percent="0" rank="0" text="" dxfId="2939">
      <formula>AND(#ref!=1,#ref!=1)</formula>
    </cfRule>
    <cfRule type="expression" priority="1022" aboveAverage="0" equalAverage="0" bottom="0" percent="0" rank="0" text="" dxfId="2940">
      <formula>#ref!=1</formula>
    </cfRule>
    <cfRule type="expression" priority="1023" aboveAverage="0" equalAverage="0" bottom="0" percent="0" rank="0" text="" dxfId="2941">
      <formula>#ref!=1</formula>
    </cfRule>
    <cfRule type="expression" priority="1024" aboveAverage="0" equalAverage="0" bottom="0" percent="0" rank="0" text="" dxfId="2942">
      <formula>AND(NOT(ISBLANK($P123)),ISBLANK(#ref!),ISBLANK(#ref!))</formula>
    </cfRule>
    <cfRule type="expression" priority="1025" aboveAverage="0" equalAverage="0" bottom="0" percent="0" rank="0" text="" dxfId="2943">
      <formula>OR(#ref!="X",#ref!="X")</formula>
    </cfRule>
    <cfRule type="expression" priority="1026" aboveAverage="0" equalAverage="0" bottom="0" percent="0" rank="0" text="" dxfId="2944">
      <formula>AND(#ref!=1,#ref!=1)</formula>
    </cfRule>
    <cfRule type="expression" priority="1027" aboveAverage="0" equalAverage="0" bottom="0" percent="0" rank="0" text="" dxfId="2945">
      <formula>#ref!=1</formula>
    </cfRule>
    <cfRule type="expression" priority="1028" aboveAverage="0" equalAverage="0" bottom="0" percent="0" rank="0" text="" dxfId="2946">
      <formula>#ref!=1</formula>
    </cfRule>
    <cfRule type="expression" priority="1029" aboveAverage="0" equalAverage="0" bottom="0" percent="0" rank="0" text="" dxfId="2947">
      <formula>OR(#ref!="X",#ref!="X")</formula>
    </cfRule>
    <cfRule type="expression" priority="1030" aboveAverage="0" equalAverage="0" bottom="0" percent="0" rank="0" text="" dxfId="2948">
      <formula>AND(#ref!=1,#ref!=1)</formula>
    </cfRule>
    <cfRule type="expression" priority="1031" aboveAverage="0" equalAverage="0" bottom="0" percent="0" rank="0" text="" dxfId="2949">
      <formula>#ref!=1</formula>
    </cfRule>
    <cfRule type="expression" priority="1032" aboveAverage="0" equalAverage="0" bottom="0" percent="0" rank="0" text="" dxfId="2950">
      <formula>AND($L123="X",OR($B123&lt;&gt;"",$C123&lt;&gt;"",$D123&lt;&gt;"",$E123&lt;&gt;""))</formula>
    </cfRule>
    <cfRule type="expression" priority="1033" aboveAverage="0" equalAverage="0" bottom="0" percent="0" rank="0" text="" dxfId="2951">
      <formula>AND($L123="X",OR($B123&lt;&gt;"",$C123&lt;&gt;"",$E123&lt;&gt;"",#ref!&lt;&gt;""))</formula>
    </cfRule>
    <cfRule type="expression" priority="1034" aboveAverage="0" equalAverage="0" bottom="0" percent="0" rank="0" text="" dxfId="2952">
      <formula>#ref!=1</formula>
    </cfRule>
    <cfRule type="expression" priority="1035" aboveAverage="0" equalAverage="0" bottom="0" percent="0" rank="0" text="" dxfId="2953">
      <formula>AND($L123="X",OR($B123&lt;&gt;"",$C123&lt;&gt;"",$D123&lt;&gt;""))</formula>
    </cfRule>
    <cfRule type="expression" priority="1036" aboveAverage="0" equalAverage="0" bottom="0" percent="0" rank="0" text="" dxfId="2954">
      <formula>AND(#ref!=1,#ref!=1)</formula>
    </cfRule>
  </conditionalFormatting>
  <conditionalFormatting sqref="D123:G123">
    <cfRule type="expression" priority="1037" aboveAverage="0" equalAverage="0" bottom="0" percent="0" rank="0" text="" dxfId="2955">
      <formula>AND($L123="X",OR($B123&lt;&gt;"",$C123&lt;&gt;"",$D123&lt;&gt;"",$E123&lt;&gt;""))</formula>
    </cfRule>
    <cfRule type="expression" priority="1038" aboveAverage="0" equalAverage="0" bottom="0" percent="0" rank="0" text="" dxfId="2956">
      <formula>AND($L123="X",OR($B123&lt;&gt;"",#ref!&lt;&gt;"",$C123&lt;&gt;"",$D123&lt;&gt;""))</formula>
    </cfRule>
    <cfRule type="expression" priority="1039" aboveAverage="0" equalAverage="0" bottom="0" percent="0" rank="0" text="" dxfId="2957">
      <formula>AND(#ref!=1,#ref!=1)</formula>
    </cfRule>
    <cfRule type="expression" priority="1040" aboveAverage="0" equalAverage="0" bottom="0" percent="0" rank="0" text="" dxfId="2958">
      <formula>#ref!=1</formula>
    </cfRule>
    <cfRule type="expression" priority="1041" aboveAverage="0" equalAverage="0" bottom="0" percent="0" rank="0" text="" dxfId="2959">
      <formula>#ref!=1</formula>
    </cfRule>
    <cfRule type="expression" priority="1042" aboveAverage="0" equalAverage="0" bottom="0" percent="0" rank="0" text="" dxfId="2960">
      <formula>AND($L123="X",OR($B123&lt;&gt;"",$C123&lt;&gt;""))</formula>
    </cfRule>
    <cfRule type="expression" priority="1043" aboveAverage="0" equalAverage="0" bottom="0" percent="0" rank="0" text="" dxfId="2961">
      <formula>AND(#ref!=1,#ref!=1)</formula>
    </cfRule>
    <cfRule type="expression" priority="1044" aboveAverage="0" equalAverage="0" bottom="0" percent="0" rank="0" text="" dxfId="2962">
      <formula>#ref!=1</formula>
    </cfRule>
    <cfRule type="expression" priority="1045" aboveAverage="0" equalAverage="0" bottom="0" percent="0" rank="0" text="" dxfId="2963">
      <formula>#ref!=1</formula>
    </cfRule>
    <cfRule type="expression" priority="1046" aboveAverage="0" equalAverage="0" bottom="0" percent="0" rank="0" text="" dxfId="2964">
      <formula>AND($L123="X",OR($B123&lt;&gt;"",$C123&lt;&gt;""))</formula>
    </cfRule>
    <cfRule type="expression" priority="1047" aboveAverage="0" equalAverage="0" bottom="0" percent="0" rank="0" text="" dxfId="2965">
      <formula>AND(#ref!=1,#ref!=1)</formula>
    </cfRule>
    <cfRule type="expression" priority="1048" aboveAverage="0" equalAverage="0" bottom="0" percent="0" rank="0" text="" dxfId="2966">
      <formula>#ref!=1</formula>
    </cfRule>
    <cfRule type="expression" priority="1049" aboveAverage="0" equalAverage="0" bottom="0" percent="0" rank="0" text="" dxfId="2967">
      <formula>#ref!=1</formula>
    </cfRule>
    <cfRule type="expression" priority="1050" aboveAverage="0" equalAverage="0" bottom="0" percent="0" rank="0" text="" dxfId="2968">
      <formula>AND($L123="X",OR($B123&lt;&gt;"",$C123&lt;&gt;""))</formula>
    </cfRule>
    <cfRule type="expression" priority="1051" aboveAverage="0" equalAverage="0" bottom="0" percent="0" rank="0" text="" dxfId="2969">
      <formula>AND(#ref!=1,#ref!=1)</formula>
    </cfRule>
    <cfRule type="expression" priority="1052" aboveAverage="0" equalAverage="0" bottom="0" percent="0" rank="0" text="" dxfId="2970">
      <formula>#ref!=1</formula>
    </cfRule>
    <cfRule type="expression" priority="1053" aboveAverage="0" equalAverage="0" bottom="0" percent="0" rank="0" text="" dxfId="2971">
      <formula>#ref!=1</formula>
    </cfRule>
    <cfRule type="expression" priority="1054" aboveAverage="0" equalAverage="0" bottom="0" percent="0" rank="0" text="" dxfId="2972">
      <formula>AND($L123="X",OR($B123&lt;&gt;"",$C123&lt;&gt;""))</formula>
    </cfRule>
    <cfRule type="expression" priority="1055" aboveAverage="0" equalAverage="0" bottom="0" percent="0" rank="0" text="" dxfId="2973">
      <formula>AND(#ref!=1,#ref!=1)</formula>
    </cfRule>
    <cfRule type="expression" priority="1056" aboveAverage="0" equalAverage="0" bottom="0" percent="0" rank="0" text="" dxfId="2974">
      <formula>#ref!=1</formula>
    </cfRule>
    <cfRule type="expression" priority="1057" aboveAverage="0" equalAverage="0" bottom="0" percent="0" rank="0" text="" dxfId="2975">
      <formula>#ref!=1</formula>
    </cfRule>
    <cfRule type="expression" priority="1058" aboveAverage="0" equalAverage="0" bottom="0" percent="0" rank="0" text="" dxfId="2976">
      <formula>AND($L123="X",OR($B123&lt;&gt;"",$C123&lt;&gt;""))</formula>
    </cfRule>
    <cfRule type="expression" priority="1059" aboveAverage="0" equalAverage="0" bottom="0" percent="0" rank="0" text="" dxfId="2977">
      <formula>AND(#ref!=1,#ref!=1)</formula>
    </cfRule>
    <cfRule type="expression" priority="1060" aboveAverage="0" equalAverage="0" bottom="0" percent="0" rank="0" text="" dxfId="2978">
      <formula>#ref!=1</formula>
    </cfRule>
    <cfRule type="expression" priority="1061" aboveAverage="0" equalAverage="0" bottom="0" percent="0" rank="0" text="" dxfId="2979">
      <formula>#ref!=1</formula>
    </cfRule>
    <cfRule type="expression" priority="1062" aboveAverage="0" equalAverage="0" bottom="0" percent="0" rank="0" text="" dxfId="2980">
      <formula>AND($L123="X",OR($B123&lt;&gt;"",$C123&lt;&gt;""))</formula>
    </cfRule>
    <cfRule type="expression" priority="1063" aboveAverage="0" equalAverage="0" bottom="0" percent="0" rank="0" text="" dxfId="2981">
      <formula>AND(#ref!=1,#ref!=1)</formula>
    </cfRule>
    <cfRule type="expression" priority="1064" aboveAverage="0" equalAverage="0" bottom="0" percent="0" rank="0" text="" dxfId="2982">
      <formula>#ref!=1</formula>
    </cfRule>
    <cfRule type="expression" priority="1065" aboveAverage="0" equalAverage="0" bottom="0" percent="0" rank="0" text="" dxfId="2983">
      <formula>#ref!=1</formula>
    </cfRule>
    <cfRule type="expression" priority="1066" aboveAverage="0" equalAverage="0" bottom="0" percent="0" rank="0" text="" dxfId="2984">
      <formula>AND(NOT(ISBLANK($Q123)),ISBLANK(#ref!),ISBLANK(#ref!))</formula>
    </cfRule>
    <cfRule type="expression" priority="1067" aboveAverage="0" equalAverage="0" bottom="0" percent="0" rank="0" text="" dxfId="2985">
      <formula>OR(#ref!="X",#ref!="X")</formula>
    </cfRule>
    <cfRule type="expression" priority="1068" aboveAverage="0" equalAverage="0" bottom="0" percent="0" rank="0" text="" dxfId="2986">
      <formula>AND(#ref!=1,#ref!=1)</formula>
    </cfRule>
    <cfRule type="expression" priority="1069" aboveAverage="0" equalAverage="0" bottom="0" percent="0" rank="0" text="" dxfId="2987">
      <formula>#ref!=1</formula>
    </cfRule>
    <cfRule type="expression" priority="1070" aboveAverage="0" equalAverage="0" bottom="0" percent="0" rank="0" text="" dxfId="2988">
      <formula>#ref!=1</formula>
    </cfRule>
    <cfRule type="expression" priority="1071" aboveAverage="0" equalAverage="0" bottom="0" percent="0" rank="0" text="" dxfId="2989">
      <formula>OR(#ref!="X",#ref!="X")</formula>
    </cfRule>
    <cfRule type="expression" priority="1072" aboveAverage="0" equalAverage="0" bottom="0" percent="0" rank="0" text="" dxfId="2990">
      <formula>AND(#ref!=1,#ref!=1)</formula>
    </cfRule>
    <cfRule type="expression" priority="1073" aboveAverage="0" equalAverage="0" bottom="0" percent="0" rank="0" text="" dxfId="2991">
      <formula>#ref!=1</formula>
    </cfRule>
    <cfRule type="expression" priority="1074" aboveAverage="0" equalAverage="0" bottom="0" percent="0" rank="0" text="" dxfId="2992">
      <formula>AND($L123="X",OR($B123&lt;&gt;"",$C123&lt;&gt;"",$D123&lt;&gt;"",$E123&lt;&gt;""))</formula>
    </cfRule>
    <cfRule type="expression" priority="1075" aboveAverage="0" equalAverage="0" bottom="0" percent="0" rank="0" text="" dxfId="2993">
      <formula>AND($L123="X",OR($B123&lt;&gt;"",$C123&lt;&gt;"",$E123&lt;&gt;"",#ref!&lt;&gt;""))</formula>
    </cfRule>
    <cfRule type="expression" priority="1076" aboveAverage="0" equalAverage="0" bottom="0" percent="0" rank="0" text="" dxfId="2994">
      <formula>#ref!=1</formula>
    </cfRule>
    <cfRule type="expression" priority="1077" aboveAverage="0" equalAverage="0" bottom="0" percent="0" rank="0" text="" dxfId="2995">
      <formula>AND($L123="X",OR($B123&lt;&gt;"",$C123&lt;&gt;"",$D123&lt;&gt;""))</formula>
    </cfRule>
    <cfRule type="expression" priority="1078" aboveAverage="0" equalAverage="0" bottom="0" percent="0" rank="0" text="" dxfId="2996">
      <formula>AND(#ref!=1,#ref!=1)</formula>
    </cfRule>
    <cfRule type="expression" priority="1079" aboveAverage="0" equalAverage="0" bottom="0" percent="0" rank="0" text="" dxfId="2997">
      <formula>#ref!=1</formula>
    </cfRule>
    <cfRule type="expression" priority="1080" aboveAverage="0" equalAverage="0" bottom="0" percent="0" rank="0" text="" dxfId="2998">
      <formula>AND($L123="X",$B123&lt;&gt;"")</formula>
    </cfRule>
    <cfRule type="expression" priority="1081" aboveAverage="0" equalAverage="0" bottom="0" percent="0" rank="0" text="" dxfId="2999">
      <formula>AND($L123="X",OR($B123&lt;&gt;"",$C123&lt;&gt;""))</formula>
    </cfRule>
    <cfRule type="expression" priority="1082" aboveAverage="0" equalAverage="0" bottom="0" percent="0" rank="0" text="" dxfId="3000">
      <formula>AND($L123="X",OR($B123&lt;&gt;"",$C123&lt;&gt;""))</formula>
    </cfRule>
  </conditionalFormatting>
  <conditionalFormatting sqref="D133:G133 D123:E123">
    <cfRule type="expression" priority="1083" aboveAverage="0" equalAverage="0" bottom="0" percent="0" rank="0" text="" dxfId="3001">
      <formula>AND($L123="X",OR($B123&lt;&gt;"",$C123&lt;&gt;"",$D123&lt;&gt;"",$E123&lt;&gt;""))</formula>
    </cfRule>
    <cfRule type="expression" priority="1084" aboveAverage="0" equalAverage="0" bottom="0" percent="0" rank="0" text="" dxfId="3002">
      <formula>AND($L123="X",OR($B123&lt;&gt;"",$C123&lt;&gt;"",$E123&lt;&gt;"",#ref!&lt;&gt;""))</formula>
    </cfRule>
  </conditionalFormatting>
  <conditionalFormatting sqref="D133:G133">
    <cfRule type="expression" priority="1085" aboveAverage="0" equalAverage="0" bottom="0" percent="0" rank="0" text="" dxfId="3003">
      <formula>AND($L133="X",OR($B133&lt;&gt;"",$C133&lt;&gt;"",$D133&lt;&gt;"",$E133&lt;&gt;""))</formula>
    </cfRule>
    <cfRule type="expression" priority="1086" aboveAverage="0" equalAverage="0" bottom="0" percent="0" rank="0" text="" dxfId="3004">
      <formula>AND($L133="X",OR($B133&lt;&gt;"",#ref!&lt;&gt;"",$C133&lt;&gt;"",$D133&lt;&gt;""))</formula>
    </cfRule>
    <cfRule type="expression" priority="1087" aboveAverage="0" equalAverage="0" bottom="0" percent="0" rank="0" text="" dxfId="3005">
      <formula>AND(#ref!=1,#ref!=1)</formula>
    </cfRule>
    <cfRule type="expression" priority="1088" aboveAverage="0" equalAverage="0" bottom="0" percent="0" rank="0" text="" dxfId="3006">
      <formula>#ref!=1</formula>
    </cfRule>
    <cfRule type="expression" priority="1089" aboveAverage="0" equalAverage="0" bottom="0" percent="0" rank="0" text="" dxfId="3007">
      <formula>#ref!=1</formula>
    </cfRule>
    <cfRule type="expression" priority="1090" aboveAverage="0" equalAverage="0" bottom="0" percent="0" rank="0" text="" dxfId="3008">
      <formula>AND($L133="X",OR($B133&lt;&gt;"",$C133&lt;&gt;""))</formula>
    </cfRule>
    <cfRule type="expression" priority="1091" aboveAverage="0" equalAverage="0" bottom="0" percent="0" rank="0" text="" dxfId="3009">
      <formula>AND(#ref!=1,#ref!=1)</formula>
    </cfRule>
    <cfRule type="expression" priority="1092" aboveAverage="0" equalAverage="0" bottom="0" percent="0" rank="0" text="" dxfId="3010">
      <formula>#ref!=1</formula>
    </cfRule>
    <cfRule type="expression" priority="1093" aboveAverage="0" equalAverage="0" bottom="0" percent="0" rank="0" text="" dxfId="3011">
      <formula>#ref!=1</formula>
    </cfRule>
    <cfRule type="expression" priority="1094" aboveAverage="0" equalAverage="0" bottom="0" percent="0" rank="0" text="" dxfId="3012">
      <formula>AND($L133="X",OR($B133&lt;&gt;"",$C133&lt;&gt;""))</formula>
    </cfRule>
    <cfRule type="expression" priority="1095" aboveAverage="0" equalAverage="0" bottom="0" percent="0" rank="0" text="" dxfId="3013">
      <formula>AND(#ref!=1,#ref!=1)</formula>
    </cfRule>
    <cfRule type="expression" priority="1096" aboveAverage="0" equalAverage="0" bottom="0" percent="0" rank="0" text="" dxfId="3014">
      <formula>#ref!=1</formula>
    </cfRule>
    <cfRule type="expression" priority="1097" aboveAverage="0" equalAverage="0" bottom="0" percent="0" rank="0" text="" dxfId="3015">
      <formula>#ref!=1</formula>
    </cfRule>
    <cfRule type="expression" priority="1098" aboveAverage="0" equalAverage="0" bottom="0" percent="0" rank="0" text="" dxfId="3016">
      <formula>AND($L133="X",OR($B133&lt;&gt;"",$C133&lt;&gt;""))</formula>
    </cfRule>
    <cfRule type="expression" priority="1099" aboveAverage="0" equalAverage="0" bottom="0" percent="0" rank="0" text="" dxfId="3017">
      <formula>AND(#ref!=1,#ref!=1)</formula>
    </cfRule>
    <cfRule type="expression" priority="1100" aboveAverage="0" equalAverage="0" bottom="0" percent="0" rank="0" text="" dxfId="3018">
      <formula>#ref!=1</formula>
    </cfRule>
    <cfRule type="expression" priority="1101" aboveAverage="0" equalAverage="0" bottom="0" percent="0" rank="0" text="" dxfId="3019">
      <formula>#ref!=1</formula>
    </cfRule>
    <cfRule type="expression" priority="1102" aboveAverage="0" equalAverage="0" bottom="0" percent="0" rank="0" text="" dxfId="3020">
      <formula>AND($L133="X",OR($B133&lt;&gt;"",$C133&lt;&gt;""))</formula>
    </cfRule>
    <cfRule type="expression" priority="1103" aboveAverage="0" equalAverage="0" bottom="0" percent="0" rank="0" text="" dxfId="3021">
      <formula>AND(#ref!=1,#ref!=1)</formula>
    </cfRule>
    <cfRule type="expression" priority="1104" aboveAverage="0" equalAverage="0" bottom="0" percent="0" rank="0" text="" dxfId="3022">
      <formula>#ref!=1</formula>
    </cfRule>
    <cfRule type="expression" priority="1105" aboveAverage="0" equalAverage="0" bottom="0" percent="0" rank="0" text="" dxfId="3023">
      <formula>#ref!=1</formula>
    </cfRule>
    <cfRule type="expression" priority="1106" aboveAverage="0" equalAverage="0" bottom="0" percent="0" rank="0" text="" dxfId="3024">
      <formula>AND($L133="X",OR($B133&lt;&gt;"",$C133&lt;&gt;""))</formula>
    </cfRule>
    <cfRule type="expression" priority="1107" aboveAverage="0" equalAverage="0" bottom="0" percent="0" rank="0" text="" dxfId="3025">
      <formula>AND(#ref!=1,#ref!=1)</formula>
    </cfRule>
    <cfRule type="expression" priority="1108" aboveAverage="0" equalAverage="0" bottom="0" percent="0" rank="0" text="" dxfId="3026">
      <formula>#ref!=1</formula>
    </cfRule>
    <cfRule type="expression" priority="1109" aboveAverage="0" equalAverage="0" bottom="0" percent="0" rank="0" text="" dxfId="3027">
      <formula>#ref!=1</formula>
    </cfRule>
    <cfRule type="expression" priority="1110" aboveAverage="0" equalAverage="0" bottom="0" percent="0" rank="0" text="" dxfId="3028">
      <formula>AND($L133="X",OR($B133&lt;&gt;"",$C133&lt;&gt;""))</formula>
    </cfRule>
    <cfRule type="expression" priority="1111" aboveAverage="0" equalAverage="0" bottom="0" percent="0" rank="0" text="" dxfId="3029">
      <formula>AND(#ref!=1,#ref!=1)</formula>
    </cfRule>
    <cfRule type="expression" priority="1112" aboveAverage="0" equalAverage="0" bottom="0" percent="0" rank="0" text="" dxfId="3030">
      <formula>#ref!=1</formula>
    </cfRule>
    <cfRule type="expression" priority="1113" aboveAverage="0" equalAverage="0" bottom="0" percent="0" rank="0" text="" dxfId="3031">
      <formula>#ref!=1</formula>
    </cfRule>
    <cfRule type="expression" priority="1114" aboveAverage="0" equalAverage="0" bottom="0" percent="0" rank="0" text="" dxfId="3032">
      <formula>AND(NOT(ISBLANK($Q133)),ISBLANK(#ref!),ISBLANK(#ref!))</formula>
    </cfRule>
    <cfRule type="expression" priority="1115" aboveAverage="0" equalAverage="0" bottom="0" percent="0" rank="0" text="" dxfId="3033">
      <formula>OR(#ref!="X",#ref!="X")</formula>
    </cfRule>
    <cfRule type="expression" priority="1116" aboveAverage="0" equalAverage="0" bottom="0" percent="0" rank="0" text="" dxfId="3034">
      <formula>AND(#ref!=1,#ref!=1)</formula>
    </cfRule>
    <cfRule type="expression" priority="1117" aboveAverage="0" equalAverage="0" bottom="0" percent="0" rank="0" text="" dxfId="3035">
      <formula>#ref!=1</formula>
    </cfRule>
    <cfRule type="expression" priority="1118" aboveAverage="0" equalAverage="0" bottom="0" percent="0" rank="0" text="" dxfId="3036">
      <formula>#ref!=1</formula>
    </cfRule>
    <cfRule type="expression" priority="1119" aboveAverage="0" equalAverage="0" bottom="0" percent="0" rank="0" text="" dxfId="3037">
      <formula>OR(#ref!="X",#ref!="X")</formula>
    </cfRule>
    <cfRule type="expression" priority="1120" aboveAverage="0" equalAverage="0" bottom="0" percent="0" rank="0" text="" dxfId="3038">
      <formula>AND(#ref!=1,#ref!=1)</formula>
    </cfRule>
    <cfRule type="expression" priority="1121" aboveAverage="0" equalAverage="0" bottom="0" percent="0" rank="0" text="" dxfId="3039">
      <formula>#ref!=1</formula>
    </cfRule>
    <cfRule type="expression" priority="1122" aboveAverage="0" equalAverage="0" bottom="0" percent="0" rank="0" text="" dxfId="3040">
      <formula>AND($L133="X",OR($B133&lt;&gt;"",$C133&lt;&gt;"",$D133&lt;&gt;"",$E133&lt;&gt;""))</formula>
    </cfRule>
    <cfRule type="expression" priority="1123" aboveAverage="0" equalAverage="0" bottom="0" percent="0" rank="0" text="" dxfId="3041">
      <formula>AND($L133="X",OR($B133&lt;&gt;"",$C133&lt;&gt;"",$E133&lt;&gt;"",#ref!&lt;&gt;""))</formula>
    </cfRule>
    <cfRule type="expression" priority="1124" aboveAverage="0" equalAverage="0" bottom="0" percent="0" rank="0" text="" dxfId="3042">
      <formula>#ref!=1</formula>
    </cfRule>
    <cfRule type="expression" priority="1125" aboveAverage="0" equalAverage="0" bottom="0" percent="0" rank="0" text="" dxfId="3043">
      <formula>AND($L133="X",OR($B133&lt;&gt;"",$C133&lt;&gt;"",$D133&lt;&gt;""))</formula>
    </cfRule>
    <cfRule type="expression" priority="1126" aboveAverage="0" equalAverage="0" bottom="0" percent="0" rank="0" text="" dxfId="3044">
      <formula>AND(#ref!=1,#ref!=1)</formula>
    </cfRule>
    <cfRule type="expression" priority="1127" aboveAverage="0" equalAverage="0" bottom="0" percent="0" rank="0" text="" dxfId="3045">
      <formula>#ref!=1</formula>
    </cfRule>
    <cfRule type="expression" priority="1128" aboveAverage="0" equalAverage="0" bottom="0" percent="0" rank="0" text="" dxfId="3046">
      <formula>AND($L133="X",$B133&lt;&gt;"")</formula>
    </cfRule>
    <cfRule type="expression" priority="1129" aboveAverage="0" equalAverage="0" bottom="0" percent="0" rank="0" text="" dxfId="3047">
      <formula>AND($L133="X",OR($B133&lt;&gt;"",$C133&lt;&gt;""))</formula>
    </cfRule>
  </conditionalFormatting>
  <conditionalFormatting sqref="D178:G178">
    <cfRule type="expression" priority="1130" aboveAverage="0" equalAverage="0" bottom="0" percent="0" rank="0" text="" dxfId="3048">
      <formula>AND($L178="X",OR($B178&lt;&gt;"",$C178&lt;&gt;"",$D178&lt;&gt;"",$E178&lt;&gt;""))</formula>
    </cfRule>
    <cfRule type="expression" priority="1131" aboveAverage="0" equalAverage="0" bottom="0" percent="0" rank="0" text="" dxfId="3049">
      <formula>AND($L178="X",OR($B178&lt;&gt;"",#ref!&lt;&gt;"",$C178&lt;&gt;"",$D178&lt;&gt;""))</formula>
    </cfRule>
    <cfRule type="expression" priority="1132" aboveAverage="0" equalAverage="0" bottom="0" percent="0" rank="0" text="" dxfId="3050">
      <formula>AND(#ref!=1,#ref!=1)</formula>
    </cfRule>
    <cfRule type="expression" priority="1133" aboveAverage="0" equalAverage="0" bottom="0" percent="0" rank="0" text="" dxfId="3051">
      <formula>#ref!=1</formula>
    </cfRule>
    <cfRule type="expression" priority="1134" aboveAverage="0" equalAverage="0" bottom="0" percent="0" rank="0" text="" dxfId="3052">
      <formula>#ref!=1</formula>
    </cfRule>
    <cfRule type="expression" priority="1135" aboveAverage="0" equalAverage="0" bottom="0" percent="0" rank="0" text="" dxfId="3053">
      <formula>AND($L178="X",OR($B178&lt;&gt;"",#ref!&lt;&gt;"",$C178&lt;&gt;""))</formula>
    </cfRule>
    <cfRule type="expression" priority="1136" aboveAverage="0" equalAverage="0" bottom="0" percent="0" rank="0" text="" dxfId="3054">
      <formula>AND(#ref!=1,#ref!=1)</formula>
    </cfRule>
    <cfRule type="expression" priority="1137" aboveAverage="0" equalAverage="0" bottom="0" percent="0" rank="0" text="" dxfId="3055">
      <formula>#ref!=1</formula>
    </cfRule>
    <cfRule type="expression" priority="1138" aboveAverage="0" equalAverage="0" bottom="0" percent="0" rank="0" text="" dxfId="3056">
      <formula>#ref!=1</formula>
    </cfRule>
    <cfRule type="expression" priority="1139" aboveAverage="0" equalAverage="0" bottom="0" percent="0" rank="0" text="" dxfId="3057">
      <formula>AND($L178="X",OR($B178&lt;&gt;"",$C178&lt;&gt;"",$D178&lt;&gt;""))</formula>
    </cfRule>
  </conditionalFormatting>
  <conditionalFormatting sqref="D206:G207">
    <cfRule type="expression" priority="1140" aboveAverage="0" equalAverage="0" bottom="0" percent="0" rank="0" text="" dxfId="3058">
      <formula>AND($L206="X",OR($B206&lt;&gt;"",#ref!&lt;&gt;"",$C206&lt;&gt;""))</formula>
    </cfRule>
    <cfRule type="expression" priority="1141" aboveAverage="0" equalAverage="0" bottom="0" percent="0" rank="0" text="" dxfId="3059">
      <formula>AND($L206="X",OR($B206&lt;&gt;"",$C206&lt;&gt;"",$D206&lt;&gt;"",$E206&lt;&gt;""))</formula>
    </cfRule>
    <cfRule type="expression" priority="1142" aboveAverage="0" equalAverage="0" bottom="0" percent="0" rank="0" text="" dxfId="3060">
      <formula>AND($L206="X",OR($B206&lt;&gt;"",#ref!&lt;&gt;"",$C206&lt;&gt;"",$D206&lt;&gt;""))</formula>
    </cfRule>
  </conditionalFormatting>
  <conditionalFormatting sqref="E3">
    <cfRule type="dataBar" priority="1143">
      <dataBar showValue="1" minLength="10" maxLength="90">
        <cfvo type="num" val="0"/>
        <cfvo type="num" val="1"/>
        <color rgb="FF63C384"/>
      </dataBar>
      <extLst>
        <ext xmlns:x14="http://schemas.microsoft.com/office/spreadsheetml/2009/9/main" uri="{B025F937-C7B1-47D3-B67F-A62EFF666E3E}">
          <x14:id>{AD6C1400-CFEF-4589-96A9-7882112681A8}</x14:id>
        </ext>
      </extLst>
    </cfRule>
  </conditionalFormatting>
  <conditionalFormatting sqref="E32 E171">
    <cfRule type="expression" priority="1144" aboveAverage="0" equalAverage="0" bottom="0" percent="0" rank="0" text="" dxfId="3061">
      <formula>AND($L32="X",OR($B32&lt;&gt;"",#ref!&lt;&gt;"",$D32&lt;&gt;""))</formula>
    </cfRule>
  </conditionalFormatting>
  <conditionalFormatting sqref="E33">
    <cfRule type="expression" priority="1145" aboveAverage="0" equalAverage="0" bottom="0" percent="0" rank="0" text="" dxfId="3062">
      <formula>AND($L33="X",OR($B33&lt;&gt;"",$C33&lt;&gt;""))</formula>
    </cfRule>
  </conditionalFormatting>
  <conditionalFormatting sqref="E33:E40 D37 E44:E97 E101:E102 E104:E134 F123:G123 D131 F131 F133:G134 F167 E175:E181 F176:G177 G182 E185 E203:E211">
    <cfRule type="expression" priority="1146" aboveAverage="0" equalAverage="0" bottom="0" percent="0" rank="0" text="" dxfId="3063">
      <formula>AND($L33="X",OR($B33&lt;&gt;"",$C33&lt;&gt;"",$D33&lt;&gt;""))</formula>
    </cfRule>
  </conditionalFormatting>
  <conditionalFormatting sqref="E42:E43">
    <cfRule type="expression" priority="1147" aboveAverage="0" equalAverage="0" bottom="0" percent="0" rank="0" text="" dxfId="3064">
      <formula>AND($L42="X",OR($B42&lt;&gt;"",#ref!&lt;&gt;""))</formula>
    </cfRule>
  </conditionalFormatting>
  <conditionalFormatting sqref="E44:E45 D59 G59">
    <cfRule type="expression" priority="1148" aboveAverage="0" equalAverage="0" bottom="0" percent="0" rank="0" text="" dxfId="3065">
      <formula>AND($L44="X",OR($B44&lt;&gt;"",#ref!&lt;&gt;"",$C44&lt;&gt;""))</formula>
    </cfRule>
    <cfRule type="expression" priority="1149" aboveAverage="0" equalAverage="0" bottom="0" percent="0" rank="0" text="" dxfId="3066">
      <formula>AND($L44="X",OR($B44&lt;&gt;"",$C44&lt;&gt;"",$D44&lt;&gt;""))</formula>
    </cfRule>
    <cfRule type="expression" priority="1150" aboveAverage="0" equalAverage="0" bottom="0" percent="0" rank="0" text="" dxfId="3067">
      <formula>AND($L44="X",OR($B44&lt;&gt;"",$C44&lt;&gt;"",$D44&lt;&gt;"",$E44&lt;&gt;""))</formula>
    </cfRule>
    <cfRule type="expression" priority="1151" aboveAverage="0" equalAverage="0" bottom="0" percent="0" rank="0" text="" dxfId="3068">
      <formula>AND($L44="X",OR($B44&lt;&gt;"",$C44&lt;&gt;"",$E44&lt;&gt;"",#ref!&lt;&gt;""))</formula>
    </cfRule>
    <cfRule type="expression" priority="1152" aboveAverage="0" equalAverage="0" bottom="0" percent="0" rank="0" text="" dxfId="3069">
      <formula>#ref!=1</formula>
    </cfRule>
    <cfRule type="expression" priority="1153" aboveAverage="0" equalAverage="0" bottom="0" percent="0" rank="0" text="" dxfId="3070">
      <formula>AND($L44="X",OR($B44&lt;&gt;"",$C44&lt;&gt;"",$D44&lt;&gt;""))</formula>
    </cfRule>
    <cfRule type="expression" priority="1154" aboveAverage="0" equalAverage="0" bottom="0" percent="0" rank="0" text="" dxfId="3071">
      <formula>AND($L44="X",OR($B44&lt;&gt;"",$C44&lt;&gt;"",$D44&lt;&gt;"",$E44&lt;&gt;""))</formula>
    </cfRule>
    <cfRule type="expression" priority="1155" aboveAverage="0" equalAverage="0" bottom="0" percent="0" rank="0" text="" dxfId="3072">
      <formula>AND(#ref!=1,#ref!=1)</formula>
    </cfRule>
    <cfRule type="expression" priority="1156" aboveAverage="0" equalAverage="0" bottom="0" percent="0" rank="0" text="" dxfId="3073">
      <formula>#ref!=1</formula>
    </cfRule>
    <cfRule type="expression" priority="1157" aboveAverage="0" equalAverage="0" bottom="0" percent="0" rank="0" text="" dxfId="3074">
      <formula>#ref!=1</formula>
    </cfRule>
    <cfRule type="expression" priority="1158" aboveAverage="0" equalAverage="0" bottom="0" percent="0" rank="0" text="" dxfId="3075">
      <formula>AND($L44="X",OR($B44&lt;&gt;"",$C44&lt;&gt;"",$E44&lt;&gt;"",#ref!&lt;&gt;""))</formula>
    </cfRule>
    <cfRule type="expression" priority="1159" aboveAverage="0" equalAverage="0" bottom="0" percent="0" rank="0" text="" dxfId="3076">
      <formula>AND($L44="X",OR($B44&lt;&gt;"",$C44&lt;&gt;""))</formula>
    </cfRule>
    <cfRule type="expression" priority="1160" aboveAverage="0" equalAverage="0" bottom="0" percent="0" rank="0" text="" dxfId="3077">
      <formula>AND($L44="X",OR($B44&lt;&gt;"",$C44&lt;&gt;"",$D44&lt;&gt;"",$E44&lt;&gt;""))</formula>
    </cfRule>
    <cfRule type="expression" priority="1161" aboveAverage="0" equalAverage="0" bottom="0" percent="0" rank="0" text="" dxfId="3078">
      <formula>AND(#ref!=1,#ref!=1)</formula>
    </cfRule>
    <cfRule type="expression" priority="1162" aboveAverage="0" equalAverage="0" bottom="0" percent="0" rank="0" text="" dxfId="3079">
      <formula>#ref!=1</formula>
    </cfRule>
    <cfRule type="expression" priority="1163" aboveAverage="0" equalAverage="0" bottom="0" percent="0" rank="0" text="" dxfId="3080">
      <formula>#ref!=1</formula>
    </cfRule>
    <cfRule type="expression" priority="1164" aboveAverage="0" equalAverage="0" bottom="0" percent="0" rank="0" text="" dxfId="3081">
      <formula>AND($L44="X",OR($B44&lt;&gt;"",$C44&lt;&gt;"",$E44&lt;&gt;"",#ref!&lt;&gt;""))</formula>
    </cfRule>
    <cfRule type="expression" priority="1165" aboveAverage="0" equalAverage="0" bottom="0" percent="0" rank="0" text="" dxfId="3082">
      <formula>#ref!=1</formula>
    </cfRule>
    <cfRule type="expression" priority="1166" aboveAverage="0" equalAverage="0" bottom="0" percent="0" rank="0" text="" dxfId="3083">
      <formula>AND($L44="X",OR($B44&lt;&gt;"",$C44&lt;&gt;"",$D44&lt;&gt;""))</formula>
    </cfRule>
    <cfRule type="expression" priority="1167" aboveAverage="0" equalAverage="0" bottom="0" percent="0" rank="0" text="" dxfId="3084">
      <formula>AND($L44="X",OR($B44&lt;&gt;"",$C44&lt;&gt;"",$D44&lt;&gt;"",$E44&lt;&gt;""))</formula>
    </cfRule>
    <cfRule type="expression" priority="1168" aboveAverage="0" equalAverage="0" bottom="0" percent="0" rank="0" text="" dxfId="3085">
      <formula>AND(#ref!=1,#ref!=1)</formula>
    </cfRule>
    <cfRule type="expression" priority="1169" aboveAverage="0" equalAverage="0" bottom="0" percent="0" rank="0" text="" dxfId="3086">
      <formula>#ref!=1</formula>
    </cfRule>
    <cfRule type="expression" priority="1170" aboveAverage="0" equalAverage="0" bottom="0" percent="0" rank="0" text="" dxfId="3087">
      <formula>AND($L44="X",OR($B44&lt;&gt;"",$C44&lt;&gt;"",$E44&lt;&gt;"",#ref!&lt;&gt;""))</formula>
    </cfRule>
    <cfRule type="expression" priority="1171" aboveAverage="0" equalAverage="0" bottom="0" percent="0" rank="0" text="" dxfId="3088">
      <formula>AND($L44="X",OR($B44&lt;&gt;"",$C44&lt;&gt;""))</formula>
    </cfRule>
    <cfRule type="expression" priority="1172" aboveAverage="0" equalAverage="0" bottom="0" percent="0" rank="0" text="" dxfId="3089">
      <formula>AND($L44="X",$B44&lt;&gt;"")</formula>
    </cfRule>
    <cfRule type="expression" priority="1173" aboveAverage="0" equalAverage="0" bottom="0" percent="0" rank="0" text="" dxfId="3090">
      <formula>AND($L44="X",OR($B44&lt;&gt;"",$C44&lt;&gt;"",$D44&lt;&gt;""))</formula>
    </cfRule>
  </conditionalFormatting>
  <conditionalFormatting sqref="E51">
    <cfRule type="expression" priority="1174" aboveAverage="0" equalAverage="0" bottom="0" percent="0" rank="0" text="" dxfId="3091">
      <formula>AND($L51="X",OR($B51&lt;&gt;"",#ref!&lt;&gt;"",$C51&lt;&gt;""))</formula>
    </cfRule>
    <cfRule type="expression" priority="1175" aboveAverage="0" equalAverage="0" bottom="0" percent="0" rank="0" text="" dxfId="3092">
      <formula>AND($L51="X",OR($B51&lt;&gt;"",$C51&lt;&gt;"",$D51&lt;&gt;""))</formula>
    </cfRule>
    <cfRule type="expression" priority="1176" aboveAverage="0" equalAverage="0" bottom="0" percent="0" rank="0" text="" dxfId="3093">
      <formula>AND($L51="X",OR($B51&lt;&gt;"",$C51&lt;&gt;"",$D51&lt;&gt;"",$E51&lt;&gt;""))</formula>
    </cfRule>
    <cfRule type="expression" priority="1177" aboveAverage="0" equalAverage="0" bottom="0" percent="0" rank="0" text="" dxfId="3094">
      <formula>AND($L51="X",OR($B51&lt;&gt;"",$C51&lt;&gt;"",$E51&lt;&gt;"",#ref!&lt;&gt;""))</formula>
    </cfRule>
    <cfRule type="expression" priority="1178" aboveAverage="0" equalAverage="0" bottom="0" percent="0" rank="0" text="" dxfId="3095">
      <formula>#ref!=1</formula>
    </cfRule>
    <cfRule type="expression" priority="1179" aboveAverage="0" equalAverage="0" bottom="0" percent="0" rank="0" text="" dxfId="3096">
      <formula>AND($L51="X",OR($B51&lt;&gt;"",$C51&lt;&gt;"",$D51&lt;&gt;""))</formula>
    </cfRule>
    <cfRule type="expression" priority="1180" aboveAverage="0" equalAverage="0" bottom="0" percent="0" rank="0" text="" dxfId="3097">
      <formula>AND($L51="X",OR($B51&lt;&gt;"",$C51&lt;&gt;"",$D51&lt;&gt;"",$E51&lt;&gt;""))</formula>
    </cfRule>
    <cfRule type="expression" priority="1181" aboveAverage="0" equalAverage="0" bottom="0" percent="0" rank="0" text="" dxfId="3098">
      <formula>AND(#ref!=1,#ref!=1)</formula>
    </cfRule>
    <cfRule type="expression" priority="1182" aboveAverage="0" equalAverage="0" bottom="0" percent="0" rank="0" text="" dxfId="3099">
      <formula>#ref!=1</formula>
    </cfRule>
    <cfRule type="expression" priority="1183" aboveAverage="0" equalAverage="0" bottom="0" percent="0" rank="0" text="" dxfId="3100">
      <formula>#ref!=1</formula>
    </cfRule>
    <cfRule type="expression" priority="1184" aboveAverage="0" equalAverage="0" bottom="0" percent="0" rank="0" text="" dxfId="3101">
      <formula>AND($L51="X",OR($B51&lt;&gt;"",$C51&lt;&gt;"",$E51&lt;&gt;"",#ref!&lt;&gt;""))</formula>
    </cfRule>
    <cfRule type="expression" priority="1185" aboveAverage="0" equalAverage="0" bottom="0" percent="0" rank="0" text="" dxfId="3102">
      <formula>AND($L51="X",OR($B51&lt;&gt;"",$C51&lt;&gt;""))</formula>
    </cfRule>
    <cfRule type="expression" priority="1186" aboveAverage="0" equalAverage="0" bottom="0" percent="0" rank="0" text="" dxfId="3103">
      <formula>AND($L51="X",OR($B51&lt;&gt;"",$C51&lt;&gt;"",$D51&lt;&gt;"",$E51&lt;&gt;""))</formula>
    </cfRule>
    <cfRule type="expression" priority="1187" aboveAverage="0" equalAverage="0" bottom="0" percent="0" rank="0" text="" dxfId="3104">
      <formula>AND(#ref!=1,#ref!=1)</formula>
    </cfRule>
    <cfRule type="expression" priority="1188" aboveAverage="0" equalAverage="0" bottom="0" percent="0" rank="0" text="" dxfId="3105">
      <formula>#ref!=1</formula>
    </cfRule>
    <cfRule type="expression" priority="1189" aboveAverage="0" equalAverage="0" bottom="0" percent="0" rank="0" text="" dxfId="3106">
      <formula>#ref!=1</formula>
    </cfRule>
    <cfRule type="expression" priority="1190" aboveAverage="0" equalAverage="0" bottom="0" percent="0" rank="0" text="" dxfId="3107">
      <formula>AND($L51="X",OR($B51&lt;&gt;"",$C51&lt;&gt;"",$E51&lt;&gt;"",#ref!&lt;&gt;""))</formula>
    </cfRule>
    <cfRule type="expression" priority="1191" aboveAverage="0" equalAverage="0" bottom="0" percent="0" rank="0" text="" dxfId="3108">
      <formula>#ref!=1</formula>
    </cfRule>
    <cfRule type="expression" priority="1192" aboveAverage="0" equalAverage="0" bottom="0" percent="0" rank="0" text="" dxfId="3109">
      <formula>AND($L51="X",OR($B51&lt;&gt;"",$C51&lt;&gt;"",$D51&lt;&gt;""))</formula>
    </cfRule>
    <cfRule type="expression" priority="1193" aboveAverage="0" equalAverage="0" bottom="0" percent="0" rank="0" text="" dxfId="3110">
      <formula>AND($L51="X",OR($B51&lt;&gt;"",$C51&lt;&gt;"",$D51&lt;&gt;"",$E51&lt;&gt;""))</formula>
    </cfRule>
    <cfRule type="expression" priority="1194" aboveAverage="0" equalAverage="0" bottom="0" percent="0" rank="0" text="" dxfId="3111">
      <formula>AND(#ref!=1,#ref!=1)</formula>
    </cfRule>
    <cfRule type="expression" priority="1195" aboveAverage="0" equalAverage="0" bottom="0" percent="0" rank="0" text="" dxfId="3112">
      <formula>#ref!=1</formula>
    </cfRule>
    <cfRule type="expression" priority="1196" aboveAverage="0" equalAverage="0" bottom="0" percent="0" rank="0" text="" dxfId="3113">
      <formula>AND($L51="X",OR($B51&lt;&gt;"",$C51&lt;&gt;"",$E51&lt;&gt;"",#ref!&lt;&gt;""))</formula>
    </cfRule>
    <cfRule type="expression" priority="1197" aboveAverage="0" equalAverage="0" bottom="0" percent="0" rank="0" text="" dxfId="3114">
      <formula>AND($L51="X",OR($B51&lt;&gt;"",$C51&lt;&gt;""))</formula>
    </cfRule>
    <cfRule type="expression" priority="1198" aboveAverage="0" equalAverage="0" bottom="0" percent="0" rank="0" text="" dxfId="3115">
      <formula>AND($L51="X",$B51&lt;&gt;"")</formula>
    </cfRule>
    <cfRule type="expression" priority="1199" aboveAverage="0" equalAverage="0" bottom="0" percent="0" rank="0" text="" dxfId="3116">
      <formula>AND($L51="X",OR($B51&lt;&gt;"",$C51&lt;&gt;"",$D51&lt;&gt;""))</formula>
    </cfRule>
  </conditionalFormatting>
  <conditionalFormatting sqref="E71">
    <cfRule type="expression" priority="1200" aboveAverage="0" equalAverage="0" bottom="0" percent="0" rank="0" text="" dxfId="3117">
      <formula>AND($L71="X",OR($B71&lt;&gt;"",#ref!&lt;&gt;"",$C71&lt;&gt;""))</formula>
    </cfRule>
    <cfRule type="expression" priority="1201" aboveAverage="0" equalAverage="0" bottom="0" percent="0" rank="0" text="" dxfId="3118">
      <formula>AND($L71="X",OR($B71&lt;&gt;"",$C71&lt;&gt;"",$D71&lt;&gt;""))</formula>
    </cfRule>
    <cfRule type="expression" priority="1202" aboveAverage="0" equalAverage="0" bottom="0" percent="0" rank="0" text="" dxfId="3119">
      <formula>AND($L71="X",OR($B71&lt;&gt;"",$C71&lt;&gt;"",$D71&lt;&gt;"",$E71&lt;&gt;""))</formula>
    </cfRule>
    <cfRule type="expression" priority="1203" aboveAverage="0" equalAverage="0" bottom="0" percent="0" rank="0" text="" dxfId="3120">
      <formula>AND($L71="X",OR($B71&lt;&gt;"",$C71&lt;&gt;"",$E71&lt;&gt;"",#ref!&lt;&gt;""))</formula>
    </cfRule>
    <cfRule type="expression" priority="1204" aboveAverage="0" equalAverage="0" bottom="0" percent="0" rank="0" text="" dxfId="3121">
      <formula>#ref!=1</formula>
    </cfRule>
    <cfRule type="expression" priority="1205" aboveAverage="0" equalAverage="0" bottom="0" percent="0" rank="0" text="" dxfId="3122">
      <formula>AND($L71="X",OR($B71&lt;&gt;"",$C71&lt;&gt;"",$D71&lt;&gt;""))</formula>
    </cfRule>
    <cfRule type="expression" priority="1206" aboveAverage="0" equalAverage="0" bottom="0" percent="0" rank="0" text="" dxfId="3123">
      <formula>AND($L71="X",OR($B71&lt;&gt;"",$C71&lt;&gt;"",$D71&lt;&gt;"",$E71&lt;&gt;""))</formula>
    </cfRule>
    <cfRule type="expression" priority="1207" aboveAverage="0" equalAverage="0" bottom="0" percent="0" rank="0" text="" dxfId="3124">
      <formula>AND(#ref!=1,#ref!=1)</formula>
    </cfRule>
    <cfRule type="expression" priority="1208" aboveAverage="0" equalAverage="0" bottom="0" percent="0" rank="0" text="" dxfId="3125">
      <formula>#ref!=1</formula>
    </cfRule>
    <cfRule type="expression" priority="1209" aboveAverage="0" equalAverage="0" bottom="0" percent="0" rank="0" text="" dxfId="3126">
      <formula>#ref!=1</formula>
    </cfRule>
    <cfRule type="expression" priority="1210" aboveAverage="0" equalAverage="0" bottom="0" percent="0" rank="0" text="" dxfId="3127">
      <formula>AND($L71="X",OR($B71&lt;&gt;"",$C71&lt;&gt;"",$E71&lt;&gt;"",#ref!&lt;&gt;""))</formula>
    </cfRule>
    <cfRule type="expression" priority="1211" aboveAverage="0" equalAverage="0" bottom="0" percent="0" rank="0" text="" dxfId="3128">
      <formula>AND($L71="X",OR($B71&lt;&gt;"",$C71&lt;&gt;""))</formula>
    </cfRule>
    <cfRule type="expression" priority="1212" aboveAverage="0" equalAverage="0" bottom="0" percent="0" rank="0" text="" dxfId="3129">
      <formula>AND($L71="X",OR($B71&lt;&gt;"",$C71&lt;&gt;"",$D71&lt;&gt;"",$E71&lt;&gt;""))</formula>
    </cfRule>
    <cfRule type="expression" priority="1213" aboveAverage="0" equalAverage="0" bottom="0" percent="0" rank="0" text="" dxfId="3130">
      <formula>AND(#ref!=1,#ref!=1)</formula>
    </cfRule>
    <cfRule type="expression" priority="1214" aboveAverage="0" equalAverage="0" bottom="0" percent="0" rank="0" text="" dxfId="3131">
      <formula>#ref!=1</formula>
    </cfRule>
    <cfRule type="expression" priority="1215" aboveAverage="0" equalAverage="0" bottom="0" percent="0" rank="0" text="" dxfId="3132">
      <formula>#ref!=1</formula>
    </cfRule>
    <cfRule type="expression" priority="1216" aboveAverage="0" equalAverage="0" bottom="0" percent="0" rank="0" text="" dxfId="3133">
      <formula>AND($L71="X",OR($B71&lt;&gt;"",$C71&lt;&gt;"",$E71&lt;&gt;"",#ref!&lt;&gt;""))</formula>
    </cfRule>
    <cfRule type="expression" priority="1217" aboveAverage="0" equalAverage="0" bottom="0" percent="0" rank="0" text="" dxfId="3134">
      <formula>#ref!=1</formula>
    </cfRule>
    <cfRule type="expression" priority="1218" aboveAverage="0" equalAverage="0" bottom="0" percent="0" rank="0" text="" dxfId="3135">
      <formula>AND($L71="X",OR($B71&lt;&gt;"",$C71&lt;&gt;"",$D71&lt;&gt;""))</formula>
    </cfRule>
    <cfRule type="expression" priority="1219" aboveAverage="0" equalAverage="0" bottom="0" percent="0" rank="0" text="" dxfId="3136">
      <formula>AND($L71="X",OR($B71&lt;&gt;"",$C71&lt;&gt;"",$D71&lt;&gt;"",$E71&lt;&gt;""))</formula>
    </cfRule>
    <cfRule type="expression" priority="1220" aboveAverage="0" equalAverage="0" bottom="0" percent="0" rank="0" text="" dxfId="3137">
      <formula>AND(#ref!=1,#ref!=1)</formula>
    </cfRule>
    <cfRule type="expression" priority="1221" aboveAverage="0" equalAverage="0" bottom="0" percent="0" rank="0" text="" dxfId="3138">
      <formula>#ref!=1</formula>
    </cfRule>
    <cfRule type="expression" priority="1222" aboveAverage="0" equalAverage="0" bottom="0" percent="0" rank="0" text="" dxfId="3139">
      <formula>AND($L71="X",OR($B71&lt;&gt;"",$C71&lt;&gt;"",$E71&lt;&gt;"",#ref!&lt;&gt;""))</formula>
    </cfRule>
    <cfRule type="expression" priority="1223" aboveAverage="0" equalAverage="0" bottom="0" percent="0" rank="0" text="" dxfId="3140">
      <formula>AND($L71="X",OR($B71&lt;&gt;"",$C71&lt;&gt;""))</formula>
    </cfRule>
    <cfRule type="expression" priority="1224" aboveAverage="0" equalAverage="0" bottom="0" percent="0" rank="0" text="" dxfId="3141">
      <formula>AND($L71="X",$B71&lt;&gt;"")</formula>
    </cfRule>
    <cfRule type="expression" priority="1225" aboveAverage="0" equalAverage="0" bottom="0" percent="0" rank="0" text="" dxfId="3142">
      <formula>AND($L71="X",OR($B71&lt;&gt;"",$C71&lt;&gt;"",$D71&lt;&gt;""))</formula>
    </cfRule>
  </conditionalFormatting>
  <conditionalFormatting sqref="E86">
    <cfRule type="expression" priority="1226" aboveAverage="0" equalAverage="0" bottom="0" percent="0" rank="0" text="" dxfId="3143">
      <formula>AND($L86="X",OR($B86&lt;&gt;"",#ref!&lt;&gt;"",$C86&lt;&gt;""))</formula>
    </cfRule>
    <cfRule type="expression" priority="1227" aboveAverage="0" equalAverage="0" bottom="0" percent="0" rank="0" text="" dxfId="3144">
      <formula>AND($L86="X",OR($B86&lt;&gt;"",$C86&lt;&gt;"",$D86&lt;&gt;""))</formula>
    </cfRule>
    <cfRule type="expression" priority="1228" aboveAverage="0" equalAverage="0" bottom="0" percent="0" rank="0" text="" dxfId="3145">
      <formula>AND($L86="X",OR($B86&lt;&gt;"",$C86&lt;&gt;"",$D86&lt;&gt;"",$E86&lt;&gt;""))</formula>
    </cfRule>
    <cfRule type="expression" priority="1229" aboveAverage="0" equalAverage="0" bottom="0" percent="0" rank="0" text="" dxfId="3146">
      <formula>AND($L86="X",OR($B86&lt;&gt;"",$C86&lt;&gt;"",$E86&lt;&gt;"",#ref!&lt;&gt;""))</formula>
    </cfRule>
    <cfRule type="expression" priority="1230" aboveAverage="0" equalAverage="0" bottom="0" percent="0" rank="0" text="" dxfId="3147">
      <formula>#ref!=1</formula>
    </cfRule>
    <cfRule type="expression" priority="1231" aboveAverage="0" equalAverage="0" bottom="0" percent="0" rank="0" text="" dxfId="3148">
      <formula>AND($L86="X",OR($B86&lt;&gt;"",$C86&lt;&gt;"",$D86&lt;&gt;""))</formula>
    </cfRule>
    <cfRule type="expression" priority="1232" aboveAverage="0" equalAverage="0" bottom="0" percent="0" rank="0" text="" dxfId="3149">
      <formula>AND($L86="X",OR($B86&lt;&gt;"",$C86&lt;&gt;"",$D86&lt;&gt;"",$E86&lt;&gt;""))</formula>
    </cfRule>
    <cfRule type="expression" priority="1233" aboveAverage="0" equalAverage="0" bottom="0" percent="0" rank="0" text="" dxfId="3150">
      <formula>AND(#ref!=1,#ref!=1)</formula>
    </cfRule>
    <cfRule type="expression" priority="1234" aboveAverage="0" equalAverage="0" bottom="0" percent="0" rank="0" text="" dxfId="3151">
      <formula>#ref!=1</formula>
    </cfRule>
    <cfRule type="expression" priority="1235" aboveAverage="0" equalAverage="0" bottom="0" percent="0" rank="0" text="" dxfId="3152">
      <formula>#ref!=1</formula>
    </cfRule>
    <cfRule type="expression" priority="1236" aboveAverage="0" equalAverage="0" bottom="0" percent="0" rank="0" text="" dxfId="3153">
      <formula>AND($L86="X",OR($B86&lt;&gt;"",$C86&lt;&gt;"",$E86&lt;&gt;"",#ref!&lt;&gt;""))</formula>
    </cfRule>
    <cfRule type="expression" priority="1237" aboveAverage="0" equalAverage="0" bottom="0" percent="0" rank="0" text="" dxfId="3154">
      <formula>AND($L86="X",OR($B86&lt;&gt;"",$C86&lt;&gt;""))</formula>
    </cfRule>
    <cfRule type="expression" priority="1238" aboveAverage="0" equalAverage="0" bottom="0" percent="0" rank="0" text="" dxfId="3155">
      <formula>AND($L86="X",OR($B86&lt;&gt;"",$C86&lt;&gt;"",$D86&lt;&gt;"",$E86&lt;&gt;""))</formula>
    </cfRule>
    <cfRule type="expression" priority="1239" aboveAverage="0" equalAverage="0" bottom="0" percent="0" rank="0" text="" dxfId="3156">
      <formula>AND(#ref!=1,#ref!=1)</formula>
    </cfRule>
    <cfRule type="expression" priority="1240" aboveAverage="0" equalAverage="0" bottom="0" percent="0" rank="0" text="" dxfId="3157">
      <formula>#ref!=1</formula>
    </cfRule>
    <cfRule type="expression" priority="1241" aboveAverage="0" equalAverage="0" bottom="0" percent="0" rank="0" text="" dxfId="3158">
      <formula>#ref!=1</formula>
    </cfRule>
    <cfRule type="expression" priority="1242" aboveAverage="0" equalAverage="0" bottom="0" percent="0" rank="0" text="" dxfId="3159">
      <formula>AND($L86="X",OR($B86&lt;&gt;"",$C86&lt;&gt;"",$E86&lt;&gt;"",#ref!&lt;&gt;""))</formula>
    </cfRule>
    <cfRule type="expression" priority="1243" aboveAverage="0" equalAverage="0" bottom="0" percent="0" rank="0" text="" dxfId="3160">
      <formula>#ref!=1</formula>
    </cfRule>
    <cfRule type="expression" priority="1244" aboveAverage="0" equalAverage="0" bottom="0" percent="0" rank="0" text="" dxfId="3161">
      <formula>AND($L86="X",OR($B86&lt;&gt;"",$C86&lt;&gt;"",$D86&lt;&gt;""))</formula>
    </cfRule>
    <cfRule type="expression" priority="1245" aboveAverage="0" equalAverage="0" bottom="0" percent="0" rank="0" text="" dxfId="3162">
      <formula>AND($L86="X",OR($B86&lt;&gt;"",$C86&lt;&gt;"",$D86&lt;&gt;"",$E86&lt;&gt;""))</formula>
    </cfRule>
    <cfRule type="expression" priority="1246" aboveAverage="0" equalAverage="0" bottom="0" percent="0" rank="0" text="" dxfId="3163">
      <formula>AND(#ref!=1,#ref!=1)</formula>
    </cfRule>
    <cfRule type="expression" priority="1247" aboveAverage="0" equalAverage="0" bottom="0" percent="0" rank="0" text="" dxfId="3164">
      <formula>#ref!=1</formula>
    </cfRule>
    <cfRule type="expression" priority="1248" aboveAverage="0" equalAverage="0" bottom="0" percent="0" rank="0" text="" dxfId="3165">
      <formula>AND($L86="X",OR($B86&lt;&gt;"",$C86&lt;&gt;"",$E86&lt;&gt;"",#ref!&lt;&gt;""))</formula>
    </cfRule>
    <cfRule type="expression" priority="1249" aboveAverage="0" equalAverage="0" bottom="0" percent="0" rank="0" text="" dxfId="3166">
      <formula>AND($L86="X",OR($B86&lt;&gt;"",$C86&lt;&gt;""))</formula>
    </cfRule>
    <cfRule type="expression" priority="1250" aboveAverage="0" equalAverage="0" bottom="0" percent="0" rank="0" text="" dxfId="3167">
      <formula>AND($L86="X",$B86&lt;&gt;"")</formula>
    </cfRule>
  </conditionalFormatting>
  <conditionalFormatting sqref="E92 G98">
    <cfRule type="expression" priority="1251" aboveAverage="0" equalAverage="0" bottom="0" percent="0" rank="0" text="" dxfId="3168">
      <formula>AND($L92="X",OR($B92&lt;&gt;"",#ref!&lt;&gt;"",$C92&lt;&gt;"",$D92&lt;&gt;"",$F92&lt;&gt;""))</formula>
    </cfRule>
    <cfRule type="expression" priority="1252" aboveAverage="0" equalAverage="0" bottom="0" percent="0" rank="0" text="" dxfId="3169">
      <formula>AND($L92="X",OR($B92&lt;&gt;"",#ref!&lt;&gt;"",$C92&lt;&gt;"",$D92&lt;&gt;""))</formula>
    </cfRule>
    <cfRule type="expression" priority="1253" aboveAverage="0" equalAverage="0" bottom="0" percent="0" rank="0" text="" dxfId="3170">
      <formula>AND($L92="X",OR($B92&lt;&gt;"",$C92&lt;&gt;"",$D92&lt;&gt;"",$E92&lt;&gt;""))</formula>
    </cfRule>
  </conditionalFormatting>
  <conditionalFormatting sqref="E98">
    <cfRule type="expression" priority="1254" aboveAverage="0" equalAverage="0" bottom="0" percent="0" rank="0" text="" dxfId="3171">
      <formula>AND($L98="X",OR($B98&lt;&gt;"",#ref!&lt;&gt;"",$C98&lt;&gt;""))</formula>
    </cfRule>
    <cfRule type="expression" priority="1255" aboveAverage="0" equalAverage="0" bottom="0" percent="0" rank="0" text="" dxfId="3172">
      <formula>AND($L98="X",OR($B98&lt;&gt;"",$C98&lt;&gt;"",$D98&lt;&gt;""))</formula>
    </cfRule>
    <cfRule type="expression" priority="1256" aboveAverage="0" equalAverage="0" bottom="0" percent="0" rank="0" text="" dxfId="3173">
      <formula>AND($L98="X",OR($B98&lt;&gt;"",$C98&lt;&gt;"",$D98&lt;&gt;"",$E98&lt;&gt;""))</formula>
    </cfRule>
    <cfRule type="expression" priority="1257" aboveAverage="0" equalAverage="0" bottom="0" percent="0" rank="0" text="" dxfId="3174">
      <formula>AND($L98="X",OR($B98&lt;&gt;"",$C98&lt;&gt;"",$E98&lt;&gt;"",#ref!&lt;&gt;""))</formula>
    </cfRule>
    <cfRule type="expression" priority="1258" aboveAverage="0" equalAverage="0" bottom="0" percent="0" rank="0" text="" dxfId="3175">
      <formula>#ref!=1</formula>
    </cfRule>
    <cfRule type="expression" priority="1259" aboveAverage="0" equalAverage="0" bottom="0" percent="0" rank="0" text="" dxfId="3176">
      <formula>AND($L98="X",OR($B98&lt;&gt;"",$C98&lt;&gt;"",$D98&lt;&gt;""))</formula>
    </cfRule>
    <cfRule type="expression" priority="1260" aboveAverage="0" equalAverage="0" bottom="0" percent="0" rank="0" text="" dxfId="3177">
      <formula>AND($L98="X",OR($B98&lt;&gt;"",$C98&lt;&gt;"",$D98&lt;&gt;"",$E98&lt;&gt;""))</formula>
    </cfRule>
    <cfRule type="expression" priority="1261" aboveAverage="0" equalAverage="0" bottom="0" percent="0" rank="0" text="" dxfId="3178">
      <formula>AND(#ref!=1,#ref!=1)</formula>
    </cfRule>
    <cfRule type="expression" priority="1262" aboveAverage="0" equalAverage="0" bottom="0" percent="0" rank="0" text="" dxfId="3179">
      <formula>#ref!=1</formula>
    </cfRule>
    <cfRule type="expression" priority="1263" aboveAverage="0" equalAverage="0" bottom="0" percent="0" rank="0" text="" dxfId="3180">
      <formula>#ref!=1</formula>
    </cfRule>
    <cfRule type="expression" priority="1264" aboveAverage="0" equalAverage="0" bottom="0" percent="0" rank="0" text="" dxfId="3181">
      <formula>AND($L98="X",OR($B98&lt;&gt;"",$C98&lt;&gt;"",$E98&lt;&gt;"",#ref!&lt;&gt;""))</formula>
    </cfRule>
    <cfRule type="expression" priority="1265" aboveAverage="0" equalAverage="0" bottom="0" percent="0" rank="0" text="" dxfId="3182">
      <formula>AND($L98="X",OR($B98&lt;&gt;"",$C98&lt;&gt;""))</formula>
    </cfRule>
    <cfRule type="expression" priority="1266" aboveAverage="0" equalAverage="0" bottom="0" percent="0" rank="0" text="" dxfId="3183">
      <formula>AND($L98="X",OR($B98&lt;&gt;"",$C98&lt;&gt;"",$D98&lt;&gt;"",$E98&lt;&gt;""))</formula>
    </cfRule>
    <cfRule type="expression" priority="1267" aboveAverage="0" equalAverage="0" bottom="0" percent="0" rank="0" text="" dxfId="3184">
      <formula>AND(#ref!=1,#ref!=1)</formula>
    </cfRule>
    <cfRule type="expression" priority="1268" aboveAverage="0" equalAverage="0" bottom="0" percent="0" rank="0" text="" dxfId="3185">
      <formula>#ref!=1</formula>
    </cfRule>
    <cfRule type="expression" priority="1269" aboveAverage="0" equalAverage="0" bottom="0" percent="0" rank="0" text="" dxfId="3186">
      <formula>#ref!=1</formula>
    </cfRule>
    <cfRule type="expression" priority="1270" aboveAverage="0" equalAverage="0" bottom="0" percent="0" rank="0" text="" dxfId="3187">
      <formula>AND($L98="X",OR($B98&lt;&gt;"",$C98&lt;&gt;"",$E98&lt;&gt;"",#ref!&lt;&gt;""))</formula>
    </cfRule>
    <cfRule type="expression" priority="1271" aboveAverage="0" equalAverage="0" bottom="0" percent="0" rank="0" text="" dxfId="3188">
      <formula>#ref!=1</formula>
    </cfRule>
    <cfRule type="expression" priority="1272" aboveAverage="0" equalAverage="0" bottom="0" percent="0" rank="0" text="" dxfId="3189">
      <formula>AND($L98="X",OR($B98&lt;&gt;"",$C98&lt;&gt;"",$D98&lt;&gt;""))</formula>
    </cfRule>
    <cfRule type="expression" priority="1273" aboveAverage="0" equalAverage="0" bottom="0" percent="0" rank="0" text="" dxfId="3190">
      <formula>AND($L98="X",OR($B98&lt;&gt;"",$C98&lt;&gt;"",$D98&lt;&gt;"",$E98&lt;&gt;""))</formula>
    </cfRule>
    <cfRule type="expression" priority="1274" aboveAverage="0" equalAverage="0" bottom="0" percent="0" rank="0" text="" dxfId="3191">
      <formula>AND(#ref!=1,#ref!=1)</formula>
    </cfRule>
    <cfRule type="expression" priority="1275" aboveAverage="0" equalAverage="0" bottom="0" percent="0" rank="0" text="" dxfId="3192">
      <formula>#ref!=1</formula>
    </cfRule>
    <cfRule type="expression" priority="1276" aboveAverage="0" equalAverage="0" bottom="0" percent="0" rank="0" text="" dxfId="3193">
      <formula>AND($L98="X",OR($B98&lt;&gt;"",$C98&lt;&gt;"",$E98&lt;&gt;"",#ref!&lt;&gt;""))</formula>
    </cfRule>
    <cfRule type="expression" priority="1277" aboveAverage="0" equalAverage="0" bottom="0" percent="0" rank="0" text="" dxfId="3194">
      <formula>AND($L98="X",OR($B98&lt;&gt;"",$C98&lt;&gt;""))</formula>
    </cfRule>
  </conditionalFormatting>
  <conditionalFormatting sqref="E99:E100 E183">
    <cfRule type="expression" priority="1278" aboveAverage="0" equalAverage="0" bottom="0" percent="0" rank="0" text="" dxfId="3195">
      <formula>AND($L99="X",OR($B99&lt;&gt;"",$D99&lt;&gt;"",#ref!&lt;&gt;""))</formula>
    </cfRule>
  </conditionalFormatting>
  <conditionalFormatting sqref="E101">
    <cfRule type="expression" priority="1279" aboveAverage="0" equalAverage="0" bottom="0" percent="0" rank="0" text="" dxfId="3196">
      <formula>AND($L101="X",OR($B101&lt;&gt;"",#ref!&lt;&gt;"",$C101&lt;&gt;"",$D101&lt;&gt;""))</formula>
    </cfRule>
    <cfRule type="expression" priority="1280" aboveAverage="0" equalAverage="0" bottom="0" percent="0" rank="0" text="" dxfId="3197">
      <formula>AND($L101="X",OR($B101&lt;&gt;"",$C101&lt;&gt;"",$D101&lt;&gt;"",$E101&lt;&gt;""))</formula>
    </cfRule>
  </conditionalFormatting>
  <conditionalFormatting sqref="E102">
    <cfRule type="expression" priority="1281" aboveAverage="0" equalAverage="0" bottom="0" percent="0" rank="0" text="" dxfId="3198">
      <formula>AND($L102="X",OR($B102&lt;&gt;"",#ref!&lt;&gt;"",$C102&lt;&gt;""))</formula>
    </cfRule>
    <cfRule type="expression" priority="1282" aboveAverage="0" equalAverage="0" bottom="0" percent="0" rank="0" text="" dxfId="3199">
      <formula>AND($L102="X",OR($B102&lt;&gt;"",$C102&lt;&gt;"",$D102&lt;&gt;""))</formula>
    </cfRule>
    <cfRule type="expression" priority="1283" aboveAverage="0" equalAverage="0" bottom="0" percent="0" rank="0" text="" dxfId="3200">
      <formula>AND($L102="X",OR($B102&lt;&gt;"",$C102&lt;&gt;"",$D102&lt;&gt;"",$E102&lt;&gt;""))</formula>
    </cfRule>
    <cfRule type="expression" priority="1284" aboveAverage="0" equalAverage="0" bottom="0" percent="0" rank="0" text="" dxfId="3201">
      <formula>AND($L102="X",OR($B102&lt;&gt;"",$C102&lt;&gt;"",$E102&lt;&gt;"",#ref!&lt;&gt;""))</formula>
    </cfRule>
    <cfRule type="expression" priority="1285" aboveAverage="0" equalAverage="0" bottom="0" percent="0" rank="0" text="" dxfId="3202">
      <formula>#ref!=1</formula>
    </cfRule>
    <cfRule type="expression" priority="1286" aboveAverage="0" equalAverage="0" bottom="0" percent="0" rank="0" text="" dxfId="3203">
      <formula>AND($L102="X",OR($B102&lt;&gt;"",$C102&lt;&gt;"",$D102&lt;&gt;""))</formula>
    </cfRule>
    <cfRule type="expression" priority="1287" aboveAverage="0" equalAverage="0" bottom="0" percent="0" rank="0" text="" dxfId="3204">
      <formula>AND($L102="X",OR($B102&lt;&gt;"",$C102&lt;&gt;"",$D102&lt;&gt;"",$E102&lt;&gt;""))</formula>
    </cfRule>
    <cfRule type="expression" priority="1288" aboveAverage="0" equalAverage="0" bottom="0" percent="0" rank="0" text="" dxfId="3205">
      <formula>AND(#ref!=1,#ref!=1)</formula>
    </cfRule>
    <cfRule type="expression" priority="1289" aboveAverage="0" equalAverage="0" bottom="0" percent="0" rank="0" text="" dxfId="3206">
      <formula>#ref!=1</formula>
    </cfRule>
    <cfRule type="expression" priority="1290" aboveAverage="0" equalAverage="0" bottom="0" percent="0" rank="0" text="" dxfId="3207">
      <formula>#ref!=1</formula>
    </cfRule>
    <cfRule type="expression" priority="1291" aboveAverage="0" equalAverage="0" bottom="0" percent="0" rank="0" text="" dxfId="3208">
      <formula>AND($L102="X",OR($B102&lt;&gt;"",$C102&lt;&gt;"",$E102&lt;&gt;"",#ref!&lt;&gt;""))</formula>
    </cfRule>
    <cfRule type="expression" priority="1292" aboveAverage="0" equalAverage="0" bottom="0" percent="0" rank="0" text="" dxfId="3209">
      <formula>AND($L102="X",OR($B102&lt;&gt;"",$C102&lt;&gt;""))</formula>
    </cfRule>
    <cfRule type="expression" priority="1293" aboveAverage="0" equalAverage="0" bottom="0" percent="0" rank="0" text="" dxfId="3210">
      <formula>AND($L102="X",OR($B102&lt;&gt;"",$C102&lt;&gt;"",$D102&lt;&gt;"",$E102&lt;&gt;""))</formula>
    </cfRule>
    <cfRule type="expression" priority="1294" aboveAverage="0" equalAverage="0" bottom="0" percent="0" rank="0" text="" dxfId="3211">
      <formula>AND(#ref!=1,#ref!=1)</formula>
    </cfRule>
    <cfRule type="expression" priority="1295" aboveAverage="0" equalAverage="0" bottom="0" percent="0" rank="0" text="" dxfId="3212">
      <formula>#ref!=1</formula>
    </cfRule>
    <cfRule type="expression" priority="1296" aboveAverage="0" equalAverage="0" bottom="0" percent="0" rank="0" text="" dxfId="3213">
      <formula>#ref!=1</formula>
    </cfRule>
    <cfRule type="expression" priority="1297" aboveAverage="0" equalAverage="0" bottom="0" percent="0" rank="0" text="" dxfId="3214">
      <formula>AND($L102="X",OR($B102&lt;&gt;"",$C102&lt;&gt;"",$E102&lt;&gt;"",#ref!&lt;&gt;""))</formula>
    </cfRule>
    <cfRule type="expression" priority="1298" aboveAverage="0" equalAverage="0" bottom="0" percent="0" rank="0" text="" dxfId="3215">
      <formula>#ref!=1</formula>
    </cfRule>
    <cfRule type="expression" priority="1299" aboveAverage="0" equalAverage="0" bottom="0" percent="0" rank="0" text="" dxfId="3216">
      <formula>AND($L102="X",OR($B102&lt;&gt;"",$C102&lt;&gt;"",$D102&lt;&gt;"",$E102&lt;&gt;""))</formula>
    </cfRule>
    <cfRule type="expression" priority="1300" aboveAverage="0" equalAverage="0" bottom="0" percent="0" rank="0" text="" dxfId="3217">
      <formula>AND(#ref!=1,#ref!=1)</formula>
    </cfRule>
    <cfRule type="expression" priority="1301" aboveAverage="0" equalAverage="0" bottom="0" percent="0" rank="0" text="" dxfId="3218">
      <formula>#ref!=1</formula>
    </cfRule>
    <cfRule type="expression" priority="1302" aboveAverage="0" equalAverage="0" bottom="0" percent="0" rank="0" text="" dxfId="3219">
      <formula>AND($L102="X",OR($B102&lt;&gt;"",$C102&lt;&gt;"",$E102&lt;&gt;"",#ref!&lt;&gt;""))</formula>
    </cfRule>
  </conditionalFormatting>
  <conditionalFormatting sqref="E106">
    <cfRule type="expression" priority="1303" aboveAverage="0" equalAverage="0" bottom="0" percent="0" rank="0" text="" dxfId="3220">
      <formula>AND($L106="X",OR($B106&lt;&gt;"",#ref!&lt;&gt;"",$C106&lt;&gt;""))</formula>
    </cfRule>
    <cfRule type="expression" priority="1304" aboveAverage="0" equalAverage="0" bottom="0" percent="0" rank="0" text="" dxfId="3221">
      <formula>AND($L106="X",OR($B106&lt;&gt;"",$C106&lt;&gt;"",$D106&lt;&gt;""))</formula>
    </cfRule>
    <cfRule type="expression" priority="1305" aboveAverage="0" equalAverage="0" bottom="0" percent="0" rank="0" text="" dxfId="3222">
      <formula>AND($L106="X",OR($B106&lt;&gt;"",$C106&lt;&gt;"",$D106&lt;&gt;"",$E106&lt;&gt;""))</formula>
    </cfRule>
    <cfRule type="expression" priority="1306" aboveAverage="0" equalAverage="0" bottom="0" percent="0" rank="0" text="" dxfId="3223">
      <formula>AND($L106="X",OR($B106&lt;&gt;"",$C106&lt;&gt;"",$E106&lt;&gt;"",#ref!&lt;&gt;""))</formula>
    </cfRule>
    <cfRule type="expression" priority="1307" aboveAverage="0" equalAverage="0" bottom="0" percent="0" rank="0" text="" dxfId="3224">
      <formula>#ref!=1</formula>
    </cfRule>
    <cfRule type="expression" priority="1308" aboveAverage="0" equalAverage="0" bottom="0" percent="0" rank="0" text="" dxfId="3225">
      <formula>AND($L106="X",OR($B106&lt;&gt;"",$C106&lt;&gt;"",$D106&lt;&gt;""))</formula>
    </cfRule>
    <cfRule type="expression" priority="1309" aboveAverage="0" equalAverage="0" bottom="0" percent="0" rank="0" text="" dxfId="3226">
      <formula>AND($L106="X",OR($B106&lt;&gt;"",$C106&lt;&gt;"",$D106&lt;&gt;"",$E106&lt;&gt;""))</formula>
    </cfRule>
    <cfRule type="expression" priority="1310" aboveAverage="0" equalAverage="0" bottom="0" percent="0" rank="0" text="" dxfId="3227">
      <formula>AND(#ref!=1,#ref!=1)</formula>
    </cfRule>
    <cfRule type="expression" priority="1311" aboveAverage="0" equalAverage="0" bottom="0" percent="0" rank="0" text="" dxfId="3228">
      <formula>#ref!=1</formula>
    </cfRule>
    <cfRule type="expression" priority="1312" aboveAverage="0" equalAverage="0" bottom="0" percent="0" rank="0" text="" dxfId="3229">
      <formula>#ref!=1</formula>
    </cfRule>
    <cfRule type="expression" priority="1313" aboveAverage="0" equalAverage="0" bottom="0" percent="0" rank="0" text="" dxfId="3230">
      <formula>AND($L106="X",OR($B106&lt;&gt;"",$C106&lt;&gt;"",$E106&lt;&gt;"",#ref!&lt;&gt;""))</formula>
    </cfRule>
    <cfRule type="expression" priority="1314" aboveAverage="0" equalAverage="0" bottom="0" percent="0" rank="0" text="" dxfId="3231">
      <formula>AND($L106="X",OR($B106&lt;&gt;"",$C106&lt;&gt;""))</formula>
    </cfRule>
    <cfRule type="expression" priority="1315" aboveAverage="0" equalAverage="0" bottom="0" percent="0" rank="0" text="" dxfId="3232">
      <formula>AND($L106="X",OR($B106&lt;&gt;"",$C106&lt;&gt;"",$D106&lt;&gt;"",$E106&lt;&gt;""))</formula>
    </cfRule>
    <cfRule type="expression" priority="1316" aboveAverage="0" equalAverage="0" bottom="0" percent="0" rank="0" text="" dxfId="3233">
      <formula>AND(#ref!=1,#ref!=1)</formula>
    </cfRule>
    <cfRule type="expression" priority="1317" aboveAverage="0" equalAverage="0" bottom="0" percent="0" rank="0" text="" dxfId="3234">
      <formula>#ref!=1</formula>
    </cfRule>
    <cfRule type="expression" priority="1318" aboveAverage="0" equalAverage="0" bottom="0" percent="0" rank="0" text="" dxfId="3235">
      <formula>#ref!=1</formula>
    </cfRule>
    <cfRule type="expression" priority="1319" aboveAverage="0" equalAverage="0" bottom="0" percent="0" rank="0" text="" dxfId="3236">
      <formula>AND($L106="X",OR($B106&lt;&gt;"",$C106&lt;&gt;"",$E106&lt;&gt;"",#ref!&lt;&gt;""))</formula>
    </cfRule>
    <cfRule type="expression" priority="1320" aboveAverage="0" equalAverage="0" bottom="0" percent="0" rank="0" text="" dxfId="3237">
      <formula>#ref!=1</formula>
    </cfRule>
  </conditionalFormatting>
  <conditionalFormatting sqref="E111">
    <cfRule type="expression" priority="1321" aboveAverage="0" equalAverage="0" bottom="0" percent="0" rank="0" text="" dxfId="3238">
      <formula>AND($L111="X",OR($B111&lt;&gt;"",#ref!&lt;&gt;"",$C111&lt;&gt;""))</formula>
    </cfRule>
    <cfRule type="expression" priority="1322" aboveAverage="0" equalAverage="0" bottom="0" percent="0" rank="0" text="" dxfId="3239">
      <formula>AND($L111="X",OR($B111&lt;&gt;"",$C111&lt;&gt;"",$D111&lt;&gt;""))</formula>
    </cfRule>
    <cfRule type="expression" priority="1323" aboveAverage="0" equalAverage="0" bottom="0" percent="0" rank="0" text="" dxfId="3240">
      <formula>AND($L111="X",OR($B111&lt;&gt;"",$C111&lt;&gt;"",$D111&lt;&gt;"",$E111&lt;&gt;""))</formula>
    </cfRule>
    <cfRule type="expression" priority="1324" aboveAverage="0" equalAverage="0" bottom="0" percent="0" rank="0" text="" dxfId="3241">
      <formula>AND($L111="X",OR($B111&lt;&gt;"",$C111&lt;&gt;"",$E111&lt;&gt;"",#ref!&lt;&gt;""))</formula>
    </cfRule>
    <cfRule type="expression" priority="1325" aboveAverage="0" equalAverage="0" bottom="0" percent="0" rank="0" text="" dxfId="3242">
      <formula>#ref!=1</formula>
    </cfRule>
    <cfRule type="expression" priority="1326" aboveAverage="0" equalAverage="0" bottom="0" percent="0" rank="0" text="" dxfId="3243">
      <formula>AND($L111="X",OR($B111&lt;&gt;"",$C111&lt;&gt;"",$D111&lt;&gt;""))</formula>
    </cfRule>
    <cfRule type="expression" priority="1327" aboveAverage="0" equalAverage="0" bottom="0" percent="0" rank="0" text="" dxfId="3244">
      <formula>AND($L111="X",OR($B111&lt;&gt;"",$C111&lt;&gt;"",$D111&lt;&gt;"",$E111&lt;&gt;""))</formula>
    </cfRule>
    <cfRule type="expression" priority="1328" aboveAverage="0" equalAverage="0" bottom="0" percent="0" rank="0" text="" dxfId="3245">
      <formula>AND(#ref!=1,#ref!=1)</formula>
    </cfRule>
    <cfRule type="expression" priority="1329" aboveAverage="0" equalAverage="0" bottom="0" percent="0" rank="0" text="" dxfId="3246">
      <formula>#ref!=1</formula>
    </cfRule>
    <cfRule type="expression" priority="1330" aboveAverage="0" equalAverage="0" bottom="0" percent="0" rank="0" text="" dxfId="3247">
      <formula>#ref!=1</formula>
    </cfRule>
    <cfRule type="expression" priority="1331" aboveAverage="0" equalAverage="0" bottom="0" percent="0" rank="0" text="" dxfId="3248">
      <formula>AND($L111="X",OR($B111&lt;&gt;"",$C111&lt;&gt;"",$E111&lt;&gt;"",#ref!&lt;&gt;""))</formula>
    </cfRule>
    <cfRule type="expression" priority="1332" aboveAverage="0" equalAverage="0" bottom="0" percent="0" rank="0" text="" dxfId="3249">
      <formula>AND($L111="X",OR($B111&lt;&gt;"",$C111&lt;&gt;""))</formula>
    </cfRule>
  </conditionalFormatting>
  <conditionalFormatting sqref="E115:E117">
    <cfRule type="expression" priority="1333" aboveAverage="0" equalAverage="0" bottom="0" percent="0" rank="0" text="" dxfId="3250">
      <formula>AND($L115="X",OR($B115&lt;&gt;"",#ref!&lt;&gt;"",$C115&lt;&gt;"",$D115&lt;&gt;""))</formula>
    </cfRule>
    <cfRule type="expression" priority="1334" aboveAverage="0" equalAverage="0" bottom="0" percent="0" rank="0" text="" dxfId="3251">
      <formula>AND($L115="X",OR($B115&lt;&gt;"",$C115&lt;&gt;"",$D115&lt;&gt;"",$E115&lt;&gt;""))</formula>
    </cfRule>
  </conditionalFormatting>
  <conditionalFormatting sqref="E121">
    <cfRule type="expression" priority="1335" aboveAverage="0" equalAverage="0" bottom="0" percent="0" rank="0" text="" dxfId="3252">
      <formula>AND($L121="X",OR($B121&lt;&gt;"",#ref!&lt;&gt;"",$C121&lt;&gt;""))</formula>
    </cfRule>
    <cfRule type="expression" priority="1336" aboveAverage="0" equalAverage="0" bottom="0" percent="0" rank="0" text="" dxfId="3253">
      <formula>AND($L121="X",OR($B121&lt;&gt;"",$C121&lt;&gt;"",$D121&lt;&gt;""))</formula>
    </cfRule>
    <cfRule type="expression" priority="1337" aboveAverage="0" equalAverage="0" bottom="0" percent="0" rank="0" text="" dxfId="3254">
      <formula>AND($L121="X",OR($B121&lt;&gt;"",$C121&lt;&gt;"",$D121&lt;&gt;"",$E121&lt;&gt;""))</formula>
    </cfRule>
    <cfRule type="expression" priority="1338" aboveAverage="0" equalAverage="0" bottom="0" percent="0" rank="0" text="" dxfId="3255">
      <formula>AND($L121="X",OR($B121&lt;&gt;"",$C121&lt;&gt;"",$E121&lt;&gt;"",#ref!&lt;&gt;""))</formula>
    </cfRule>
    <cfRule type="expression" priority="1339" aboveAverage="0" equalAverage="0" bottom="0" percent="0" rank="0" text="" dxfId="3256">
      <formula>#ref!=1</formula>
    </cfRule>
    <cfRule type="expression" priority="1340" aboveAverage="0" equalAverage="0" bottom="0" percent="0" rank="0" text="" dxfId="3257">
      <formula>AND($L121="X",OR($B121&lt;&gt;"",$C121&lt;&gt;"",$D121&lt;&gt;"",$E121&lt;&gt;""))</formula>
    </cfRule>
    <cfRule type="expression" priority="1341" aboveAverage="0" equalAverage="0" bottom="0" percent="0" rank="0" text="" dxfId="3258">
      <formula>AND(#ref!=1,#ref!=1)</formula>
    </cfRule>
    <cfRule type="expression" priority="1342" aboveAverage="0" equalAverage="0" bottom="0" percent="0" rank="0" text="" dxfId="3259">
      <formula>#ref!=1</formula>
    </cfRule>
    <cfRule type="expression" priority="1343" aboveAverage="0" equalAverage="0" bottom="0" percent="0" rank="0" text="" dxfId="3260">
      <formula>#ref!=1</formula>
    </cfRule>
    <cfRule type="expression" priority="1344" aboveAverage="0" equalAverage="0" bottom="0" percent="0" rank="0" text="" dxfId="3261">
      <formula>AND($L121="X",OR($B121&lt;&gt;"",$C121&lt;&gt;"",$E121&lt;&gt;"",#ref!&lt;&gt;""))</formula>
    </cfRule>
  </conditionalFormatting>
  <conditionalFormatting sqref="E123">
    <cfRule type="expression" priority="1345" aboveAverage="0" equalAverage="0" bottom="0" percent="0" rank="0" text="" dxfId="3262">
      <formula>AND($L123="X",OR($B123&lt;&gt;"",#ref!&lt;&gt;"",$C123&lt;&gt;"",$D123&lt;&gt;""))</formula>
    </cfRule>
    <cfRule type="expression" priority="1346" aboveAverage="0" equalAverage="0" bottom="0" percent="0" rank="0" text="" dxfId="3263">
      <formula>AND($L123="X",OR($B123&lt;&gt;"",$C123&lt;&gt;"",$D123&lt;&gt;"",$E123&lt;&gt;""))</formula>
    </cfRule>
    <cfRule type="expression" priority="1347" aboveAverage="0" equalAverage="0" bottom="0" percent="0" rank="0" text="" dxfId="3264">
      <formula>AND($L123="X",OR($B123&lt;&gt;"",$C123&lt;&gt;"",$E123&lt;&gt;"",#ref!&lt;&gt;""))</formula>
    </cfRule>
    <cfRule type="expression" priority="1348" aboveAverage="0" equalAverage="0" bottom="0" percent="0" rank="0" text="" dxfId="3265">
      <formula>AND($L123="X",OR(#ref!&lt;&gt;"",$B123&lt;&gt;"",$C123&lt;&gt;""))</formula>
    </cfRule>
  </conditionalFormatting>
  <conditionalFormatting sqref="E131">
    <cfRule type="expression" priority="1349" aboveAverage="0" equalAverage="0" bottom="0" percent="0" rank="0" text="" dxfId="3266">
      <formula>AND($L131="X",OR($B131&lt;&gt;"",#ref!&lt;&gt;"",$C131&lt;&gt;"",$D131&lt;&gt;"",$F131&lt;&gt;""))</formula>
    </cfRule>
    <cfRule type="expression" priority="1350" aboveAverage="0" equalAverage="0" bottom="0" percent="0" rank="0" text="" dxfId="3267">
      <formula>AND($L131="X",OR($B131&lt;&gt;"",#ref!&lt;&gt;"",$C131&lt;&gt;"",$D131&lt;&gt;""))</formula>
    </cfRule>
    <cfRule type="expression" priority="1351" aboveAverage="0" equalAverage="0" bottom="0" percent="0" rank="0" text="" dxfId="3268">
      <formula>AND($L131="X",OR($B131&lt;&gt;"",$C131&lt;&gt;"",$D131&lt;&gt;"",$E131&lt;&gt;"",$F131&lt;&gt;""))</formula>
    </cfRule>
    <cfRule type="expression" priority="1352" aboveAverage="0" equalAverage="0" bottom="0" percent="0" rank="0" text="" dxfId="3269">
      <formula>AND($L131="X",OR($B131&lt;&gt;"",$C131&lt;&gt;"",$E131&lt;&gt;"",#ref!&lt;&gt;"",$F131&lt;&gt;""))</formula>
    </cfRule>
    <cfRule type="expression" priority="1353" aboveAverage="0" equalAverage="0" bottom="0" percent="0" rank="0" text="" dxfId="3270">
      <formula>AND($L131="X",OR($B131&lt;&gt;"",$C131&lt;&gt;"",$E131&lt;&gt;"",#ref!&lt;&gt;""))</formula>
    </cfRule>
    <cfRule type="expression" priority="1354" aboveAverage="0" equalAverage="0" bottom="0" percent="0" rank="0" text="" dxfId="3271">
      <formula>AND($L131="X",OR($B131&lt;&gt;"",$C131&lt;&gt;"",$D131&lt;&gt;"",$E131&lt;&gt;""))</formula>
    </cfRule>
  </conditionalFormatting>
  <conditionalFormatting sqref="E132">
    <cfRule type="expression" priority="1355" aboveAverage="0" equalAverage="0" bottom="0" percent="0" rank="0" text="" dxfId="3272">
      <formula>AND($L132="X",OR($B132&lt;&gt;"",$C132&lt;&gt;"",$D132&lt;&gt;"",$E132&lt;&gt;""))</formula>
    </cfRule>
    <cfRule type="expression" priority="1356" aboveAverage="0" equalAverage="0" bottom="0" percent="0" rank="0" text="" dxfId="3273">
      <formula>AND($L132="X",OR($B132&lt;&gt;"",$C132&lt;&gt;"",$E132&lt;&gt;"",#ref!&lt;&gt;""))</formula>
    </cfRule>
    <cfRule type="expression" priority="1357" aboveAverage="0" equalAverage="0" bottom="0" percent="0" rank="0" text="" dxfId="3274">
      <formula>#ref!=1</formula>
    </cfRule>
    <cfRule type="expression" priority="1358" aboveAverage="0" equalAverage="0" bottom="0" percent="0" rank="0" text="" dxfId="3275">
      <formula>AND($L132="X",OR($B132&lt;&gt;"",$C132&lt;&gt;"",$D132&lt;&gt;""))</formula>
    </cfRule>
  </conditionalFormatting>
  <conditionalFormatting sqref="E133">
    <cfRule type="expression" priority="1359" aboveAverage="0" equalAverage="0" bottom="0" percent="0" rank="0" text="" dxfId="3276">
      <formula>AND($L133="X",OR($B133&lt;&gt;"",#ref!&lt;&gt;"",$C133&lt;&gt;"",$D133&lt;&gt;""))</formula>
    </cfRule>
    <cfRule type="expression" priority="1360" aboveAverage="0" equalAverage="0" bottom="0" percent="0" rank="0" text="" dxfId="3277">
      <formula>AND($L133="X",OR($B133&lt;&gt;"",$C133&lt;&gt;"",$D133&lt;&gt;"",$E133&lt;&gt;""))</formula>
    </cfRule>
    <cfRule type="expression" priority="1361" aboveAverage="0" equalAverage="0" bottom="0" percent="0" rank="0" text="" dxfId="3278">
      <formula>AND($L133="X",OR($B133&lt;&gt;"",$C133&lt;&gt;"",$E133&lt;&gt;"",#ref!&lt;&gt;""))</formula>
    </cfRule>
  </conditionalFormatting>
  <conditionalFormatting sqref="E134">
    <cfRule type="expression" priority="1362" aboveAverage="0" equalAverage="0" bottom="0" percent="0" rank="0" text="" dxfId="3279">
      <formula>AND($L134="X",OR($B134&lt;&gt;"",#ref!&lt;&gt;"",$C134&lt;&gt;""))</formula>
    </cfRule>
    <cfRule type="expression" priority="1363" aboveAverage="0" equalAverage="0" bottom="0" percent="0" rank="0" text="" dxfId="3280">
      <formula>AND($L134="X",OR($B134&lt;&gt;"",$C134&lt;&gt;"",$D134&lt;&gt;""))</formula>
    </cfRule>
    <cfRule type="expression" priority="1364" aboveAverage="0" equalAverage="0" bottom="0" percent="0" rank="0" text="" dxfId="3281">
      <formula>AND($L134="X",OR($B134&lt;&gt;"",$C134&lt;&gt;"",$D134&lt;&gt;"",$E134&lt;&gt;""))</formula>
    </cfRule>
    <cfRule type="expression" priority="1365" aboveAverage="0" equalAverage="0" bottom="0" percent="0" rank="0" text="" dxfId="3282">
      <formula>AND($L134="X",OR($B134&lt;&gt;"",$C134&lt;&gt;"",$E134&lt;&gt;"",#ref!&lt;&gt;""))</formula>
    </cfRule>
    <cfRule type="expression" priority="1366" aboveAverage="0" equalAverage="0" bottom="0" percent="0" rank="0" text="" dxfId="3283">
      <formula>#ref!=1</formula>
    </cfRule>
  </conditionalFormatting>
  <conditionalFormatting sqref="E137 D166">
    <cfRule type="expression" priority="1367" aboveAverage="0" equalAverage="0" bottom="0" percent="0" rank="0" text="" dxfId="3284">
      <formula>AND($L137="X",OR($B137&lt;&gt;"",#ref!&lt;&gt;"",$C137&lt;&gt;""))</formula>
    </cfRule>
  </conditionalFormatting>
  <conditionalFormatting sqref="E138">
    <cfRule type="expression" priority="1368" aboveAverage="0" equalAverage="0" bottom="0" percent="0" rank="0" text="" dxfId="3285">
      <formula>AND($L138="X",OR($B138&lt;&gt;"",$C138&lt;&gt;""))</formula>
    </cfRule>
    <cfRule type="expression" priority="1369" aboveAverage="0" equalAverage="0" bottom="0" percent="0" rank="0" text="" dxfId="3286">
      <formula>AND(#ref!=1,#ref!=1)</formula>
    </cfRule>
    <cfRule type="expression" priority="1370" aboveAverage="0" equalAverage="0" bottom="0" percent="0" rank="0" text="" dxfId="3287">
      <formula>#ref!=1</formula>
    </cfRule>
  </conditionalFormatting>
  <conditionalFormatting sqref="E149">
    <cfRule type="expression" priority="1371" aboveAverage="0" equalAverage="0" bottom="0" percent="0" rank="0" text="" dxfId="3288">
      <formula>AND($L149="X",OR($B149&lt;&gt;"",$C149&lt;&gt;"",$D149&lt;&gt;"",$E149&lt;&gt;""))</formula>
    </cfRule>
    <cfRule type="expression" priority="1372" aboveAverage="0" equalAverage="0" bottom="0" percent="0" rank="0" text="" dxfId="3289">
      <formula>AND($L149="X",OR($B149&lt;&gt;"",#ref!&lt;&gt;"",$C149&lt;&gt;"",$D149&lt;&gt;""))</formula>
    </cfRule>
    <cfRule type="expression" priority="1373" aboveAverage="0" equalAverage="0" bottom="0" percent="0" rank="0" text="" dxfId="3290">
      <formula>AND(#ref!=1,#ref!=1)</formula>
    </cfRule>
    <cfRule type="expression" priority="1374" aboveAverage="0" equalAverage="0" bottom="0" percent="0" rank="0" text="" dxfId="3291">
      <formula>#ref!=1</formula>
    </cfRule>
    <cfRule type="expression" priority="1375" aboveAverage="0" equalAverage="0" bottom="0" percent="0" rank="0" text="" dxfId="3292">
      <formula>#ref!=1</formula>
    </cfRule>
    <cfRule type="expression" priority="1376" aboveAverage="0" equalAverage="0" bottom="0" percent="0" rank="0" text="" dxfId="3293">
      <formula>AND($L149="X",OR($B149&lt;&gt;"",$C149&lt;&gt;""))</formula>
    </cfRule>
    <cfRule type="expression" priority="1377" aboveAverage="0" equalAverage="0" bottom="0" percent="0" rank="0" text="" dxfId="3294">
      <formula>AND(#ref!=1,#ref!=1)</formula>
    </cfRule>
    <cfRule type="expression" priority="1378" aboveAverage="0" equalAverage="0" bottom="0" percent="0" rank="0" text="" dxfId="3295">
      <formula>#ref!=1</formula>
    </cfRule>
    <cfRule type="expression" priority="1379" aboveAverage="0" equalAverage="0" bottom="0" percent="0" rank="0" text="" dxfId="3296">
      <formula>#ref!=1</formula>
    </cfRule>
    <cfRule type="expression" priority="1380" aboveAverage="0" equalAverage="0" bottom="0" percent="0" rank="0" text="" dxfId="3297">
      <formula>AND($L149="X",OR($B149&lt;&gt;"",$C149&lt;&gt;""))</formula>
    </cfRule>
    <cfRule type="expression" priority="1381" aboveAverage="0" equalAverage="0" bottom="0" percent="0" rank="0" text="" dxfId="3298">
      <formula>AND(#ref!=1,#ref!=1)</formula>
    </cfRule>
    <cfRule type="expression" priority="1382" aboveAverage="0" equalAverage="0" bottom="0" percent="0" rank="0" text="" dxfId="3299">
      <formula>#ref!=1</formula>
    </cfRule>
    <cfRule type="expression" priority="1383" aboveAverage="0" equalAverage="0" bottom="0" percent="0" rank="0" text="" dxfId="3300">
      <formula>#ref!=1</formula>
    </cfRule>
    <cfRule type="expression" priority="1384" aboveAverage="0" equalAverage="0" bottom="0" percent="0" rank="0" text="" dxfId="3301">
      <formula>AND($L149="X",OR($B149&lt;&gt;"",$C149&lt;&gt;""))</formula>
    </cfRule>
    <cfRule type="expression" priority="1385" aboveAverage="0" equalAverage="0" bottom="0" percent="0" rank="0" text="" dxfId="3302">
      <formula>AND(#ref!=1,#ref!=1)</formula>
    </cfRule>
    <cfRule type="expression" priority="1386" aboveAverage="0" equalAverage="0" bottom="0" percent="0" rank="0" text="" dxfId="3303">
      <formula>#ref!=1</formula>
    </cfRule>
    <cfRule type="expression" priority="1387" aboveAverage="0" equalAverage="0" bottom="0" percent="0" rank="0" text="" dxfId="3304">
      <formula>#ref!=1</formula>
    </cfRule>
    <cfRule type="expression" priority="1388" aboveAverage="0" equalAverage="0" bottom="0" percent="0" rank="0" text="" dxfId="3305">
      <formula>AND($L149="X",OR($B149&lt;&gt;"",$C149&lt;&gt;""))</formula>
    </cfRule>
    <cfRule type="expression" priority="1389" aboveAverage="0" equalAverage="0" bottom="0" percent="0" rank="0" text="" dxfId="3306">
      <formula>AND(#ref!=1,#ref!=1)</formula>
    </cfRule>
    <cfRule type="expression" priority="1390" aboveAverage="0" equalAverage="0" bottom="0" percent="0" rank="0" text="" dxfId="3307">
      <formula>#ref!=1</formula>
    </cfRule>
    <cfRule type="expression" priority="1391" aboveAverage="0" equalAverage="0" bottom="0" percent="0" rank="0" text="" dxfId="3308">
      <formula>#ref!=1</formula>
    </cfRule>
    <cfRule type="expression" priority="1392" aboveAverage="0" equalAverage="0" bottom="0" percent="0" rank="0" text="" dxfId="3309">
      <formula>AND($L149="X",OR($B149&lt;&gt;"",$C149&lt;&gt;""))</formula>
    </cfRule>
    <cfRule type="expression" priority="1393" aboveAverage="0" equalAverage="0" bottom="0" percent="0" rank="0" text="" dxfId="3310">
      <formula>AND(#ref!=1,#ref!=1)</formula>
    </cfRule>
    <cfRule type="expression" priority="1394" aboveAverage="0" equalAverage="0" bottom="0" percent="0" rank="0" text="" dxfId="3311">
      <formula>#ref!=1</formula>
    </cfRule>
    <cfRule type="expression" priority="1395" aboveAverage="0" equalAverage="0" bottom="0" percent="0" rank="0" text="" dxfId="3312">
      <formula>#ref!=1</formula>
    </cfRule>
    <cfRule type="expression" priority="1396" aboveAverage="0" equalAverage="0" bottom="0" percent="0" rank="0" text="" dxfId="3313">
      <formula>AND($L149="X",OR($B149&lt;&gt;"",$C149&lt;&gt;""))</formula>
    </cfRule>
    <cfRule type="expression" priority="1397" aboveAverage="0" equalAverage="0" bottom="0" percent="0" rank="0" text="" dxfId="3314">
      <formula>AND(#ref!=1,#ref!=1)</formula>
    </cfRule>
    <cfRule type="expression" priority="1398" aboveAverage="0" equalAverage="0" bottom="0" percent="0" rank="0" text="" dxfId="3315">
      <formula>#ref!=1</formula>
    </cfRule>
    <cfRule type="expression" priority="1399" aboveAverage="0" equalAverage="0" bottom="0" percent="0" rank="0" text="" dxfId="3316">
      <formula>#ref!=1</formula>
    </cfRule>
    <cfRule type="expression" priority="1400" aboveAverage="0" equalAverage="0" bottom="0" percent="0" rank="0" text="" dxfId="3317">
      <formula>AND(NOT(ISBLANK($P149)),ISBLANK(#ref!),ISBLANK(#ref!))</formula>
    </cfRule>
    <cfRule type="expression" priority="1401" aboveAverage="0" equalAverage="0" bottom="0" percent="0" rank="0" text="" dxfId="3318">
      <formula>OR(#ref!="X",#ref!="X")</formula>
    </cfRule>
    <cfRule type="expression" priority="1402" aboveAverage="0" equalAverage="0" bottom="0" percent="0" rank="0" text="" dxfId="3319">
      <formula>AND(#ref!=1,#ref!=1)</formula>
    </cfRule>
    <cfRule type="expression" priority="1403" aboveAverage="0" equalAverage="0" bottom="0" percent="0" rank="0" text="" dxfId="3320">
      <formula>#ref!=1</formula>
    </cfRule>
    <cfRule type="expression" priority="1404" aboveAverage="0" equalAverage="0" bottom="0" percent="0" rank="0" text="" dxfId="3321">
      <formula>#ref!=1</formula>
    </cfRule>
    <cfRule type="expression" priority="1405" aboveAverage="0" equalAverage="0" bottom="0" percent="0" rank="0" text="" dxfId="3322">
      <formula>AND($L149="X",OR($B149&lt;&gt;"",$C149&lt;&gt;"",$D149&lt;&gt;""))</formula>
    </cfRule>
    <cfRule type="expression" priority="1406" aboveAverage="0" equalAverage="0" bottom="0" percent="0" rank="0" text="" dxfId="3323">
      <formula>OR(#ref!="X",#ref!="X")</formula>
    </cfRule>
    <cfRule type="expression" priority="1407" aboveAverage="0" equalAverage="0" bottom="0" percent="0" rank="0" text="" dxfId="3324">
      <formula>AND(#ref!=1,#ref!=1)</formula>
    </cfRule>
    <cfRule type="expression" priority="1408" aboveAverage="0" equalAverage="0" bottom="0" percent="0" rank="0" text="" dxfId="3325">
      <formula>AND($L149="X",OR($B149&lt;&gt;"",$C149&lt;&gt;"",$D149&lt;&gt;"",$E149&lt;&gt;""))</formula>
    </cfRule>
    <cfRule type="expression" priority="1409" aboveAverage="0" equalAverage="0" bottom="0" percent="0" rank="0" text="" dxfId="3326">
      <formula>AND($L149="X",OR($B149&lt;&gt;"",$C149&lt;&gt;"",$E149&lt;&gt;"",#ref!&lt;&gt;""))</formula>
    </cfRule>
    <cfRule type="expression" priority="1410" aboveAverage="0" equalAverage="0" bottom="0" percent="0" rank="0" text="" dxfId="3327">
      <formula>#ref!=1</formula>
    </cfRule>
  </conditionalFormatting>
  <conditionalFormatting sqref="E149:E150 E137:E142 E9:E31 F144:F145 E146 G147:G148 E152:E170 D166">
    <cfRule type="expression" priority="1411" aboveAverage="0" equalAverage="0" bottom="0" percent="0" rank="0" text="" dxfId="3328">
      <formula>AND($L9="X",OR($B9&lt;&gt;"",$C9&lt;&gt;"",$D9&lt;&gt;""))</formula>
    </cfRule>
  </conditionalFormatting>
  <conditionalFormatting sqref="E149:E150">
    <cfRule type="expression" priority="1412" aboveAverage="0" equalAverage="0" bottom="0" percent="0" rank="0" text="" dxfId="3329">
      <formula>OR(#ref!="X",#ref!="X")</formula>
    </cfRule>
    <cfRule type="expression" priority="1413" aboveAverage="0" equalAverage="0" bottom="0" percent="0" rank="0" text="" dxfId="3330">
      <formula>AND(#ref!=1,#ref!=1)</formula>
    </cfRule>
  </conditionalFormatting>
  <conditionalFormatting sqref="E150">
    <cfRule type="expression" priority="1414" aboveAverage="0" equalAverage="0" bottom="0" percent="0" rank="0" text="" dxfId="3331">
      <formula>AND($L150="X",OR($B150&lt;&gt;"",$C150&lt;&gt;"",$D150&lt;&gt;"",$E150&lt;&gt;""))</formula>
    </cfRule>
    <cfRule type="expression" priority="1415" aboveAverage="0" equalAverage="0" bottom="0" percent="0" rank="0" text="" dxfId="3332">
      <formula>AND($L150="X",OR($B150&lt;&gt;"",$C150&lt;&gt;"",$E150&lt;&gt;"",#ref!&lt;&gt;""))</formula>
    </cfRule>
    <cfRule type="expression" priority="1416" aboveAverage="0" equalAverage="0" bottom="0" percent="0" rank="0" text="" dxfId="3333">
      <formula>#ref!=1</formula>
    </cfRule>
  </conditionalFormatting>
  <conditionalFormatting sqref="E172:E174">
    <cfRule type="expression" priority="1417" aboveAverage="0" equalAverage="0" bottom="0" percent="0" rank="0" text="" dxfId="3334">
      <formula>OR(#ref!="X",#ref!="X")</formula>
    </cfRule>
    <cfRule type="expression" priority="1418" aboveAverage="0" equalAverage="0" bottom="0" percent="0" rank="0" text="" dxfId="3335">
      <formula>AND(#ref!=1,#ref!=1)</formula>
    </cfRule>
    <cfRule type="expression" priority="1419" aboveAverage="0" equalAverage="0" bottom="0" percent="0" rank="0" text="" dxfId="3336">
      <formula>#ref!=1</formula>
    </cfRule>
    <cfRule type="expression" priority="1420" aboveAverage="0" equalAverage="0" bottom="0" percent="0" rank="0" text="" dxfId="3337">
      <formula>#ref!=1</formula>
    </cfRule>
    <cfRule type="expression" priority="1421" aboveAverage="0" equalAverage="0" bottom="0" percent="0" rank="0" text="" dxfId="3338">
      <formula>AND(NOT(ISBLANK($P172)),ISBLANK(#ref!),ISBLANK(#ref!))</formula>
    </cfRule>
    <cfRule type="expression" priority="1422" aboveAverage="0" equalAverage="0" bottom="0" percent="0" rank="0" text="" dxfId="3339">
      <formula>AND($L172="X",OR(#ref!&lt;&gt;"",$B172&lt;&gt;"",$D172&lt;&gt;"",#ref!&lt;&gt;""))</formula>
    </cfRule>
  </conditionalFormatting>
  <conditionalFormatting sqref="E177">
    <cfRule type="expression" priority="1423" aboveAverage="0" equalAverage="0" bottom="0" percent="0" rank="0" text="" dxfId="3340">
      <formula>#ref!=1</formula>
    </cfRule>
    <cfRule type="expression" priority="1424" aboveAverage="0" equalAverage="0" bottom="0" percent="0" rank="0" text="" dxfId="3341">
      <formula>AND($L177="X",OR($B177&lt;&gt;"",$C177&lt;&gt;"",$D177&lt;&gt;"",$E177&lt;&gt;""))</formula>
    </cfRule>
    <cfRule type="expression" priority="1425" aboveAverage="0" equalAverage="0" bottom="0" percent="0" rank="0" text="" dxfId="3342">
      <formula>AND(#ref!=1,#ref!=1)</formula>
    </cfRule>
    <cfRule type="expression" priority="1426" aboveAverage="0" equalAverage="0" bottom="0" percent="0" rank="0" text="" dxfId="3343">
      <formula>#ref!=1</formula>
    </cfRule>
  </conditionalFormatting>
  <conditionalFormatting sqref="E183:E184">
    <cfRule type="expression" priority="1427" aboveAverage="0" equalAverage="0" bottom="0" percent="0" rank="0" text="" dxfId="3344">
      <formula>AND($L183="X",OR(#ref!&lt;&gt;"",$B183&lt;&gt;"",$D183&lt;&gt;""))</formula>
    </cfRule>
  </conditionalFormatting>
  <conditionalFormatting sqref="E186:E187">
    <cfRule type="expression" priority="1428" aboveAverage="0" equalAverage="0" bottom="0" percent="0" rank="0" text="" dxfId="3345">
      <formula>AND($L186="X",OR(#ref!&lt;&gt;"",$B186&lt;&gt;"",$C186&lt;&gt;""))</formula>
    </cfRule>
  </conditionalFormatting>
  <conditionalFormatting sqref="E188">
    <cfRule type="expression" priority="1429" aboveAverage="0" equalAverage="0" bottom="0" percent="0" rank="0" text="" dxfId="3346">
      <formula>AND($L188="X",OR($B188&lt;&gt;"",#ref!&lt;&gt;"",$C188&lt;&gt;"",$D188&lt;&gt;"",$F188&lt;&gt;""))</formula>
    </cfRule>
    <cfRule type="expression" priority="1430" aboveAverage="0" equalAverage="0" bottom="0" percent="0" rank="0" text="" dxfId="3347">
      <formula>AND($L188="X",OR($B188&lt;&gt;"",#ref!&lt;&gt;"",$C188&lt;&gt;"",$D188&lt;&gt;""))</formula>
    </cfRule>
  </conditionalFormatting>
  <conditionalFormatting sqref="E188:E190">
    <cfRule type="expression" priority="1431" aboveAverage="0" equalAverage="0" bottom="0" percent="0" rank="0" text="" dxfId="3348">
      <formula>AND(#ref!="X",OR(#ref!&lt;&gt;"",$B188&lt;&gt;"",$C188&lt;&gt;""))</formula>
    </cfRule>
  </conditionalFormatting>
  <conditionalFormatting sqref="E191">
    <cfRule type="expression" priority="1432" aboveAverage="0" equalAverage="0" bottom="0" percent="0" rank="0" text="" dxfId="3349">
      <formula>AND($L191="X",OR($B191&lt;&gt;"",#ref!&lt;&gt;"",$C191&lt;&gt;"",$D191&lt;&gt;""))</formula>
    </cfRule>
  </conditionalFormatting>
  <conditionalFormatting sqref="E197">
    <cfRule type="expression" priority="1433" aboveAverage="0" equalAverage="0" bottom="0" percent="0" rank="0" text="" dxfId="3350">
      <formula>AND($L197="X",OR($B197&lt;&gt;"",#ref!&lt;&gt;"",#ref!&lt;&gt;"",$C197&lt;&gt;""))</formula>
    </cfRule>
  </conditionalFormatting>
  <conditionalFormatting sqref="E198">
    <cfRule type="expression" priority="1434" aboveAverage="0" equalAverage="0" bottom="0" percent="0" rank="0" text="" dxfId="3351">
      <formula>AND($L198="X",OR($B198&lt;&gt;"",$C198&lt;&gt;"",#ref!&lt;&gt;""))</formula>
    </cfRule>
    <cfRule type="expression" priority="1435" aboveAverage="0" equalAverage="0" bottom="0" percent="0" rank="0" text="" dxfId="3352">
      <formula>AND($L198="X",OR($B198&lt;&gt;"",$C198&lt;&gt;"",$D198&lt;&gt;"",$E198&lt;&gt;""))</formula>
    </cfRule>
    <cfRule type="expression" priority="1436" aboveAverage="0" equalAverage="0" bottom="0" percent="0" rank="0" text="" dxfId="3353">
      <formula>AND($L198="X",OR($B198&lt;&gt;"",#ref!&lt;&gt;"",$C198&lt;&gt;"",$D198&lt;&gt;""))</formula>
    </cfRule>
    <cfRule type="expression" priority="1437" aboveAverage="0" equalAverage="0" bottom="0" percent="0" rank="0" text="" dxfId="3354">
      <formula>AND($L198="X",OR($B198&lt;&gt;"",#ref!&lt;&gt;"",$C198&lt;&gt;""))</formula>
    </cfRule>
  </conditionalFormatting>
  <conditionalFormatting sqref="E201">
    <cfRule type="expression" priority="1438" aboveAverage="0" equalAverage="0" bottom="0" percent="0" rank="0" text="" dxfId="3355">
      <formula>AND($L201="X",OR($B201&lt;&gt;"",$C201&lt;&gt;"",$D201&lt;&gt;""))</formula>
    </cfRule>
  </conditionalFormatting>
  <conditionalFormatting sqref="E20:F27">
    <cfRule type="expression" priority="1439" aboveAverage="0" equalAverage="0" bottom="0" percent="0" rank="0" text="" dxfId="3356">
      <formula>AND($L20="X",OR($B20&lt;&gt;"",$C20&lt;&gt;"",$D20&lt;&gt;""))</formula>
    </cfRule>
    <cfRule type="expression" priority="1440" aboveAverage="0" equalAverage="0" bottom="0" percent="0" rank="0" text="" dxfId="3357">
      <formula>AND($L20="X",OR($B20&lt;&gt;"",#ref!&lt;&gt;"",$C20&lt;&gt;"",$D20&lt;&gt;""))</formula>
    </cfRule>
    <cfRule type="expression" priority="1441" aboveAverage="0" equalAverage="0" bottom="0" percent="0" rank="0" text="" dxfId="3358">
      <formula>AND($L20="X",OR($B20&lt;&gt;"",$C20&lt;&gt;"",$D20&lt;&gt;"",$E20&lt;&gt;""))</formula>
    </cfRule>
    <cfRule type="expression" priority="1442" aboveAverage="0" equalAverage="0" bottom="0" percent="0" rank="0" text="" dxfId="3359">
      <formula>AND($L20="X",OR($B20&lt;&gt;"",$C20&lt;&gt;""))</formula>
    </cfRule>
  </conditionalFormatting>
  <conditionalFormatting sqref="E33:F33 D37:E37">
    <cfRule type="expression" priority="1443" aboveAverage="0" equalAverage="0" bottom="0" percent="0" rank="0" text="" dxfId="3360">
      <formula>AND($L33="X",OR($B33&lt;&gt;"",#ref!&lt;&gt;"",$C33&lt;&gt;"",$D33&lt;&gt;""))</formula>
    </cfRule>
    <cfRule type="expression" priority="1444" aboveAverage="0" equalAverage="0" bottom="0" percent="0" rank="0" text="" dxfId="3361">
      <formula>AND($L33="X",OR($B33&lt;&gt;"",$C33&lt;&gt;"",$D33&lt;&gt;"",$E33&lt;&gt;""))</formula>
    </cfRule>
    <cfRule type="expression" priority="1445" aboveAverage="0" equalAverage="0" bottom="0" percent="0" rank="0" text="" dxfId="3362">
      <formula>AND($L33="X",OR($B33&lt;&gt;"",$C33&lt;&gt;"",$D33&lt;&gt;""))</formula>
    </cfRule>
    <cfRule type="expression" priority="1446" aboveAverage="0" equalAverage="0" bottom="0" percent="0" rank="0" text="" dxfId="3363">
      <formula>AND($L33="X",OR($B33&lt;&gt;"",$C33&lt;&gt;""))</formula>
    </cfRule>
  </conditionalFormatting>
  <conditionalFormatting sqref="E123:F123">
    <cfRule type="expression" priority="1447" aboveAverage="0" equalAverage="0" bottom="0" percent="0" rank="0" text="" dxfId="3364">
      <formula>AND($L123="X",OR($B123&lt;&gt;"",#ref!&lt;&gt;"",$C123&lt;&gt;""))</formula>
    </cfRule>
    <cfRule type="expression" priority="1448" aboveAverage="0" equalAverage="0" bottom="0" percent="0" rank="0" text="" dxfId="3365">
      <formula>AND($L123="X",OR($B123&lt;&gt;"",$C123&lt;&gt;""))</formula>
    </cfRule>
    <cfRule type="expression" priority="1449" aboveAverage="0" equalAverage="0" bottom="0" percent="0" rank="0" text="" dxfId="3366">
      <formula>AND($L123="X",OR($B123&lt;&gt;"",$C123&lt;&gt;"",$D123&lt;&gt;""))</formula>
    </cfRule>
  </conditionalFormatting>
  <conditionalFormatting sqref="E131:F131">
    <cfRule type="expression" priority="1450" aboveAverage="0" equalAverage="0" bottom="0" percent="0" rank="0" text="" dxfId="3367">
      <formula>AND($L131="X",OR($B131&lt;&gt;"",$C131&lt;&gt;"",$D131&lt;&gt;"",$E131&lt;&gt;""))</formula>
    </cfRule>
    <cfRule type="expression" priority="1451" aboveAverage="0" equalAverage="0" bottom="0" percent="0" rank="0" text="" dxfId="3368">
      <formula>AND($L131="X",OR($B131&lt;&gt;"",$C131&lt;&gt;"",$E131&lt;&gt;"",#ref!&lt;&gt;""))</formula>
    </cfRule>
    <cfRule type="expression" priority="1452" aboveAverage="0" equalAverage="0" bottom="0" percent="0" rank="0" text="" dxfId="3369">
      <formula>#ref!=1</formula>
    </cfRule>
    <cfRule type="expression" priority="1453" aboveAverage="0" equalAverage="0" bottom="0" percent="0" rank="0" text="" dxfId="3370">
      <formula>AND($L131="X",OR($B131&lt;&gt;"",$C131&lt;&gt;"",$D131&lt;&gt;""))</formula>
    </cfRule>
    <cfRule type="expression" priority="1454" aboveAverage="0" equalAverage="0" bottom="0" percent="0" rank="0" text="" dxfId="3371">
      <formula>AND(#ref!=1,#ref!=1)</formula>
    </cfRule>
    <cfRule type="expression" priority="1455" aboveAverage="0" equalAverage="0" bottom="0" percent="0" rank="0" text="" dxfId="3372">
      <formula>#ref!=1</formula>
    </cfRule>
    <cfRule type="expression" priority="1456" aboveAverage="0" equalAverage="0" bottom="0" percent="0" rank="0" text="" dxfId="3373">
      <formula>AND($L131="X",OR($B131&lt;&gt;"",$C131&lt;&gt;"",$D131&lt;&gt;"",$E131&lt;&gt;"",$F131&lt;&gt;""))</formula>
    </cfRule>
  </conditionalFormatting>
  <conditionalFormatting sqref="E149:F149 F150 F137:F142 G138 F143:G143 F146 E151 F152:F170 E166">
    <cfRule type="expression" priority="1457" aboveAverage="0" equalAverage="0" bottom="0" percent="0" rank="0" text="" dxfId="3374">
      <formula>AND($L137="X",OR($B137&lt;&gt;"",$C137&lt;&gt;"",$D137&lt;&gt;"",$E137&lt;&gt;""))</formula>
    </cfRule>
  </conditionalFormatting>
  <conditionalFormatting sqref="E181:F181 E185:F185">
    <cfRule type="expression" priority="1458" aboveAverage="0" equalAverage="0" bottom="0" percent="0" rank="0" text="" dxfId="3375">
      <formula>AND($L181="X",OR($B181&lt;&gt;"",$C181&lt;&gt;"",$D181&lt;&gt;"",#ref!&lt;&gt;""))</formula>
    </cfRule>
  </conditionalFormatting>
  <conditionalFormatting sqref="E20:G27">
    <cfRule type="expression" priority="1459" aboveAverage="0" equalAverage="0" bottom="0" percent="0" rank="0" text="" dxfId="3376">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priority="1460" aboveAverage="0" equalAverage="0" bottom="0" percent="0" rank="0" text="" dxfId="3377">
      <formula>AND($L33="X",OR($B33&lt;&gt;"",#ref!&lt;&gt;"",$C33&lt;&gt;""))</formula>
    </cfRule>
  </conditionalFormatting>
  <conditionalFormatting sqref="E86:G86 D33:G33 E45:G45 D55:G55">
    <cfRule type="expression" priority="1461" aboveAverage="0" equalAverage="0" bottom="0" percent="0" rank="0" text="" dxfId="3378">
      <formula>AND($L33="X",OR($B33&lt;&gt;"",$C33&lt;&gt;"",$D33&lt;&gt;"",$E33&lt;&gt;""))</formula>
    </cfRule>
    <cfRule type="expression" priority="1462" aboveAverage="0" equalAverage="0" bottom="0" percent="0" rank="0" text="" dxfId="3379">
      <formula>AND($L33="X",OR($B33&lt;&gt;"",#ref!&lt;&gt;"",$C33&lt;&gt;"",$D33&lt;&gt;""))</formula>
    </cfRule>
  </conditionalFormatting>
  <conditionalFormatting sqref="E102:G102 E106:G106 E111:G111 E121:G121">
    <cfRule type="expression" priority="1463" aboveAverage="0" equalAverage="0" bottom="0" percent="0" rank="0" text="" dxfId="3380">
      <formula>AND(#ref!=1,#ref!=1)</formula>
    </cfRule>
    <cfRule type="expression" priority="1464" aboveAverage="0" equalAverage="0" bottom="0" percent="0" rank="0" text="" dxfId="3381">
      <formula>#ref!=1</formula>
    </cfRule>
    <cfRule type="expression" priority="1465" aboveAverage="0" equalAverage="0" bottom="0" percent="0" rank="0" text="" dxfId="3382">
      <formula>#ref!=1</formula>
    </cfRule>
    <cfRule type="expression" priority="1466" aboveAverage="0" equalAverage="0" bottom="0" percent="0" rank="0" text="" dxfId="3383">
      <formula>AND($L102="X",OR($B102&lt;&gt;"",$C102&lt;&gt;""))</formula>
    </cfRule>
    <cfRule type="expression" priority="1467" aboveAverage="0" equalAverage="0" bottom="0" percent="0" rank="0" text="" dxfId="3384">
      <formula>AND(#ref!=1,#ref!=1)</formula>
    </cfRule>
    <cfRule type="expression" priority="1468" aboveAverage="0" equalAverage="0" bottom="0" percent="0" rank="0" text="" dxfId="3385">
      <formula>#ref!=1</formula>
    </cfRule>
    <cfRule type="expression" priority="1469" aboveAverage="0" equalAverage="0" bottom="0" percent="0" rank="0" text="" dxfId="3386">
      <formula>#ref!=1</formula>
    </cfRule>
    <cfRule type="expression" priority="1470" aboveAverage="0" equalAverage="0" bottom="0" percent="0" rank="0" text="" dxfId="3387">
      <formula>AND($L102="X",OR($B102&lt;&gt;"",$C102&lt;&gt;""))</formula>
    </cfRule>
    <cfRule type="expression" priority="1471" aboveAverage="0" equalAverage="0" bottom="0" percent="0" rank="0" text="" dxfId="3388">
      <formula>AND(#ref!=1,#ref!=1)</formula>
    </cfRule>
    <cfRule type="expression" priority="1472" aboveAverage="0" equalAverage="0" bottom="0" percent="0" rank="0" text="" dxfId="3389">
      <formula>#ref!=1</formula>
    </cfRule>
    <cfRule type="expression" priority="1473" aboveAverage="0" equalAverage="0" bottom="0" percent="0" rank="0" text="" dxfId="3390">
      <formula>#ref!=1</formula>
    </cfRule>
    <cfRule type="expression" priority="1474" aboveAverage="0" equalAverage="0" bottom="0" percent="0" rank="0" text="" dxfId="3391">
      <formula>AND($L102="X",OR($B102&lt;&gt;"",$C102&lt;&gt;""))</formula>
    </cfRule>
    <cfRule type="expression" priority="1475" aboveAverage="0" equalAverage="0" bottom="0" percent="0" rank="0" text="" dxfId="3392">
      <formula>AND(#ref!=1,#ref!=1)</formula>
    </cfRule>
    <cfRule type="expression" priority="1476" aboveAverage="0" equalAverage="0" bottom="0" percent="0" rank="0" text="" dxfId="3393">
      <formula>#ref!=1</formula>
    </cfRule>
    <cfRule type="expression" priority="1477" aboveAverage="0" equalAverage="0" bottom="0" percent="0" rank="0" text="" dxfId="3394">
      <formula>#ref!=1</formula>
    </cfRule>
    <cfRule type="expression" priority="1478" aboveAverage="0" equalAverage="0" bottom="0" percent="0" rank="0" text="" dxfId="3395">
      <formula>AND($L102="X",OR($B102&lt;&gt;"",$C102&lt;&gt;""))</formula>
    </cfRule>
    <cfRule type="expression" priority="1479" aboveAverage="0" equalAverage="0" bottom="0" percent="0" rank="0" text="" dxfId="3396">
      <formula>AND(#ref!=1,#ref!=1)</formula>
    </cfRule>
    <cfRule type="expression" priority="1480" aboveAverage="0" equalAverage="0" bottom="0" percent="0" rank="0" text="" dxfId="3397">
      <formula>#ref!=1</formula>
    </cfRule>
    <cfRule type="expression" priority="1481" aboveAverage="0" equalAverage="0" bottom="0" percent="0" rank="0" text="" dxfId="3398">
      <formula>#ref!=1</formula>
    </cfRule>
    <cfRule type="expression" priority="1482" aboveAverage="0" equalAverage="0" bottom="0" percent="0" rank="0" text="" dxfId="3399">
      <formula>AND($L102="X",OR($B102&lt;&gt;"",$C102&lt;&gt;""))</formula>
    </cfRule>
    <cfRule type="expression" priority="1483" aboveAverage="0" equalAverage="0" bottom="0" percent="0" rank="0" text="" dxfId="3400">
      <formula>AND(#ref!=1,#ref!=1)</formula>
    </cfRule>
    <cfRule type="expression" priority="1484" aboveAverage="0" equalAverage="0" bottom="0" percent="0" rank="0" text="" dxfId="3401">
      <formula>#ref!=1</formula>
    </cfRule>
    <cfRule type="expression" priority="1485" aboveAverage="0" equalAverage="0" bottom="0" percent="0" rank="0" text="" dxfId="3402">
      <formula>#ref!=1</formula>
    </cfRule>
    <cfRule type="expression" priority="1486" aboveAverage="0" equalAverage="0" bottom="0" percent="0" rank="0" text="" dxfId="3403">
      <formula>AND($L102="X",OR($B102&lt;&gt;"",$C102&lt;&gt;""))</formula>
    </cfRule>
    <cfRule type="expression" priority="1487" aboveAverage="0" equalAverage="0" bottom="0" percent="0" rank="0" text="" dxfId="3404">
      <formula>AND(#ref!=1,#ref!=1)</formula>
    </cfRule>
    <cfRule type="expression" priority="1488" aboveAverage="0" equalAverage="0" bottom="0" percent="0" rank="0" text="" dxfId="3405">
      <formula>#ref!=1</formula>
    </cfRule>
    <cfRule type="expression" priority="1489" aboveAverage="0" equalAverage="0" bottom="0" percent="0" rank="0" text="" dxfId="3406">
      <formula>#ref!=1</formula>
    </cfRule>
    <cfRule type="expression" priority="1490" aboveAverage="0" equalAverage="0" bottom="0" percent="0" rank="0" text="" dxfId="3407">
      <formula>AND(NOT(ISBLANK($P102)),ISBLANK(#ref!),ISBLANK(#ref!))</formula>
    </cfRule>
    <cfRule type="expression" priority="1491" aboveAverage="0" equalAverage="0" bottom="0" percent="0" rank="0" text="" dxfId="3408">
      <formula>OR(#ref!="X",#ref!="X")</formula>
    </cfRule>
    <cfRule type="expression" priority="1492" aboveAverage="0" equalAverage="0" bottom="0" percent="0" rank="0" text="" dxfId="3409">
      <formula>AND(#ref!=1,#ref!=1)</formula>
    </cfRule>
    <cfRule type="expression" priority="1493" aboveAverage="0" equalAverage="0" bottom="0" percent="0" rank="0" text="" dxfId="3410">
      <formula>#ref!=1</formula>
    </cfRule>
    <cfRule type="expression" priority="1494" aboveAverage="0" equalAverage="0" bottom="0" percent="0" rank="0" text="" dxfId="3411">
      <formula>#ref!=1</formula>
    </cfRule>
    <cfRule type="expression" priority="1495" aboveAverage="0" equalAverage="0" bottom="0" percent="0" rank="0" text="" dxfId="3412">
      <formula>OR(#ref!="X",#ref!="X")</formula>
    </cfRule>
    <cfRule type="expression" priority="1496" aboveAverage="0" equalAverage="0" bottom="0" percent="0" rank="0" text="" dxfId="3413">
      <formula>AND(#ref!=1,#ref!=1)</formula>
    </cfRule>
    <cfRule type="expression" priority="1497" aboveAverage="0" equalAverage="0" bottom="0" percent="0" rank="0" text="" dxfId="3414">
      <formula>#ref!=1</formula>
    </cfRule>
  </conditionalFormatting>
  <conditionalFormatting sqref="E121:G121 E111:G111 E106:G106 E102:G102">
    <cfRule type="expression" priority="1498" aboveAverage="0" equalAverage="0" bottom="0" percent="0" rank="0" text="" dxfId="3415">
      <formula>AND($L102="X",OR($B102&lt;&gt;"",$C102&lt;&gt;"",$D102&lt;&gt;"",$E102&lt;&gt;""))</formula>
    </cfRule>
    <cfRule type="expression" priority="1499" aboveAverage="0" equalAverage="0" bottom="0" percent="0" rank="0" text="" dxfId="3416">
      <formula>AND($L102="X",OR($B102&lt;&gt;"",#ref!&lt;&gt;"",$C102&lt;&gt;"",$D102&lt;&gt;""))</formula>
    </cfRule>
  </conditionalFormatting>
  <conditionalFormatting sqref="E134:G134">
    <cfRule type="expression" priority="1500" aboveAverage="0" equalAverage="0" bottom="0" percent="0" rank="0" text="" dxfId="3417">
      <formula>AND($L134="X",OR($B134&lt;&gt;"",$C134&lt;&gt;"",$D134&lt;&gt;"",$E134&lt;&gt;""))</formula>
    </cfRule>
    <cfRule type="expression" priority="1501" aboveAverage="0" equalAverage="0" bottom="0" percent="0" rank="0" text="" dxfId="3418">
      <formula>AND($L134="X",OR($B134&lt;&gt;"",#ref!&lt;&gt;"",$C134&lt;&gt;"",$D134&lt;&gt;""))</formula>
    </cfRule>
    <cfRule type="expression" priority="1502" aboveAverage="0" equalAverage="0" bottom="0" percent="0" rank="0" text="" dxfId="3419">
      <formula>AND(#ref!=1,#ref!=1)</formula>
    </cfRule>
    <cfRule type="expression" priority="1503" aboveAverage="0" equalAverage="0" bottom="0" percent="0" rank="0" text="" dxfId="3420">
      <formula>#ref!=1</formula>
    </cfRule>
    <cfRule type="expression" priority="1504" aboveAverage="0" equalAverage="0" bottom="0" percent="0" rank="0" text="" dxfId="3421">
      <formula>#ref!=1</formula>
    </cfRule>
    <cfRule type="expression" priority="1505" aboveAverage="0" equalAverage="0" bottom="0" percent="0" rank="0" text="" dxfId="3422">
      <formula>AND($L134="X",OR($B134&lt;&gt;"",$C134&lt;&gt;""))</formula>
    </cfRule>
    <cfRule type="expression" priority="1506" aboveAverage="0" equalAverage="0" bottom="0" percent="0" rank="0" text="" dxfId="3423">
      <formula>AND(#ref!=1,#ref!=1)</formula>
    </cfRule>
    <cfRule type="expression" priority="1507" aboveAverage="0" equalAverage="0" bottom="0" percent="0" rank="0" text="" dxfId="3424">
      <formula>#ref!=1</formula>
    </cfRule>
    <cfRule type="expression" priority="1508" aboveAverage="0" equalAverage="0" bottom="0" percent="0" rank="0" text="" dxfId="3425">
      <formula>#ref!=1</formula>
    </cfRule>
    <cfRule type="expression" priority="1509" aboveAverage="0" equalAverage="0" bottom="0" percent="0" rank="0" text="" dxfId="3426">
      <formula>AND($L134="X",OR($B134&lt;&gt;"",$C134&lt;&gt;""))</formula>
    </cfRule>
    <cfRule type="expression" priority="1510" aboveAverage="0" equalAverage="0" bottom="0" percent="0" rank="0" text="" dxfId="3427">
      <formula>AND(#ref!=1,#ref!=1)</formula>
    </cfRule>
    <cfRule type="expression" priority="1511" aboveAverage="0" equalAverage="0" bottom="0" percent="0" rank="0" text="" dxfId="3428">
      <formula>#ref!=1</formula>
    </cfRule>
    <cfRule type="expression" priority="1512" aboveAverage="0" equalAverage="0" bottom="0" percent="0" rank="0" text="" dxfId="3429">
      <formula>#ref!=1</formula>
    </cfRule>
    <cfRule type="expression" priority="1513" aboveAverage="0" equalAverage="0" bottom="0" percent="0" rank="0" text="" dxfId="3430">
      <formula>AND($L134="X",OR($B134&lt;&gt;"",$C134&lt;&gt;""))</formula>
    </cfRule>
    <cfRule type="expression" priority="1514" aboveAverage="0" equalAverage="0" bottom="0" percent="0" rank="0" text="" dxfId="3431">
      <formula>AND(#ref!=1,#ref!=1)</formula>
    </cfRule>
    <cfRule type="expression" priority="1515" aboveAverage="0" equalAverage="0" bottom="0" percent="0" rank="0" text="" dxfId="3432">
      <formula>#ref!=1</formula>
    </cfRule>
    <cfRule type="expression" priority="1516" aboveAverage="0" equalAverage="0" bottom="0" percent="0" rank="0" text="" dxfId="3433">
      <formula>#ref!=1</formula>
    </cfRule>
    <cfRule type="expression" priority="1517" aboveAverage="0" equalAverage="0" bottom="0" percent="0" rank="0" text="" dxfId="3434">
      <formula>AND($L134="X",OR($B134&lt;&gt;"",$C134&lt;&gt;""))</formula>
    </cfRule>
    <cfRule type="expression" priority="1518" aboveAverage="0" equalAverage="0" bottom="0" percent="0" rank="0" text="" dxfId="3435">
      <formula>AND(#ref!=1,#ref!=1)</formula>
    </cfRule>
    <cfRule type="expression" priority="1519" aboveAverage="0" equalAverage="0" bottom="0" percent="0" rank="0" text="" dxfId="3436">
      <formula>#ref!=1</formula>
    </cfRule>
    <cfRule type="expression" priority="1520" aboveAverage="0" equalAverage="0" bottom="0" percent="0" rank="0" text="" dxfId="3437">
      <formula>#ref!=1</formula>
    </cfRule>
    <cfRule type="expression" priority="1521" aboveAverage="0" equalAverage="0" bottom="0" percent="0" rank="0" text="" dxfId="3438">
      <formula>AND($L134="X",OR($B134&lt;&gt;"",$C134&lt;&gt;""))</formula>
    </cfRule>
    <cfRule type="expression" priority="1522" aboveAverage="0" equalAverage="0" bottom="0" percent="0" rank="0" text="" dxfId="3439">
      <formula>AND(#ref!=1,#ref!=1)</formula>
    </cfRule>
    <cfRule type="expression" priority="1523" aboveAverage="0" equalAverage="0" bottom="0" percent="0" rank="0" text="" dxfId="3440">
      <formula>#ref!=1</formula>
    </cfRule>
    <cfRule type="expression" priority="1524" aboveAverage="0" equalAverage="0" bottom="0" percent="0" rank="0" text="" dxfId="3441">
      <formula>#ref!=1</formula>
    </cfRule>
    <cfRule type="expression" priority="1525" aboveAverage="0" equalAverage="0" bottom="0" percent="0" rank="0" text="" dxfId="3442">
      <formula>AND($L134="X",OR($B134&lt;&gt;"",$C134&lt;&gt;""))</formula>
    </cfRule>
    <cfRule type="expression" priority="1526" aboveAverage="0" equalAverage="0" bottom="0" percent="0" rank="0" text="" dxfId="3443">
      <formula>AND(#ref!=1,#ref!=1)</formula>
    </cfRule>
    <cfRule type="expression" priority="1527" aboveAverage="0" equalAverage="0" bottom="0" percent="0" rank="0" text="" dxfId="3444">
      <formula>#ref!=1</formula>
    </cfRule>
    <cfRule type="expression" priority="1528" aboveAverage="0" equalAverage="0" bottom="0" percent="0" rank="0" text="" dxfId="3445">
      <formula>#ref!=1</formula>
    </cfRule>
    <cfRule type="expression" priority="1529" aboveAverage="0" equalAverage="0" bottom="0" percent="0" rank="0" text="" dxfId="3446">
      <formula>AND(NOT(ISBLANK($P134)),ISBLANK(#ref!),ISBLANK(#ref!))</formula>
    </cfRule>
    <cfRule type="expression" priority="1530" aboveAverage="0" equalAverage="0" bottom="0" percent="0" rank="0" text="" dxfId="3447">
      <formula>OR(#ref!="X",#ref!="X")</formula>
    </cfRule>
    <cfRule type="expression" priority="1531" aboveAverage="0" equalAverage="0" bottom="0" percent="0" rank="0" text="" dxfId="3448">
      <formula>AND(#ref!=1,#ref!=1)</formula>
    </cfRule>
    <cfRule type="expression" priority="1532" aboveAverage="0" equalAverage="0" bottom="0" percent="0" rank="0" text="" dxfId="3449">
      <formula>#ref!=1</formula>
    </cfRule>
    <cfRule type="expression" priority="1533" aboveAverage="0" equalAverage="0" bottom="0" percent="0" rank="0" text="" dxfId="3450">
      <formula>#ref!=1</formula>
    </cfRule>
    <cfRule type="expression" priority="1534" aboveAverage="0" equalAverage="0" bottom="0" percent="0" rank="0" text="" dxfId="3451">
      <formula>AND($L134="X",OR($B134&lt;&gt;"",$C134&lt;&gt;"",$D134&lt;&gt;"",$E134&lt;&gt;""))</formula>
    </cfRule>
    <cfRule type="expression" priority="1535" aboveAverage="0" equalAverage="0" bottom="0" percent="0" rank="0" text="" dxfId="3452">
      <formula>AND($L134="X",OR($B134&lt;&gt;"",$C134&lt;&gt;"",$E134&lt;&gt;"",#ref!&lt;&gt;""))</formula>
    </cfRule>
    <cfRule type="expression" priority="1536" aboveAverage="0" equalAverage="0" bottom="0" percent="0" rank="0" text="" dxfId="3453">
      <formula>#ref!=1</formula>
    </cfRule>
    <cfRule type="expression" priority="1537" aboveAverage="0" equalAverage="0" bottom="0" percent="0" rank="0" text="" dxfId="3454">
      <formula>AND($L134="X",OR($B134&lt;&gt;"",$C134&lt;&gt;"",$D134&lt;&gt;""))</formula>
    </cfRule>
    <cfRule type="expression" priority="1538" aboveAverage="0" equalAverage="0" bottom="0" percent="0" rank="0" text="" dxfId="3455">
      <formula>AND(#ref!=1,#ref!=1)</formula>
    </cfRule>
    <cfRule type="expression" priority="1539" aboveAverage="0" equalAverage="0" bottom="0" percent="0" rank="0" text="" dxfId="3456">
      <formula>#ref!=1</formula>
    </cfRule>
    <cfRule type="expression" priority="1540" aboveAverage="0" equalAverage="0" bottom="0" percent="0" rank="0" text="" dxfId="3457">
      <formula>AND($L134="X",$B134&lt;&gt;"")</formula>
    </cfRule>
    <cfRule type="expression" priority="1541" aboveAverage="0" equalAverage="0" bottom="0" percent="0" rank="0" text="" dxfId="3458">
      <formula>AND($L134="X",OR($B134&lt;&gt;"",$C134&lt;&gt;""))</formula>
    </cfRule>
  </conditionalFormatting>
  <conditionalFormatting sqref="E134:G136 E150:G150">
    <cfRule type="expression" priority="1542" aboveAverage="0" equalAverage="0" bottom="0" percent="0" rank="0" text="" dxfId="3459">
      <formula>OR(#ref!="X",#ref!="X")</formula>
    </cfRule>
    <cfRule type="expression" priority="1543" aboveAverage="0" equalAverage="0" bottom="0" percent="0" rank="0" text="" dxfId="3460">
      <formula>AND(#ref!=1,#ref!=1)</formula>
    </cfRule>
  </conditionalFormatting>
  <conditionalFormatting sqref="E137:G137 D151:G151">
    <cfRule type="expression" priority="1544" aboveAverage="0" equalAverage="0" bottom="0" percent="0" rank="0" text="" dxfId="3461">
      <formula>AND($L137="X",OR($B137&lt;&gt;"",$C137&lt;&gt;"",$D137&lt;&gt;"",$E137&lt;&gt;""))</formula>
    </cfRule>
    <cfRule type="expression" priority="1545" aboveAverage="0" equalAverage="0" bottom="0" percent="0" rank="0" text="" dxfId="3462">
      <formula>AND($L137="X",OR($B137&lt;&gt;"",#ref!&lt;&gt;"",$C137&lt;&gt;"",$D137&lt;&gt;""))</formula>
    </cfRule>
    <cfRule type="expression" priority="1546" aboveAverage="0" equalAverage="0" bottom="0" percent="0" rank="0" text="" dxfId="3463">
      <formula>AND(#ref!=1,#ref!=1)</formula>
    </cfRule>
    <cfRule type="expression" priority="1547" aboveAverage="0" equalAverage="0" bottom="0" percent="0" rank="0" text="" dxfId="3464">
      <formula>#ref!=1</formula>
    </cfRule>
    <cfRule type="expression" priority="1548" aboveAverage="0" equalAverage="0" bottom="0" percent="0" rank="0" text="" dxfId="3465">
      <formula>#ref!=1</formula>
    </cfRule>
    <cfRule type="expression" priority="1549" aboveAverage="0" equalAverage="0" bottom="0" percent="0" rank="0" text="" dxfId="3466">
      <formula>AND($L137="X",OR($B137&lt;&gt;"",$C137&lt;&gt;""))</formula>
    </cfRule>
    <cfRule type="expression" priority="1550" aboveAverage="0" equalAverage="0" bottom="0" percent="0" rank="0" text="" dxfId="3467">
      <formula>AND(#ref!=1,#ref!=1)</formula>
    </cfRule>
    <cfRule type="expression" priority="1551" aboveAverage="0" equalAverage="0" bottom="0" percent="0" rank="0" text="" dxfId="3468">
      <formula>#ref!=1</formula>
    </cfRule>
    <cfRule type="expression" priority="1552" aboveAverage="0" equalAverage="0" bottom="0" percent="0" rank="0" text="" dxfId="3469">
      <formula>#ref!=1</formula>
    </cfRule>
    <cfRule type="expression" priority="1553" aboveAverage="0" equalAverage="0" bottom="0" percent="0" rank="0" text="" dxfId="3470">
      <formula>AND($L137="X",OR($B137&lt;&gt;"",$C137&lt;&gt;""))</formula>
    </cfRule>
    <cfRule type="expression" priority="1554" aboveAverage="0" equalAverage="0" bottom="0" percent="0" rank="0" text="" dxfId="3471">
      <formula>AND(#ref!=1,#ref!=1)</formula>
    </cfRule>
    <cfRule type="expression" priority="1555" aboveAverage="0" equalAverage="0" bottom="0" percent="0" rank="0" text="" dxfId="3472">
      <formula>#ref!=1</formula>
    </cfRule>
    <cfRule type="expression" priority="1556" aboveAverage="0" equalAverage="0" bottom="0" percent="0" rank="0" text="" dxfId="3473">
      <formula>#ref!=1</formula>
    </cfRule>
    <cfRule type="expression" priority="1557" aboveAverage="0" equalAverage="0" bottom="0" percent="0" rank="0" text="" dxfId="3474">
      <formula>AND($L137="X",OR($B137&lt;&gt;"",$C137&lt;&gt;""))</formula>
    </cfRule>
    <cfRule type="expression" priority="1558" aboveAverage="0" equalAverage="0" bottom="0" percent="0" rank="0" text="" dxfId="3475">
      <formula>AND(#ref!=1,#ref!=1)</formula>
    </cfRule>
    <cfRule type="expression" priority="1559" aboveAverage="0" equalAverage="0" bottom="0" percent="0" rank="0" text="" dxfId="3476">
      <formula>#ref!=1</formula>
    </cfRule>
    <cfRule type="expression" priority="1560" aboveAverage="0" equalAverage="0" bottom="0" percent="0" rank="0" text="" dxfId="3477">
      <formula>#ref!=1</formula>
    </cfRule>
    <cfRule type="expression" priority="1561" aboveAverage="0" equalAverage="0" bottom="0" percent="0" rank="0" text="" dxfId="3478">
      <formula>AND($L137="X",OR($B137&lt;&gt;"",$C137&lt;&gt;""))</formula>
    </cfRule>
    <cfRule type="expression" priority="1562" aboveAverage="0" equalAverage="0" bottom="0" percent="0" rank="0" text="" dxfId="3479">
      <formula>AND(#ref!=1,#ref!=1)</formula>
    </cfRule>
    <cfRule type="expression" priority="1563" aboveAverage="0" equalAverage="0" bottom="0" percent="0" rank="0" text="" dxfId="3480">
      <formula>#ref!=1</formula>
    </cfRule>
    <cfRule type="expression" priority="1564" aboveAverage="0" equalAverage="0" bottom="0" percent="0" rank="0" text="" dxfId="3481">
      <formula>#ref!=1</formula>
    </cfRule>
    <cfRule type="expression" priority="1565" aboveAverage="0" equalAverage="0" bottom="0" percent="0" rank="0" text="" dxfId="3482">
      <formula>AND($L137="X",OR($B137&lt;&gt;"",$C137&lt;&gt;""))</formula>
    </cfRule>
    <cfRule type="expression" priority="1566" aboveAverage="0" equalAverage="0" bottom="0" percent="0" rank="0" text="" dxfId="3483">
      <formula>AND(#ref!=1,#ref!=1)</formula>
    </cfRule>
    <cfRule type="expression" priority="1567" aboveAverage="0" equalAverage="0" bottom="0" percent="0" rank="0" text="" dxfId="3484">
      <formula>#ref!=1</formula>
    </cfRule>
    <cfRule type="expression" priority="1568" aboveAverage="0" equalAverage="0" bottom="0" percent="0" rank="0" text="" dxfId="3485">
      <formula>#ref!=1</formula>
    </cfRule>
    <cfRule type="expression" priority="1569" aboveAverage="0" equalAverage="0" bottom="0" percent="0" rank="0" text="" dxfId="3486">
      <formula>AND($L137="X",OR($B137&lt;&gt;"",$C137&lt;&gt;""))</formula>
    </cfRule>
    <cfRule type="expression" priority="1570" aboveAverage="0" equalAverage="0" bottom="0" percent="0" rank="0" text="" dxfId="3487">
      <formula>AND(#ref!=1,#ref!=1)</formula>
    </cfRule>
    <cfRule type="expression" priority="1571" aboveAverage="0" equalAverage="0" bottom="0" percent="0" rank="0" text="" dxfId="3488">
      <formula>#ref!=1</formula>
    </cfRule>
    <cfRule type="expression" priority="1572" aboveAverage="0" equalAverage="0" bottom="0" percent="0" rank="0" text="" dxfId="3489">
      <formula>#ref!=1</formula>
    </cfRule>
    <cfRule type="expression" priority="1573" aboveAverage="0" equalAverage="0" bottom="0" percent="0" rank="0" text="" dxfId="3490">
      <formula>AND(NOT(ISBLANK($P137)),ISBLANK(#ref!),ISBLANK(#ref!))</formula>
    </cfRule>
  </conditionalFormatting>
  <conditionalFormatting sqref="E149:G149">
    <cfRule type="expression" priority="1574" aboveAverage="0" equalAverage="0" bottom="0" percent="0" rank="0" text="" dxfId="3491">
      <formula>AND($L149="X",OR($B149&lt;&gt;"",$C149&lt;&gt;""))</formula>
    </cfRule>
    <cfRule type="expression" priority="1575" aboveAverage="0" equalAverage="0" bottom="0" percent="0" rank="0" text="" dxfId="3492">
      <formula>AND(#ref!=1,#ref!=1)</formula>
    </cfRule>
    <cfRule type="expression" priority="1576" aboveAverage="0" equalAverage="0" bottom="0" percent="0" rank="0" text="" dxfId="3493">
      <formula>#ref!=1</formula>
    </cfRule>
    <cfRule type="expression" priority="1577" aboveAverage="0" equalAverage="0" bottom="0" percent="0" rank="0" text="" dxfId="3494">
      <formula>#ref!=1</formula>
    </cfRule>
    <cfRule type="expression" priority="1578" aboveAverage="0" equalAverage="0" bottom="0" percent="0" rank="0" text="" dxfId="3495">
      <formula>AND($L149="X",OR($B149&lt;&gt;"",$C149&lt;&gt;""))</formula>
    </cfRule>
    <cfRule type="expression" priority="1579" aboveAverage="0" equalAverage="0" bottom="0" percent="0" rank="0" text="" dxfId="3496">
      <formula>AND(#ref!=1,#ref!=1)</formula>
    </cfRule>
    <cfRule type="expression" priority="1580" aboveAverage="0" equalAverage="0" bottom="0" percent="0" rank="0" text="" dxfId="3497">
      <formula>#ref!=1</formula>
    </cfRule>
    <cfRule type="expression" priority="1581" aboveAverage="0" equalAverage="0" bottom="0" percent="0" rank="0" text="" dxfId="3498">
      <formula>#ref!=1</formula>
    </cfRule>
    <cfRule type="expression" priority="1582" aboveAverage="0" equalAverage="0" bottom="0" percent="0" rank="0" text="" dxfId="3499">
      <formula>AND($L149="X",OR($B149&lt;&gt;"",$C149&lt;&gt;""))</formula>
    </cfRule>
    <cfRule type="expression" priority="1583" aboveAverage="0" equalAverage="0" bottom="0" percent="0" rank="0" text="" dxfId="3500">
      <formula>AND(#ref!=1,#ref!=1)</formula>
    </cfRule>
    <cfRule type="expression" priority="1584" aboveAverage="0" equalAverage="0" bottom="0" percent="0" rank="0" text="" dxfId="3501">
      <formula>#ref!=1</formula>
    </cfRule>
    <cfRule type="expression" priority="1585" aboveAverage="0" equalAverage="0" bottom="0" percent="0" rank="0" text="" dxfId="3502">
      <formula>#ref!=1</formula>
    </cfRule>
    <cfRule type="expression" priority="1586" aboveAverage="0" equalAverage="0" bottom="0" percent="0" rank="0" text="" dxfId="3503">
      <formula>AND($L149="X",OR($B149&lt;&gt;"",$C149&lt;&gt;""))</formula>
    </cfRule>
    <cfRule type="expression" priority="1587" aboveAverage="0" equalAverage="0" bottom="0" percent="0" rank="0" text="" dxfId="3504">
      <formula>AND(#ref!=1,#ref!=1)</formula>
    </cfRule>
    <cfRule type="expression" priority="1588" aboveAverage="0" equalAverage="0" bottom="0" percent="0" rank="0" text="" dxfId="3505">
      <formula>#ref!=1</formula>
    </cfRule>
    <cfRule type="expression" priority="1589" aboveAverage="0" equalAverage="0" bottom="0" percent="0" rank="0" text="" dxfId="3506">
      <formula>#ref!=1</formula>
    </cfRule>
    <cfRule type="expression" priority="1590" aboveAverage="0" equalAverage="0" bottom="0" percent="0" rank="0" text="" dxfId="3507">
      <formula>AND($L149="X",OR($B149&lt;&gt;"",$C149&lt;&gt;""))</formula>
    </cfRule>
    <cfRule type="expression" priority="1591" aboveAverage="0" equalAverage="0" bottom="0" percent="0" rank="0" text="" dxfId="3508">
      <formula>AND(#ref!=1,#ref!=1)</formula>
    </cfRule>
    <cfRule type="expression" priority="1592" aboveAverage="0" equalAverage="0" bottom="0" percent="0" rank="0" text="" dxfId="3509">
      <formula>#ref!=1</formula>
    </cfRule>
    <cfRule type="expression" priority="1593" aboveAverage="0" equalAverage="0" bottom="0" percent="0" rank="0" text="" dxfId="3510">
      <formula>#ref!=1</formula>
    </cfRule>
    <cfRule type="expression" priority="1594" aboveAverage="0" equalAverage="0" bottom="0" percent="0" rank="0" text="" dxfId="3511">
      <formula>AND($L149="X",OR($B149&lt;&gt;"",$C149&lt;&gt;""))</formula>
    </cfRule>
    <cfRule type="expression" priority="1595" aboveAverage="0" equalAverage="0" bottom="0" percent="0" rank="0" text="" dxfId="3512">
      <formula>AND(#ref!=1,#ref!=1)</formula>
    </cfRule>
    <cfRule type="expression" priority="1596" aboveAverage="0" equalAverage="0" bottom="0" percent="0" rank="0" text="" dxfId="3513">
      <formula>#ref!=1</formula>
    </cfRule>
    <cfRule type="expression" priority="1597" aboveAverage="0" equalAverage="0" bottom="0" percent="0" rank="0" text="" dxfId="3514">
      <formula>#ref!=1</formula>
    </cfRule>
    <cfRule type="expression" priority="1598" aboveAverage="0" equalAverage="0" bottom="0" percent="0" rank="0" text="" dxfId="3515">
      <formula>AND(NOT(ISBLANK($P149)),ISBLANK(#ref!),ISBLANK(#ref!))</formula>
    </cfRule>
    <cfRule type="expression" priority="1599" aboveAverage="0" equalAverage="0" bottom="0" percent="0" rank="0" text="" dxfId="3516">
      <formula>OR(#ref!="X",#ref!="X")</formula>
    </cfRule>
  </conditionalFormatting>
  <conditionalFormatting sqref="E149:G150 E165:G165">
    <cfRule type="expression" priority="1600" aboveAverage="0" equalAverage="0" bottom="0" percent="0" rank="0" text="" dxfId="3517">
      <formula>AND($L149="X",OR($B149&lt;&gt;"",$C149&lt;&gt;"",$D149&lt;&gt;"",$E149&lt;&gt;""))</formula>
    </cfRule>
    <cfRule type="expression" priority="1601" aboveAverage="0" equalAverage="0" bottom="0" percent="0" rank="0" text="" dxfId="3518">
      <formula>AND($L149="X",OR($B149&lt;&gt;"",#ref!&lt;&gt;"",$C149&lt;&gt;"",$D149&lt;&gt;""))</formula>
    </cfRule>
    <cfRule type="expression" priority="1602" aboveAverage="0" equalAverage="0" bottom="0" percent="0" rank="0" text="" dxfId="3519">
      <formula>AND(#ref!=1,#ref!=1)</formula>
    </cfRule>
    <cfRule type="expression" priority="1603" aboveAverage="0" equalAverage="0" bottom="0" percent="0" rank="0" text="" dxfId="3520">
      <formula>#ref!=1</formula>
    </cfRule>
    <cfRule type="expression" priority="1604" aboveAverage="0" equalAverage="0" bottom="0" percent="0" rank="0" text="" dxfId="3521">
      <formula>#ref!=1</formula>
    </cfRule>
  </conditionalFormatting>
  <conditionalFormatting sqref="E149:G150 F137:G138 G147:G148 D188:F188">
    <cfRule type="expression" priority="1605" aboveAverage="0" equalAverage="0" bottom="0" percent="0" rank="0" text="" dxfId="3522">
      <formula>AND($L137="X",OR($B137&lt;&gt;"",#ref!&lt;&gt;"",$C137&lt;&gt;""))</formula>
    </cfRule>
  </conditionalFormatting>
  <conditionalFormatting sqref="E149:G150">
    <cfRule type="expression" priority="1606" aboveAverage="0" equalAverage="0" bottom="0" percent="0" rank="0" text="" dxfId="3523">
      <formula>OR(#ref!="X",#ref!="X")</formula>
    </cfRule>
    <cfRule type="expression" priority="1607" aboveAverage="0" equalAverage="0" bottom="0" percent="0" rank="0" text="" dxfId="3524">
      <formula>AND(#ref!=1,#ref!=1)</formula>
    </cfRule>
    <cfRule type="expression" priority="1608" aboveAverage="0" equalAverage="0" bottom="0" percent="0" rank="0" text="" dxfId="3525">
      <formula>AND(#ref!=1,#ref!=1)</formula>
    </cfRule>
    <cfRule type="expression" priority="1609" aboveAverage="0" equalAverage="0" bottom="0" percent="0" rank="0" text="" dxfId="3526">
      <formula>#ref!=1</formula>
    </cfRule>
    <cfRule type="expression" priority="1610" aboveAverage="0" equalAverage="0" bottom="0" percent="0" rank="0" text="" dxfId="3527">
      <formula>#ref!=1</formula>
    </cfRule>
  </conditionalFormatting>
  <conditionalFormatting sqref="E150:G150">
    <cfRule type="expression" priority="1611" aboveAverage="0" equalAverage="0" bottom="0" percent="0" rank="0" text="" dxfId="3528">
      <formula>AND($L150="X",OR($B150&lt;&gt;"",$C150&lt;&gt;""))</formula>
    </cfRule>
    <cfRule type="expression" priority="1612" aboveAverage="0" equalAverage="0" bottom="0" percent="0" rank="0" text="" dxfId="3529">
      <formula>AND(#ref!=1,#ref!=1)</formula>
    </cfRule>
    <cfRule type="expression" priority="1613" aboveAverage="0" equalAverage="0" bottom="0" percent="0" rank="0" text="" dxfId="3530">
      <formula>#ref!=1</formula>
    </cfRule>
    <cfRule type="expression" priority="1614" aboveAverage="0" equalAverage="0" bottom="0" percent="0" rank="0" text="" dxfId="3531">
      <formula>#ref!=1</formula>
    </cfRule>
    <cfRule type="expression" priority="1615" aboveAverage="0" equalAverage="0" bottom="0" percent="0" rank="0" text="" dxfId="3532">
      <formula>AND($L150="X",OR($B150&lt;&gt;"",$C150&lt;&gt;""))</formula>
    </cfRule>
    <cfRule type="expression" priority="1616" aboveAverage="0" equalAverage="0" bottom="0" percent="0" rank="0" text="" dxfId="3533">
      <formula>AND(#ref!=1,#ref!=1)</formula>
    </cfRule>
    <cfRule type="expression" priority="1617" aboveAverage="0" equalAverage="0" bottom="0" percent="0" rank="0" text="" dxfId="3534">
      <formula>#ref!=1</formula>
    </cfRule>
    <cfRule type="expression" priority="1618" aboveAverage="0" equalAverage="0" bottom="0" percent="0" rank="0" text="" dxfId="3535">
      <formula>#ref!=1</formula>
    </cfRule>
    <cfRule type="expression" priority="1619" aboveAverage="0" equalAverage="0" bottom="0" percent="0" rank="0" text="" dxfId="3536">
      <formula>AND($L150="X",OR($B150&lt;&gt;"",$C150&lt;&gt;""))</formula>
    </cfRule>
    <cfRule type="expression" priority="1620" aboveAverage="0" equalAverage="0" bottom="0" percent="0" rank="0" text="" dxfId="3537">
      <formula>AND(#ref!=1,#ref!=1)</formula>
    </cfRule>
    <cfRule type="expression" priority="1621" aboveAverage="0" equalAverage="0" bottom="0" percent="0" rank="0" text="" dxfId="3538">
      <formula>#ref!=1</formula>
    </cfRule>
    <cfRule type="expression" priority="1622" aboveAverage="0" equalAverage="0" bottom="0" percent="0" rank="0" text="" dxfId="3539">
      <formula>#ref!=1</formula>
    </cfRule>
    <cfRule type="expression" priority="1623" aboveAverage="0" equalAverage="0" bottom="0" percent="0" rank="0" text="" dxfId="3540">
      <formula>AND($L150="X",OR($B150&lt;&gt;"",$C150&lt;&gt;""))</formula>
    </cfRule>
    <cfRule type="expression" priority="1624" aboveAverage="0" equalAverage="0" bottom="0" percent="0" rank="0" text="" dxfId="3541">
      <formula>AND(#ref!=1,#ref!=1)</formula>
    </cfRule>
    <cfRule type="expression" priority="1625" aboveAverage="0" equalAverage="0" bottom="0" percent="0" rank="0" text="" dxfId="3542">
      <formula>#ref!=1</formula>
    </cfRule>
    <cfRule type="expression" priority="1626" aboveAverage="0" equalAverage="0" bottom="0" percent="0" rank="0" text="" dxfId="3543">
      <formula>#ref!=1</formula>
    </cfRule>
    <cfRule type="expression" priority="1627" aboveAverage="0" equalAverage="0" bottom="0" percent="0" rank="0" text="" dxfId="3544">
      <formula>AND($L150="X",OR($B150&lt;&gt;"",$C150&lt;&gt;""))</formula>
    </cfRule>
    <cfRule type="expression" priority="1628" aboveAverage="0" equalAverage="0" bottom="0" percent="0" rank="0" text="" dxfId="3545">
      <formula>AND(#ref!=1,#ref!=1)</formula>
    </cfRule>
    <cfRule type="expression" priority="1629" aboveAverage="0" equalAverage="0" bottom="0" percent="0" rank="0" text="" dxfId="3546">
      <formula>#ref!=1</formula>
    </cfRule>
    <cfRule type="expression" priority="1630" aboveAverage="0" equalAverage="0" bottom="0" percent="0" rank="0" text="" dxfId="3547">
      <formula>#ref!=1</formula>
    </cfRule>
    <cfRule type="expression" priority="1631" aboveAverage="0" equalAverage="0" bottom="0" percent="0" rank="0" text="" dxfId="3548">
      <formula>AND($L150="X",OR($B150&lt;&gt;"",$C150&lt;&gt;""))</formula>
    </cfRule>
    <cfRule type="expression" priority="1632" aboveAverage="0" equalAverage="0" bottom="0" percent="0" rank="0" text="" dxfId="3549">
      <formula>AND(#ref!=1,#ref!=1)</formula>
    </cfRule>
    <cfRule type="expression" priority="1633" aboveAverage="0" equalAverage="0" bottom="0" percent="0" rank="0" text="" dxfId="3550">
      <formula>#ref!=1</formula>
    </cfRule>
    <cfRule type="expression" priority="1634" aboveAverage="0" equalAverage="0" bottom="0" percent="0" rank="0" text="" dxfId="3551">
      <formula>#ref!=1</formula>
    </cfRule>
    <cfRule type="expression" priority="1635" aboveAverage="0" equalAverage="0" bottom="0" percent="0" rank="0" text="" dxfId="3552">
      <formula>AND(NOT(ISBLANK($P150)),ISBLANK(#ref!),ISBLANK(#ref!))</formula>
    </cfRule>
    <cfRule type="expression" priority="1636" aboveAverage="0" equalAverage="0" bottom="0" percent="0" rank="0" text="" dxfId="3553">
      <formula>OR(#ref!="X",#ref!="X")</formula>
    </cfRule>
  </conditionalFormatting>
  <conditionalFormatting sqref="E152:G152">
    <cfRule type="expression" priority="1637" aboveAverage="0" equalAverage="0" bottom="0" percent="0" rank="0" text="" dxfId="3554">
      <formula>AND($L152="X",OR($B152&lt;&gt;"",$C152&lt;&gt;"",$D152&lt;&gt;"",$E152&lt;&gt;""))</formula>
    </cfRule>
    <cfRule type="expression" priority="1638" aboveAverage="0" equalAverage="0" bottom="0" percent="0" rank="0" text="" dxfId="3555">
      <formula>AND($L152="X",OR($B152&lt;&gt;"",#ref!&lt;&gt;"",$C152&lt;&gt;"",$D152&lt;&gt;""))</formula>
    </cfRule>
    <cfRule type="expression" priority="1639" aboveAverage="0" equalAverage="0" bottom="0" percent="0" rank="0" text="" dxfId="3556">
      <formula>AND(#ref!=1,#ref!=1)</formula>
    </cfRule>
    <cfRule type="expression" priority="1640" aboveAverage="0" equalAverage="0" bottom="0" percent="0" rank="0" text="" dxfId="3557">
      <formula>#ref!=1</formula>
    </cfRule>
    <cfRule type="expression" priority="1641" aboveAverage="0" equalAverage="0" bottom="0" percent="0" rank="0" text="" dxfId="3558">
      <formula>#ref!=1</formula>
    </cfRule>
    <cfRule type="expression" priority="1642" aboveAverage="0" equalAverage="0" bottom="0" percent="0" rank="0" text="" dxfId="3559">
      <formula>AND($L152="X",OR($B152&lt;&gt;"",$C152&lt;&gt;""))</formula>
    </cfRule>
    <cfRule type="expression" priority="1643" aboveAverage="0" equalAverage="0" bottom="0" percent="0" rank="0" text="" dxfId="3560">
      <formula>AND(#ref!=1,#ref!=1)</formula>
    </cfRule>
    <cfRule type="expression" priority="1644" aboveAverage="0" equalAverage="0" bottom="0" percent="0" rank="0" text="" dxfId="3561">
      <formula>#ref!=1</formula>
    </cfRule>
    <cfRule type="expression" priority="1645" aboveAverage="0" equalAverage="0" bottom="0" percent="0" rank="0" text="" dxfId="3562">
      <formula>#ref!=1</formula>
    </cfRule>
    <cfRule type="expression" priority="1646" aboveAverage="0" equalAverage="0" bottom="0" percent="0" rank="0" text="" dxfId="3563">
      <formula>AND($L152="X",OR($B152&lt;&gt;"",$C152&lt;&gt;""))</formula>
    </cfRule>
    <cfRule type="expression" priority="1647" aboveAverage="0" equalAverage="0" bottom="0" percent="0" rank="0" text="" dxfId="3564">
      <formula>AND(#ref!=1,#ref!=1)</formula>
    </cfRule>
    <cfRule type="expression" priority="1648" aboveAverage="0" equalAverage="0" bottom="0" percent="0" rank="0" text="" dxfId="3565">
      <formula>#ref!=1</formula>
    </cfRule>
    <cfRule type="expression" priority="1649" aboveAverage="0" equalAverage="0" bottom="0" percent="0" rank="0" text="" dxfId="3566">
      <formula>#ref!=1</formula>
    </cfRule>
    <cfRule type="expression" priority="1650" aboveAverage="0" equalAverage="0" bottom="0" percent="0" rank="0" text="" dxfId="3567">
      <formula>AND($L152="X",OR($B152&lt;&gt;"",$C152&lt;&gt;""))</formula>
    </cfRule>
    <cfRule type="expression" priority="1651" aboveAverage="0" equalAverage="0" bottom="0" percent="0" rank="0" text="" dxfId="3568">
      <formula>AND(#ref!=1,#ref!=1)</formula>
    </cfRule>
    <cfRule type="expression" priority="1652" aboveAverage="0" equalAverage="0" bottom="0" percent="0" rank="0" text="" dxfId="3569">
      <formula>#ref!=1</formula>
    </cfRule>
    <cfRule type="expression" priority="1653" aboveAverage="0" equalAverage="0" bottom="0" percent="0" rank="0" text="" dxfId="3570">
      <formula>#ref!=1</formula>
    </cfRule>
    <cfRule type="expression" priority="1654" aboveAverage="0" equalAverage="0" bottom="0" percent="0" rank="0" text="" dxfId="3571">
      <formula>AND($L152="X",OR($B152&lt;&gt;"",$C152&lt;&gt;""))</formula>
    </cfRule>
    <cfRule type="expression" priority="1655" aboveAverage="0" equalAverage="0" bottom="0" percent="0" rank="0" text="" dxfId="3572">
      <formula>AND(#ref!=1,#ref!=1)</formula>
    </cfRule>
    <cfRule type="expression" priority="1656" aboveAverage="0" equalAverage="0" bottom="0" percent="0" rank="0" text="" dxfId="3573">
      <formula>#ref!=1</formula>
    </cfRule>
    <cfRule type="expression" priority="1657" aboveAverage="0" equalAverage="0" bottom="0" percent="0" rank="0" text="" dxfId="3574">
      <formula>#ref!=1</formula>
    </cfRule>
    <cfRule type="expression" priority="1658" aboveAverage="0" equalAverage="0" bottom="0" percent="0" rank="0" text="" dxfId="3575">
      <formula>AND($L152="X",OR($B152&lt;&gt;"",$C152&lt;&gt;""))</formula>
    </cfRule>
    <cfRule type="expression" priority="1659" aboveAverage="0" equalAverage="0" bottom="0" percent="0" rank="0" text="" dxfId="3576">
      <formula>AND(#ref!=1,#ref!=1)</formula>
    </cfRule>
    <cfRule type="expression" priority="1660" aboveAverage="0" equalAverage="0" bottom="0" percent="0" rank="0" text="" dxfId="3577">
      <formula>#ref!=1</formula>
    </cfRule>
    <cfRule type="expression" priority="1661" aboveAverage="0" equalAverage="0" bottom="0" percent="0" rank="0" text="" dxfId="3578">
      <formula>#ref!=1</formula>
    </cfRule>
    <cfRule type="expression" priority="1662" aboveAverage="0" equalAverage="0" bottom="0" percent="0" rank="0" text="" dxfId="3579">
      <formula>AND($L152="X",OR($B152&lt;&gt;"",$C152&lt;&gt;""))</formula>
    </cfRule>
    <cfRule type="expression" priority="1663" aboveAverage="0" equalAverage="0" bottom="0" percent="0" rank="0" text="" dxfId="3580">
      <formula>AND(#ref!=1,#ref!=1)</formula>
    </cfRule>
    <cfRule type="expression" priority="1664" aboveAverage="0" equalAverage="0" bottom="0" percent="0" rank="0" text="" dxfId="3581">
      <formula>#ref!=1</formula>
    </cfRule>
    <cfRule type="expression" priority="1665" aboveAverage="0" equalAverage="0" bottom="0" percent="0" rank="0" text="" dxfId="3582">
      <formula>#ref!=1</formula>
    </cfRule>
  </conditionalFormatting>
  <conditionalFormatting sqref="E155:G155">
    <cfRule type="expression" priority="1666" aboveAverage="0" equalAverage="0" bottom="0" percent="0" rank="0" text="" dxfId="3583">
      <formula>AND($L155="X",OR($B155&lt;&gt;"",$C155&lt;&gt;"",$D155&lt;&gt;"",$E155&lt;&gt;""))</formula>
    </cfRule>
    <cfRule type="expression" priority="1667" aboveAverage="0" equalAverage="0" bottom="0" percent="0" rank="0" text="" dxfId="3584">
      <formula>AND($L155="X",OR($B155&lt;&gt;"",#ref!&lt;&gt;"",$C155&lt;&gt;"",$D155&lt;&gt;""))</formula>
    </cfRule>
    <cfRule type="expression" priority="1668" aboveAverage="0" equalAverage="0" bottom="0" percent="0" rank="0" text="" dxfId="3585">
      <formula>AND(#ref!=1,#ref!=1)</formula>
    </cfRule>
    <cfRule type="expression" priority="1669" aboveAverage="0" equalAverage="0" bottom="0" percent="0" rank="0" text="" dxfId="3586">
      <formula>#ref!=1</formula>
    </cfRule>
    <cfRule type="expression" priority="1670" aboveAverage="0" equalAverage="0" bottom="0" percent="0" rank="0" text="" dxfId="3587">
      <formula>#ref!=1</formula>
    </cfRule>
    <cfRule type="expression" priority="1671" aboveAverage="0" equalAverage="0" bottom="0" percent="0" rank="0" text="" dxfId="3588">
      <formula>AND($L155="X",OR($B155&lt;&gt;"",$C155&lt;&gt;""))</formula>
    </cfRule>
    <cfRule type="expression" priority="1672" aboveAverage="0" equalAverage="0" bottom="0" percent="0" rank="0" text="" dxfId="3589">
      <formula>AND(#ref!=1,#ref!=1)</formula>
    </cfRule>
    <cfRule type="expression" priority="1673" aboveAverage="0" equalAverage="0" bottom="0" percent="0" rank="0" text="" dxfId="3590">
      <formula>#ref!=1</formula>
    </cfRule>
    <cfRule type="expression" priority="1674" aboveAverage="0" equalAverage="0" bottom="0" percent="0" rank="0" text="" dxfId="3591">
      <formula>#ref!=1</formula>
    </cfRule>
    <cfRule type="expression" priority="1675" aboveAverage="0" equalAverage="0" bottom="0" percent="0" rank="0" text="" dxfId="3592">
      <formula>AND($L155="X",OR($B155&lt;&gt;"",$C155&lt;&gt;""))</formula>
    </cfRule>
    <cfRule type="expression" priority="1676" aboveAverage="0" equalAverage="0" bottom="0" percent="0" rank="0" text="" dxfId="3593">
      <formula>AND(#ref!=1,#ref!=1)</formula>
    </cfRule>
    <cfRule type="expression" priority="1677" aboveAverage="0" equalAverage="0" bottom="0" percent="0" rank="0" text="" dxfId="3594">
      <formula>#ref!=1</formula>
    </cfRule>
    <cfRule type="expression" priority="1678" aboveAverage="0" equalAverage="0" bottom="0" percent="0" rank="0" text="" dxfId="3595">
      <formula>#ref!=1</formula>
    </cfRule>
    <cfRule type="expression" priority="1679" aboveAverage="0" equalAverage="0" bottom="0" percent="0" rank="0" text="" dxfId="3596">
      <formula>AND($L155="X",OR($B155&lt;&gt;"",$C155&lt;&gt;""))</formula>
    </cfRule>
    <cfRule type="expression" priority="1680" aboveAverage="0" equalAverage="0" bottom="0" percent="0" rank="0" text="" dxfId="3597">
      <formula>AND(#ref!=1,#ref!=1)</formula>
    </cfRule>
    <cfRule type="expression" priority="1681" aboveAverage="0" equalAverage="0" bottom="0" percent="0" rank="0" text="" dxfId="3598">
      <formula>#ref!=1</formula>
    </cfRule>
    <cfRule type="expression" priority="1682" aboveAverage="0" equalAverage="0" bottom="0" percent="0" rank="0" text="" dxfId="3599">
      <formula>#ref!=1</formula>
    </cfRule>
    <cfRule type="expression" priority="1683" aboveAverage="0" equalAverage="0" bottom="0" percent="0" rank="0" text="" dxfId="3600">
      <formula>AND($L155="X",OR($B155&lt;&gt;"",$C155&lt;&gt;""))</formula>
    </cfRule>
    <cfRule type="expression" priority="1684" aboveAverage="0" equalAverage="0" bottom="0" percent="0" rank="0" text="" dxfId="3601">
      <formula>AND(#ref!=1,#ref!=1)</formula>
    </cfRule>
    <cfRule type="expression" priority="1685" aboveAverage="0" equalAverage="0" bottom="0" percent="0" rank="0" text="" dxfId="3602">
      <formula>#ref!=1</formula>
    </cfRule>
    <cfRule type="expression" priority="1686" aboveAverage="0" equalAverage="0" bottom="0" percent="0" rank="0" text="" dxfId="3603">
      <formula>#ref!=1</formula>
    </cfRule>
  </conditionalFormatting>
  <conditionalFormatting sqref="E158:G158">
    <cfRule type="expression" priority="1687" aboveAverage="0" equalAverage="0" bottom="0" percent="0" rank="0" text="" dxfId="3604">
      <formula>AND($L158="X",OR($B158&lt;&gt;"",$C158&lt;&gt;"",$D158&lt;&gt;"",$E158&lt;&gt;""))</formula>
    </cfRule>
    <cfRule type="expression" priority="1688" aboveAverage="0" equalAverage="0" bottom="0" percent="0" rank="0" text="" dxfId="3605">
      <formula>AND($L158="X",OR($B158&lt;&gt;"",#ref!&lt;&gt;"",$C158&lt;&gt;"",$D158&lt;&gt;""))</formula>
    </cfRule>
    <cfRule type="expression" priority="1689" aboveAverage="0" equalAverage="0" bottom="0" percent="0" rank="0" text="" dxfId="3606">
      <formula>AND(#ref!=1,#ref!=1)</formula>
    </cfRule>
    <cfRule type="expression" priority="1690" aboveAverage="0" equalAverage="0" bottom="0" percent="0" rank="0" text="" dxfId="3607">
      <formula>#ref!=1</formula>
    </cfRule>
    <cfRule type="expression" priority="1691" aboveAverage="0" equalAverage="0" bottom="0" percent="0" rank="0" text="" dxfId="3608">
      <formula>#ref!=1</formula>
    </cfRule>
    <cfRule type="expression" priority="1692" aboveAverage="0" equalAverage="0" bottom="0" percent="0" rank="0" text="" dxfId="3609">
      <formula>AND($L158="X",OR($B158&lt;&gt;"",$C158&lt;&gt;""))</formula>
    </cfRule>
    <cfRule type="expression" priority="1693" aboveAverage="0" equalAverage="0" bottom="0" percent="0" rank="0" text="" dxfId="3610">
      <formula>AND(#ref!=1,#ref!=1)</formula>
    </cfRule>
    <cfRule type="expression" priority="1694" aboveAverage="0" equalAverage="0" bottom="0" percent="0" rank="0" text="" dxfId="3611">
      <formula>#ref!=1</formula>
    </cfRule>
    <cfRule type="expression" priority="1695" aboveAverage="0" equalAverage="0" bottom="0" percent="0" rank="0" text="" dxfId="3612">
      <formula>#ref!=1</formula>
    </cfRule>
    <cfRule type="expression" priority="1696" aboveAverage="0" equalAverage="0" bottom="0" percent="0" rank="0" text="" dxfId="3613">
      <formula>AND($L158="X",OR($B158&lt;&gt;"",$C158&lt;&gt;""))</formula>
    </cfRule>
    <cfRule type="expression" priority="1697" aboveAverage="0" equalAverage="0" bottom="0" percent="0" rank="0" text="" dxfId="3614">
      <formula>AND(#ref!=1,#ref!=1)</formula>
    </cfRule>
    <cfRule type="expression" priority="1698" aboveAverage="0" equalAverage="0" bottom="0" percent="0" rank="0" text="" dxfId="3615">
      <formula>#ref!=1</formula>
    </cfRule>
    <cfRule type="expression" priority="1699" aboveAverage="0" equalAverage="0" bottom="0" percent="0" rank="0" text="" dxfId="3616">
      <formula>#ref!=1</formula>
    </cfRule>
  </conditionalFormatting>
  <conditionalFormatting sqref="E176:G177">
    <cfRule type="expression" priority="1700" aboveAverage="0" equalAverage="0" bottom="0" percent="0" rank="0" text="" dxfId="3617">
      <formula>AND($L176="X",OR($B176&lt;&gt;"",$C176&lt;&gt;"",$D176&lt;&gt;"",$E176&lt;&gt;""))</formula>
    </cfRule>
    <cfRule type="expression" priority="1701" aboveAverage="0" equalAverage="0" bottom="0" percent="0" rank="0" text="" dxfId="3618">
      <formula>AND($L176="X",OR($B176&lt;&gt;"",#ref!&lt;&gt;"",$C176&lt;&gt;"",$D176&lt;&gt;""))</formula>
    </cfRule>
    <cfRule type="expression" priority="1702" aboveAverage="0" equalAverage="0" bottom="0" percent="0" rank="0" text="" dxfId="3619">
      <formula>AND(#ref!=1,#ref!=1)</formula>
    </cfRule>
    <cfRule type="expression" priority="1703" aboveAverage="0" equalAverage="0" bottom="0" percent="0" rank="0" text="" dxfId="3620">
      <formula>#ref!=1</formula>
    </cfRule>
    <cfRule type="expression" priority="1704" aboveAverage="0" equalAverage="0" bottom="0" percent="0" rank="0" text="" dxfId="3621">
      <formula>#ref!=1</formula>
    </cfRule>
    <cfRule type="expression" priority="1705" aboveAverage="0" equalAverage="0" bottom="0" percent="0" rank="0" text="" dxfId="3622">
      <formula>AND($L176="X",OR($B176&lt;&gt;"",#ref!&lt;&gt;"",$C176&lt;&gt;""))</formula>
    </cfRule>
    <cfRule type="expression" priority="1706" aboveAverage="0" equalAverage="0" bottom="0" percent="0" rank="0" text="" dxfId="3623">
      <formula>AND(#ref!=1,#ref!=1)</formula>
    </cfRule>
    <cfRule type="expression" priority="1707" aboveAverage="0" equalAverage="0" bottom="0" percent="0" rank="0" text="" dxfId="3624">
      <formula>#ref!=1</formula>
    </cfRule>
    <cfRule type="expression" priority="1708" aboveAverage="0" equalAverage="0" bottom="0" percent="0" rank="0" text="" dxfId="3625">
      <formula>#ref!=1</formula>
    </cfRule>
  </conditionalFormatting>
  <conditionalFormatting sqref="E182:G182">
    <cfRule type="expression" priority="1709" aboveAverage="0" equalAverage="0" bottom="0" percent="0" rank="0" text="" dxfId="3626">
      <formula>AND($L182="X",OR($B182&lt;&gt;"",$C182&lt;&gt;"",$D182&lt;&gt;"",$E182&lt;&gt;""))</formula>
    </cfRule>
    <cfRule type="expression" priority="1710" aboveAverage="0" equalAverage="0" bottom="0" percent="0" rank="0" text="" dxfId="3627">
      <formula>AND($L182="X",OR($B182&lt;&gt;"",#ref!&lt;&gt;"",$C182&lt;&gt;"",$D182&lt;&gt;""))</formula>
    </cfRule>
    <cfRule type="expression" priority="1711" aboveAverage="0" equalAverage="0" bottom="0" percent="0" rank="0" text="" dxfId="3628">
      <formula>AND($L182="X",OR($B182&lt;&gt;"",#ref!&lt;&gt;"",$C182&lt;&gt;""))</formula>
    </cfRule>
    <cfRule type="expression" priority="1712" aboveAverage="0" equalAverage="0" bottom="0" percent="0" rank="0" text="" dxfId="3629">
      <formula>AND($L182="X",OR($B182&lt;&gt;"",$C182&lt;&gt;""))</formula>
    </cfRule>
  </conditionalFormatting>
  <conditionalFormatting sqref="F1">
    <cfRule type="dataBar" priority="1713">
      <dataBar showValue="1" minLength="10" maxLength="90">
        <cfvo type="num" val="0"/>
        <cfvo type="num" val="1"/>
        <color rgb="FF63C384"/>
      </dataBar>
      <extLst>
        <ext xmlns:x14="http://schemas.microsoft.com/office/spreadsheetml/2009/9/main" uri="{B025F937-C7B1-47D3-B67F-A62EFF666E3E}">
          <x14:id>{B6222F73-391C-4180-AD7F-233337FD4073}</x14:id>
        </ext>
      </extLst>
    </cfRule>
  </conditionalFormatting>
  <conditionalFormatting sqref="F9:F31 E55 E59 E69">
    <cfRule type="expression" priority="1714" aboveAverage="0" equalAverage="0" bottom="0" percent="0" rank="0" text="" dxfId="3630">
      <formula>AND($L9="X",OR($B9&lt;&gt;"",$C9&lt;&gt;"",$D9&lt;&gt;"",$E9&lt;&gt;""))</formula>
    </cfRule>
  </conditionalFormatting>
  <conditionalFormatting sqref="F32 F171">
    <cfRule type="expression" priority="1715" aboveAverage="0" equalAverage="0" bottom="0" percent="0" rank="0" text="" dxfId="3631">
      <formula>AND($L32="X",OR($B32&lt;&gt;"",#ref!&lt;&gt;"",$D32&lt;&gt;"",$E32&lt;&gt;""))</formula>
    </cfRule>
  </conditionalFormatting>
  <conditionalFormatting sqref="F33">
    <cfRule type="expression" priority="1716" aboveAverage="0" equalAverage="0" bottom="0" percent="0" rank="0" text="" dxfId="3632">
      <formula>AND($L33="X",OR($B33&lt;&gt;"",$C33&lt;&gt;"",$D33&lt;&gt;""))</formula>
    </cfRule>
  </conditionalFormatting>
  <conditionalFormatting sqref="F33:F40 E37 F44:F71 F101:F102 F104:F134 F146:G146 G166:G167 F175:F180 F203:F211">
    <cfRule type="expression" priority="1717" aboveAverage="0" equalAverage="0" bottom="0" percent="0" rank="0" text="" dxfId="3633">
      <formula>AND($L33="X",OR($B33&lt;&gt;"",$C33&lt;&gt;"",$D33&lt;&gt;"",$E33&lt;&gt;""))</formula>
    </cfRule>
  </conditionalFormatting>
  <conditionalFormatting sqref="F42:F43">
    <cfRule type="expression" priority="1718" aboveAverage="0" equalAverage="0" bottom="0" percent="0" rank="0" text="" dxfId="3634">
      <formula>AND($L42="X",OR($B42&lt;&gt;"",#ref!&lt;&gt;"",$D42&lt;&gt;"",#ref!&lt;&gt;""))</formula>
    </cfRule>
  </conditionalFormatting>
  <conditionalFormatting sqref="F44:F45 F51 E55 E59 E69 F71">
    <cfRule type="expression" priority="1719" aboveAverage="0" equalAverage="0" bottom="0" percent="0" rank="0" text="" dxfId="3635">
      <formula>AND($L44="X",OR($B44&lt;&gt;"",#ref!&lt;&gt;"",$C44&lt;&gt;"",$D44&lt;&gt;""))</formula>
    </cfRule>
    <cfRule type="expression" priority="1720" aboveAverage="0" equalAverage="0" bottom="0" percent="0" rank="0" text="" dxfId="3636">
      <formula>AND($L44="X",OR($B44&lt;&gt;"",$C44&lt;&gt;""))</formula>
    </cfRule>
  </conditionalFormatting>
  <conditionalFormatting sqref="F44:F45 F51 F71">
    <cfRule type="expression" priority="1721" aboveAverage="0" equalAverage="0" bottom="0" percent="0" rank="0" text="" dxfId="3637">
      <formula>AND($L44="X",OR($B44&lt;&gt;"",$C44&lt;&gt;"",$D44&lt;&gt;""))</formula>
    </cfRule>
  </conditionalFormatting>
  <conditionalFormatting sqref="F72">
    <cfRule type="expression" priority="1722" aboveAverage="0" equalAverage="0" bottom="0" percent="0" rank="0" text="" dxfId="3638">
      <formula>AND($L72="X",OR($B72&lt;&gt;"",#ref!&lt;&gt;"",$C72&lt;&gt;""))</formula>
    </cfRule>
    <cfRule type="expression" priority="1723" aboveAverage="0" equalAverage="0" bottom="0" percent="0" rank="0" text="" dxfId="3639">
      <formula>AND($L72="X",OR($B72&lt;&gt;"",$C72&lt;&gt;"",$D72&lt;&gt;""))</formula>
    </cfRule>
    <cfRule type="expression" priority="1724" aboveAverage="0" equalAverage="0" bottom="0" percent="0" rank="0" text="" dxfId="3640">
      <formula>AND($L72="X",OR($B72&lt;&gt;"",$C72&lt;&gt;"",$D72&lt;&gt;"",$E72&lt;&gt;""))</formula>
    </cfRule>
    <cfRule type="expression" priority="1725" aboveAverage="0" equalAverage="0" bottom="0" percent="0" rank="0" text="" dxfId="3641">
      <formula>AND($L72="X",OR($B72&lt;&gt;"",$C72&lt;&gt;"",$E72&lt;&gt;"",#ref!&lt;&gt;""))</formula>
    </cfRule>
    <cfRule type="expression" priority="1726" aboveAverage="0" equalAverage="0" bottom="0" percent="0" rank="0" text="" dxfId="3642">
      <formula>#ref!=1</formula>
    </cfRule>
    <cfRule type="expression" priority="1727" aboveAverage="0" equalAverage="0" bottom="0" percent="0" rank="0" text="" dxfId="3643">
      <formula>AND($L72="X",OR($B72&lt;&gt;"",$C72&lt;&gt;"",$D72&lt;&gt;""))</formula>
    </cfRule>
    <cfRule type="expression" priority="1728" aboveAverage="0" equalAverage="0" bottom="0" percent="0" rank="0" text="" dxfId="3644">
      <formula>AND($L72="X",OR($B72&lt;&gt;"",$C72&lt;&gt;"",$D72&lt;&gt;"",$E72&lt;&gt;""))</formula>
    </cfRule>
    <cfRule type="expression" priority="1729" aboveAverage="0" equalAverage="0" bottom="0" percent="0" rank="0" text="" dxfId="3645">
      <formula>AND(#ref!=1,#ref!=1)</formula>
    </cfRule>
    <cfRule type="expression" priority="1730" aboveAverage="0" equalAverage="0" bottom="0" percent="0" rank="0" text="" dxfId="3646">
      <formula>#ref!=1</formula>
    </cfRule>
    <cfRule type="expression" priority="1731" aboveAverage="0" equalAverage="0" bottom="0" percent="0" rank="0" text="" dxfId="3647">
      <formula>#ref!=1</formula>
    </cfRule>
    <cfRule type="expression" priority="1732" aboveAverage="0" equalAverage="0" bottom="0" percent="0" rank="0" text="" dxfId="3648">
      <formula>AND($L72="X",OR($B72&lt;&gt;"",$C72&lt;&gt;"",$E72&lt;&gt;"",#ref!&lt;&gt;""))</formula>
    </cfRule>
    <cfRule type="expression" priority="1733" aboveAverage="0" equalAverage="0" bottom="0" percent="0" rank="0" text="" dxfId="3649">
      <formula>AND($L72="X",OR($B72&lt;&gt;"",$C72&lt;&gt;""))</formula>
    </cfRule>
    <cfRule type="expression" priority="1734" aboveAverage="0" equalAverage="0" bottom="0" percent="0" rank="0" text="" dxfId="3650">
      <formula>AND($L72="X",OR($B72&lt;&gt;"",$C72&lt;&gt;"",$D72&lt;&gt;"",$E72&lt;&gt;""))</formula>
    </cfRule>
    <cfRule type="expression" priority="1735" aboveAverage="0" equalAverage="0" bottom="0" percent="0" rank="0" text="" dxfId="3651">
      <formula>AND(#ref!=1,#ref!=1)</formula>
    </cfRule>
    <cfRule type="expression" priority="1736" aboveAverage="0" equalAverage="0" bottom="0" percent="0" rank="0" text="" dxfId="3652">
      <formula>#ref!=1</formula>
    </cfRule>
    <cfRule type="expression" priority="1737" aboveAverage="0" equalAverage="0" bottom="0" percent="0" rank="0" text="" dxfId="3653">
      <formula>#ref!=1</formula>
    </cfRule>
    <cfRule type="expression" priority="1738" aboveAverage="0" equalAverage="0" bottom="0" percent="0" rank="0" text="" dxfId="3654">
      <formula>AND($L72="X",OR($B72&lt;&gt;"",$C72&lt;&gt;"",$E72&lt;&gt;"",#ref!&lt;&gt;""))</formula>
    </cfRule>
    <cfRule type="expression" priority="1739" aboveAverage="0" equalAverage="0" bottom="0" percent="0" rank="0" text="" dxfId="3655">
      <formula>#ref!=1</formula>
    </cfRule>
    <cfRule type="expression" priority="1740" aboveAverage="0" equalAverage="0" bottom="0" percent="0" rank="0" text="" dxfId="3656">
      <formula>AND($L72="X",OR($B72&lt;&gt;"",$C72&lt;&gt;"",$D72&lt;&gt;""))</formula>
    </cfRule>
    <cfRule type="expression" priority="1741" aboveAverage="0" equalAverage="0" bottom="0" percent="0" rank="0" text="" dxfId="3657">
      <formula>AND($L72="X",OR($B72&lt;&gt;"",$C72&lt;&gt;"",$D72&lt;&gt;"",$E72&lt;&gt;""))</formula>
    </cfRule>
    <cfRule type="expression" priority="1742" aboveAverage="0" equalAverage="0" bottom="0" percent="0" rank="0" text="" dxfId="3658">
      <formula>AND(#ref!=1,#ref!=1)</formula>
    </cfRule>
    <cfRule type="expression" priority="1743" aboveAverage="0" equalAverage="0" bottom="0" percent="0" rank="0" text="" dxfId="3659">
      <formula>#ref!=1</formula>
    </cfRule>
    <cfRule type="expression" priority="1744" aboveAverage="0" equalAverage="0" bottom="0" percent="0" rank="0" text="" dxfId="3660">
      <formula>AND($L72="X",OR($B72&lt;&gt;"",$C72&lt;&gt;"",$E72&lt;&gt;"",#ref!&lt;&gt;""))</formula>
    </cfRule>
    <cfRule type="expression" priority="1745" aboveAverage="0" equalAverage="0" bottom="0" percent="0" rank="0" text="" dxfId="3661">
      <formula>AND($L72="X",OR($B72&lt;&gt;"",$C72&lt;&gt;""))</formula>
    </cfRule>
    <cfRule type="expression" priority="1746" aboveAverage="0" equalAverage="0" bottom="0" percent="0" rank="0" text="" dxfId="3662">
      <formula>AND($L72="X",$B72&lt;&gt;"")</formula>
    </cfRule>
    <cfRule type="expression" priority="1747" aboveAverage="0" equalAverage="0" bottom="0" percent="0" rank="0" text="" dxfId="3663">
      <formula>AND($L72="X",OR($B72&lt;&gt;"",$C72&lt;&gt;"",$D72&lt;&gt;""))</formula>
    </cfRule>
  </conditionalFormatting>
  <conditionalFormatting sqref="F73:F98 D92">
    <cfRule type="expression" priority="1748" aboveAverage="0" equalAverage="0" bottom="0" percent="0" rank="0" text="" dxfId="3664">
      <formula>AND($L73="X",OR($B73&lt;&gt;"",$C73&lt;&gt;"",$D73&lt;&gt;"",$E73&lt;&gt;""))</formula>
    </cfRule>
  </conditionalFormatting>
  <conditionalFormatting sqref="F86">
    <cfRule type="expression" priority="1749" aboveAverage="0" equalAverage="0" bottom="0" percent="0" rank="0" text="" dxfId="3665">
      <formula>AND($L86="X",OR($B86&lt;&gt;"",#ref!&lt;&gt;"",$C86&lt;&gt;"",$D86&lt;&gt;""))</formula>
    </cfRule>
    <cfRule type="expression" priority="1750" aboveAverage="0" equalAverage="0" bottom="0" percent="0" rank="0" text="" dxfId="3666">
      <formula>AND($L86="X",OR($B86&lt;&gt;"",$C86&lt;&gt;"",$D86&lt;&gt;""))</formula>
    </cfRule>
    <cfRule type="expression" priority="1751" aboveAverage="0" equalAverage="0" bottom="0" percent="0" rank="0" text="" dxfId="3667">
      <formula>AND($L86="X",OR($B86&lt;&gt;"",$C86&lt;&gt;""))</formula>
    </cfRule>
  </conditionalFormatting>
  <conditionalFormatting sqref="F99:F100 F183">
    <cfRule type="expression" priority="1752" aboveAverage="0" equalAverage="0" bottom="0" percent="0" rank="0" text="" dxfId="3668">
      <formula>AND($L99="X",OR($B99&lt;&gt;"",$D99&lt;&gt;"",#ref!&lt;&gt;"",$E99&lt;&gt;""))</formula>
    </cfRule>
  </conditionalFormatting>
  <conditionalFormatting sqref="F101">
    <cfRule type="expression" priority="1753" aboveAverage="0" equalAverage="0" bottom="0" percent="0" rank="0" text="" dxfId="3669">
      <formula>AND($L101="X",OR($B101&lt;&gt;"",#ref!&lt;&gt;"",$C101&lt;&gt;"",$D101&lt;&gt;"",$F101&lt;&gt;""))</formula>
    </cfRule>
    <cfRule type="expression" priority="1754" aboveAverage="0" equalAverage="0" bottom="0" percent="0" rank="0" text="" dxfId="3670">
      <formula>AND($L101="X",OR($B101&lt;&gt;"",$C101&lt;&gt;"",$D101&lt;&gt;"",$E101&lt;&gt;"",$F101&lt;&gt;""))</formula>
    </cfRule>
  </conditionalFormatting>
  <conditionalFormatting sqref="F101:F102">
    <cfRule type="expression" priority="1755" aboveAverage="0" equalAverage="0" bottom="0" percent="0" rank="0" text="" dxfId="3671">
      <formula>AND($L101="X",OR($B101&lt;&gt;"",#ref!&lt;&gt;"",$C101&lt;&gt;"",$D101&lt;&gt;""))</formula>
    </cfRule>
  </conditionalFormatting>
  <conditionalFormatting sqref="F102 F106 F111">
    <cfRule type="expression" priority="1756" aboveAverage="0" equalAverage="0" bottom="0" percent="0" rank="0" text="" dxfId="3672">
      <formula>AND($L102="X",OR($B102&lt;&gt;"",$C102&lt;&gt;"",$D102&lt;&gt;""))</formula>
    </cfRule>
  </conditionalFormatting>
  <conditionalFormatting sqref="F103 F143:G143 F146">
    <cfRule type="expression" priority="1757" aboveAverage="0" equalAverage="0" bottom="0" percent="0" rank="0" text="" dxfId="3673">
      <formula>AND($L103="X",OR($B103&lt;&gt;"",$C103&lt;&gt;"",$E103&lt;&gt;"",#ref!&lt;&gt;""))</formula>
    </cfRule>
  </conditionalFormatting>
  <conditionalFormatting sqref="F106 F111">
    <cfRule type="expression" priority="1758" aboveAverage="0" equalAverage="0" bottom="0" percent="0" rank="0" text="" dxfId="3674">
      <formula>AND($L106="X",OR($B106&lt;&gt;"",#ref!&lt;&gt;"",$C106&lt;&gt;"",$D106&lt;&gt;""))</formula>
    </cfRule>
  </conditionalFormatting>
  <conditionalFormatting sqref="F115:F117">
    <cfRule type="expression" priority="1759" aboveAverage="0" equalAverage="0" bottom="0" percent="0" rank="0" text="" dxfId="3675">
      <formula>AND($L115="X",OR($B115&lt;&gt;"",#ref!&lt;&gt;"",$C115&lt;&gt;"",$D115&lt;&gt;"",$F115&lt;&gt;""))</formula>
    </cfRule>
    <cfRule type="expression" priority="1760" aboveAverage="0" equalAverage="0" bottom="0" percent="0" rank="0" text="" dxfId="3676">
      <formula>AND($L115="X",OR($B115&lt;&gt;"",#ref!&lt;&gt;"",$C115&lt;&gt;"",$D115&lt;&gt;""))</formula>
    </cfRule>
    <cfRule type="expression" priority="1761" aboveAverage="0" equalAverage="0" bottom="0" percent="0" rank="0" text="" dxfId="3677">
      <formula>AND($L115="X",OR($B115&lt;&gt;"",$C115&lt;&gt;"",$D115&lt;&gt;"",$E115&lt;&gt;"",$F115&lt;&gt;""))</formula>
    </cfRule>
  </conditionalFormatting>
  <conditionalFormatting sqref="F121 F133:F134 F137 E151 E166">
    <cfRule type="expression" priority="1762" aboveAverage="0" equalAverage="0" bottom="0" percent="0" rank="0" text="" dxfId="3678">
      <formula>AND($L121="X",OR($B121&lt;&gt;"",#ref!&lt;&gt;"",$C121&lt;&gt;"",$D121&lt;&gt;""))</formula>
    </cfRule>
  </conditionalFormatting>
  <conditionalFormatting sqref="F123">
    <cfRule type="expression" priority="1763" aboveAverage="0" equalAverage="0" bottom="0" percent="0" rank="0" text="" dxfId="3679">
      <formula>AND($L123="X",OR($B123&lt;&gt;"",#ref!&lt;&gt;"",$C123&lt;&gt;"",$D123&lt;&gt;"",$F123&lt;&gt;""))</formula>
    </cfRule>
    <cfRule type="expression" priority="1764" aboveAverage="0" equalAverage="0" bottom="0" percent="0" rank="0" text="" dxfId="3680">
      <formula>AND($L123="X",OR($B123&lt;&gt;"",#ref!&lt;&gt;"",$C123&lt;&gt;"",$D123&lt;&gt;""))</formula>
    </cfRule>
    <cfRule type="expression" priority="1765" aboveAverage="0" equalAverage="0" bottom="0" percent="0" rank="0" text="" dxfId="3681">
      <formula>AND($L123="X",OR($B123&lt;&gt;"",$C123&lt;&gt;"",$D123&lt;&gt;"",$E123&lt;&gt;"",$F123&lt;&gt;""))</formula>
    </cfRule>
    <cfRule type="expression" priority="1766" aboveAverage="0" equalAverage="0" bottom="0" percent="0" rank="0" text="" dxfId="3682">
      <formula>AND($L123="X",OR($B123&lt;&gt;"",$C123&lt;&gt;"",$E123&lt;&gt;"",#ref!&lt;&gt;"",$F123&lt;&gt;""))</formula>
    </cfRule>
    <cfRule type="expression" priority="1767" aboveAverage="0" equalAverage="0" bottom="0" percent="0" rank="0" text="" dxfId="3683">
      <formula>AND($L123="X",OR($B123&lt;&gt;"",$C123&lt;&gt;"",$E123&lt;&gt;"",#ref!&lt;&gt;""))</formula>
    </cfRule>
    <cfRule type="expression" priority="1768" aboveAverage="0" equalAverage="0" bottom="0" percent="0" rank="0" text="" dxfId="3684">
      <formula>AND($L123="X",OR(#ref!&lt;&gt;"",$B123&lt;&gt;"",$C123&lt;&gt;"",$E123&lt;&gt;""))</formula>
    </cfRule>
  </conditionalFormatting>
  <conditionalFormatting sqref="F133">
    <cfRule type="expression" priority="1769" aboveAverage="0" equalAverage="0" bottom="0" percent="0" rank="0" text="" dxfId="3685">
      <formula>AND($L133="X",OR($B133&lt;&gt;"",#ref!&lt;&gt;"",$C133&lt;&gt;"",$D133&lt;&gt;"",$F133&lt;&gt;""))</formula>
    </cfRule>
    <cfRule type="expression" priority="1770" aboveAverage="0" equalAverage="0" bottom="0" percent="0" rank="0" text="" dxfId="3686">
      <formula>AND($L133="X",OR($B133&lt;&gt;"",$C133&lt;&gt;"",$E133&lt;&gt;"",#ref!&lt;&gt;"",$F133&lt;&gt;""))</formula>
    </cfRule>
  </conditionalFormatting>
  <conditionalFormatting sqref="F133:F136">
    <cfRule type="expression" priority="1771" aboveAverage="0" equalAverage="0" bottom="0" percent="0" rank="0" text="" dxfId="3687">
      <formula>AND($L133="X",OR($B133&lt;&gt;"",$C133&lt;&gt;"",$E133&lt;&gt;"",#ref!&lt;&gt;""))</formula>
    </cfRule>
  </conditionalFormatting>
  <conditionalFormatting sqref="F139:F141">
    <cfRule type="expression" priority="1772" aboveAverage="0" equalAverage="0" bottom="0" percent="0" rank="0" text="" dxfId="3688">
      <formula>AND($L139="X",OR($B139&lt;&gt;"",$C139&lt;&gt;"",$D139&lt;&gt;""))</formula>
    </cfRule>
  </conditionalFormatting>
  <conditionalFormatting sqref="F147:F148">
    <cfRule type="expression" priority="1773" aboveAverage="0" equalAverage="0" bottom="0" percent="0" rank="0" text="" dxfId="3689">
      <formula>AND($L147="X",$B147&lt;&gt;"")</formula>
    </cfRule>
    <cfRule type="expression" priority="1774" aboveAverage="0" equalAverage="0" bottom="0" percent="0" rank="0" text="" dxfId="3690">
      <formula>AND(#ref!=1,#ref!=1)</formula>
    </cfRule>
    <cfRule type="expression" priority="1775" aboveAverage="0" equalAverage="0" bottom="0" percent="0" rank="0" text="" dxfId="3691">
      <formula>#ref!=1</formula>
    </cfRule>
    <cfRule type="expression" priority="1776" aboveAverage="0" equalAverage="0" bottom="0" percent="0" rank="0" text="" dxfId="3692">
      <formula>OR(#ref!="X",#ref!="X")</formula>
    </cfRule>
    <cfRule type="expression" priority="1777" aboveAverage="0" equalAverage="0" bottom="0" percent="0" rank="0" text="" dxfId="3693">
      <formula>#ref!=1</formula>
    </cfRule>
    <cfRule type="expression" priority="1778" aboveAverage="0" equalAverage="0" bottom="0" percent="0" rank="0" text="" dxfId="3694">
      <formula>AND(NOT(ISBLANK($P147)),ISBLANK(#ref!),ISBLANK(#ref!))</formula>
    </cfRule>
  </conditionalFormatting>
  <conditionalFormatting sqref="F155 F158">
    <cfRule type="expression" priority="1779" aboveAverage="0" equalAverage="0" bottom="0" percent="0" rank="0" text="" dxfId="3695">
      <formula>AND($L155="X",OR($B155&lt;&gt;"",#ref!&lt;&gt;"",$C155&lt;&gt;"",$D155&lt;&gt;""))</formula>
    </cfRule>
  </conditionalFormatting>
  <conditionalFormatting sqref="F172:F174">
    <cfRule type="expression" priority="1780" aboveAverage="0" equalAverage="0" bottom="0" percent="0" rank="0" text="" dxfId="3696">
      <formula>AND($L172="X",OR(#ref!&lt;&gt;"",$B172&lt;&gt;"",$D172&lt;&gt;"",#ref!&lt;&gt;""))</formula>
    </cfRule>
  </conditionalFormatting>
  <conditionalFormatting sqref="F183:F184">
    <cfRule type="expression" priority="1781" aboveAverage="0" equalAverage="0" bottom="0" percent="0" rank="0" text="" dxfId="3697">
      <formula>AND($L183="X",OR(#ref!&lt;&gt;"",$B183&lt;&gt;"",$D183&lt;&gt;"",$E183&lt;&gt;""))</formula>
    </cfRule>
  </conditionalFormatting>
  <conditionalFormatting sqref="F186:F187">
    <cfRule type="expression" priority="1782" aboveAverage="0" equalAverage="0" bottom="0" percent="0" rank="0" text="" dxfId="3698">
      <formula>AND($L186="X",OR(#ref!&lt;&gt;"",$B186&lt;&gt;"",$C186&lt;&gt;"",$D186&lt;&gt;""))</formula>
    </cfRule>
  </conditionalFormatting>
  <conditionalFormatting sqref="F188:F190">
    <cfRule type="expression" priority="1783" aboveAverage="0" equalAverage="0" bottom="0" percent="0" rank="0" text="" dxfId="3699">
      <formula>AND(#ref!="X",OR(#ref!&lt;&gt;"",$B188&lt;&gt;"",$C188&lt;&gt;"",$D188&lt;&gt;""))</formula>
    </cfRule>
  </conditionalFormatting>
  <conditionalFormatting sqref="F191 G198">
    <cfRule type="expression" priority="1784" aboveAverage="0" equalAverage="0" bottom="0" percent="0" rank="0" text="" dxfId="3700">
      <formula>AND($L191="X",OR($B191&lt;&gt;"",#ref!&lt;&gt;"",$C191&lt;&gt;"",$D191&lt;&gt;"",$F191&lt;&gt;""))</formula>
    </cfRule>
    <cfRule type="expression" priority="1785" aboveAverage="0" equalAverage="0" bottom="0" percent="0" rank="0" text="" dxfId="3701">
      <formula>AND($L191="X",OR($B191&lt;&gt;"",#ref!&lt;&gt;"",$C191&lt;&gt;"",$D191&lt;&gt;""))</formula>
    </cfRule>
  </conditionalFormatting>
  <conditionalFormatting sqref="F192:F197">
    <cfRule type="expression" priority="1786" aboveAverage="0" equalAverage="0" bottom="0" percent="0" rank="0" text="" dxfId="3702">
      <formula>AND($L192="X",OR($B192&lt;&gt;"",#ref!&lt;&gt;"",#ref!&lt;&gt;"",$C192&lt;&gt;"",$F192&lt;&gt;""))</formula>
    </cfRule>
    <cfRule type="expression" priority="1787" aboveAverage="0" equalAverage="0" bottom="0" percent="0" rank="0" text="" dxfId="3703">
      <formula>AND($L192="X",OR($B192&lt;&gt;"",#ref!&lt;&gt;"",#ref!&lt;&gt;"",$C192&lt;&gt;""))</formula>
    </cfRule>
  </conditionalFormatting>
  <conditionalFormatting sqref="F198">
    <cfRule type="expression" priority="1788" aboveAverage="0" equalAverage="0" bottom="0" percent="0" rank="0" text="" dxfId="3704">
      <formula>AND($L198="X",OR(#ref!&lt;&gt;"",#ref!&lt;&gt;"",#ref!&lt;&gt;"",$B198&lt;&gt;"",$F198&lt;&gt;""))</formula>
    </cfRule>
    <cfRule type="expression" priority="1789" aboveAverage="0" equalAverage="0" bottom="0" percent="0" rank="0" text="" dxfId="3705">
      <formula>AND($L198="X",OR(#ref!&lt;&gt;"",#ref!&lt;&gt;"",#ref!&lt;&gt;"",$B198&lt;&gt;""))</formula>
    </cfRule>
    <cfRule type="expression" priority="1790" aboveAverage="0" equalAverage="0" bottom="0" percent="0" rank="0" text="" dxfId="3706">
      <formula>AND($L198="X",OR($B198&lt;&gt;"",#ref!&lt;&gt;"",$C198&lt;&gt;"",$D198&lt;&gt;""))</formula>
    </cfRule>
  </conditionalFormatting>
  <conditionalFormatting sqref="F199:F200">
    <cfRule type="expression" priority="1791" aboveAverage="0" equalAverage="0" bottom="0" percent="0" rank="0" text="" dxfId="3707">
      <formula>AND($L199="X",OR($B199&lt;&gt;"",#ref!&lt;&gt;"",$E199&lt;&gt;"",#ref!&lt;&gt;""))</formula>
    </cfRule>
  </conditionalFormatting>
  <conditionalFormatting sqref="F201">
    <cfRule type="expression" priority="1792" aboveAverage="0" equalAverage="0" bottom="0" percent="0" rank="0" text="" dxfId="3708">
      <formula>AND($L201="X",OR($B201&lt;&gt;"",$C201&lt;&gt;"",$D201&lt;&gt;"",$E201&lt;&gt;""))</formula>
    </cfRule>
  </conditionalFormatting>
  <conditionalFormatting sqref="F202">
    <cfRule type="expression" priority="1793" aboveAverage="0" equalAverage="0" bottom="0" percent="0" rank="0" text="" dxfId="3709">
      <formula>AND($L202="X",OR(#ref!&lt;&gt;"",#ref!&lt;&gt;"",#ref!&lt;&gt;"",$B202&lt;&gt;"",$F202&lt;&gt;""))</formula>
    </cfRule>
    <cfRule type="expression" priority="1794" aboveAverage="0" equalAverage="0" bottom="0" percent="0" rank="0" text="" dxfId="3710">
      <formula>AND($L202="X",OR(#ref!&lt;&gt;"",#ref!&lt;&gt;"",#ref!&lt;&gt;"",$B202&lt;&gt;""))</formula>
    </cfRule>
  </conditionalFormatting>
  <conditionalFormatting sqref="F20:G27">
    <cfRule type="expression" priority="1795" aboveAverage="0" equalAverage="0" bottom="0" percent="0" rank="0" text="" dxfId="3711">
      <formula>AND($L20="X",OR($B20&lt;&gt;"",$C20&lt;&gt;"",$D20&lt;&gt;"",$E20&lt;&gt;""))</formula>
    </cfRule>
    <cfRule type="expression" priority="1796" aboveAverage="0" equalAverage="0" bottom="0" percent="0" rank="0" text="" dxfId="3712">
      <formula>AND($L20="X",OR($B20&lt;&gt;"",#ref!&lt;&gt;"",$C20&lt;&gt;"",$D20&lt;&gt;"",$F20&lt;&gt;""))</formula>
    </cfRule>
    <cfRule type="expression" priority="1797" aboveAverage="0" equalAverage="0" bottom="0" percent="0" rank="0" text="" dxfId="3713">
      <formula>AND($L20="X",OR($B20&lt;&gt;"",#ref!&lt;&gt;"",$C20&lt;&gt;"",$D20&lt;&gt;""))</formula>
    </cfRule>
    <cfRule type="expression" priority="1798" aboveAverage="0" equalAverage="0" bottom="0" percent="0" rank="0" text="" dxfId="3714">
      <formula>AND($L20="X",OR($B20&lt;&gt;"",$C20&lt;&gt;"",$D20&lt;&gt;"",$E20&lt;&gt;"",$F20&lt;&gt;""))</formula>
    </cfRule>
    <cfRule type="expression" priority="1799" aboveAverage="0" equalAverage="0" bottom="0" percent="0" rank="0" text="" dxfId="3715">
      <formula>AND($L20="X",OR($B20&lt;&gt;"",$C20&lt;&gt;"",$D20&lt;&gt;""))</formula>
    </cfRule>
  </conditionalFormatting>
  <conditionalFormatting sqref="F33:G33 E37:F37">
    <cfRule type="expression" priority="1800" aboveAverage="0" equalAverage="0" bottom="0" percent="0" rank="0" text="" dxfId="3716">
      <formula>AND($L33="X",OR($B33&lt;&gt;"",#ref!&lt;&gt;"",$C33&lt;&gt;"",$D33&lt;&gt;"",$F33&lt;&gt;""))</formula>
    </cfRule>
    <cfRule type="expression" priority="1801" aboveAverage="0" equalAverage="0" bottom="0" percent="0" rank="0" text="" dxfId="3717">
      <formula>AND($L33="X",OR($B33&lt;&gt;"",#ref!&lt;&gt;"",$C33&lt;&gt;"",$D33&lt;&gt;""))</formula>
    </cfRule>
    <cfRule type="expression" priority="1802" aboveAverage="0" equalAverage="0" bottom="0" percent="0" rank="0" text="" dxfId="3718">
      <formula>AND($L33="X",OR($B33&lt;&gt;"",$C33&lt;&gt;"",$D33&lt;&gt;"",$E33&lt;&gt;"",$F33&lt;&gt;""))</formula>
    </cfRule>
    <cfRule type="expression" priority="1803" aboveAverage="0" equalAverage="0" bottom="0" percent="0" rank="0" text="" dxfId="3719">
      <formula>AND($L33="X",OR($B33&lt;&gt;"",$C33&lt;&gt;"",$D33&lt;&gt;"",$E33&lt;&gt;""))</formula>
    </cfRule>
    <cfRule type="expression" priority="1804" aboveAverage="0" equalAverage="0" bottom="0" percent="0" rank="0" text="" dxfId="3720">
      <formula>AND($L33="X",OR($B33&lt;&gt;"",$C33&lt;&gt;"",$D33&lt;&gt;""))</formula>
    </cfRule>
  </conditionalFormatting>
  <conditionalFormatting sqref="F123:G123">
    <cfRule type="expression" priority="1805" aboveAverage="0" equalAverage="0" bottom="0" percent="0" rank="0" text="" dxfId="3721">
      <formula>AND($L123="X",OR($B123&lt;&gt;"",$C123&lt;&gt;"",$D123&lt;&gt;"",$E123&lt;&gt;""))</formula>
    </cfRule>
    <cfRule type="expression" priority="1806" aboveAverage="0" equalAverage="0" bottom="0" percent="0" rank="0" text="" dxfId="3722">
      <formula>AND($L123="X",OR($B123&lt;&gt;"",$C123&lt;&gt;"",$E123&lt;&gt;"",#ref!&lt;&gt;""))</formula>
    </cfRule>
    <cfRule type="expression" priority="1807" aboveAverage="0" equalAverage="0" bottom="0" percent="0" rank="0" text="" dxfId="3723">
      <formula>#ref!=1</formula>
    </cfRule>
    <cfRule type="expression" priority="1808" aboveAverage="0" equalAverage="0" bottom="0" percent="0" rank="0" text="" dxfId="3724">
      <formula>AND($L123="X",OR($B123&lt;&gt;"",$C123&lt;&gt;"",$D123&lt;&gt;""))</formula>
    </cfRule>
    <cfRule type="expression" priority="1809" aboveAverage="0" equalAverage="0" bottom="0" percent="0" rank="0" text="" dxfId="3725">
      <formula>AND(#ref!=1,#ref!=1)</formula>
    </cfRule>
    <cfRule type="expression" priority="1810" aboveAverage="0" equalAverage="0" bottom="0" percent="0" rank="0" text="" dxfId="3726">
      <formula>#ref!=1</formula>
    </cfRule>
    <cfRule type="expression" priority="1811" aboveAverage="0" equalAverage="0" bottom="0" percent="0" rank="0" text="" dxfId="3727">
      <formula>AND($L123="X",OR($B123&lt;&gt;"",$C123&lt;&gt;"",$D123&lt;&gt;"",$E123&lt;&gt;"",$F123&lt;&gt;""))</formula>
    </cfRule>
    <cfRule type="expression" priority="1812" aboveAverage="0" equalAverage="0" bottom="0" percent="0" rank="0" text="" dxfId="3728">
      <formula>AND($L123="X",OR($B123&lt;&gt;"",$C123&lt;&gt;"",$D123&lt;&gt;"",$E123&lt;&gt;""))</formula>
    </cfRule>
  </conditionalFormatting>
  <conditionalFormatting sqref="F138:G138">
    <cfRule type="expression" priority="1813" aboveAverage="0" equalAverage="0" bottom="0" percent="0" rank="0" text="" dxfId="3729">
      <formula>AND($L138="X",OR($B138&lt;&gt;"",$C138&lt;&gt;"",$D138&lt;&gt;"",$E138&lt;&gt;""))</formula>
    </cfRule>
    <cfRule type="expression" priority="1814" aboveAverage="0" equalAverage="0" bottom="0" percent="0" rank="0" text="" dxfId="3730">
      <formula>AND($L138="X",OR($B138&lt;&gt;"",#ref!&lt;&gt;"",$C138&lt;&gt;"",$D138&lt;&gt;""))</formula>
    </cfRule>
    <cfRule type="expression" priority="1815" aboveAverage="0" equalAverage="0" bottom="0" percent="0" rank="0" text="" dxfId="3731">
      <formula>AND(#ref!=1,#ref!=1)</formula>
    </cfRule>
    <cfRule type="expression" priority="1816" aboveAverage="0" equalAverage="0" bottom="0" percent="0" rank="0" text="" dxfId="3732">
      <formula>#ref!=1</formula>
    </cfRule>
    <cfRule type="expression" priority="1817" aboveAverage="0" equalAverage="0" bottom="0" percent="0" rank="0" text="" dxfId="3733">
      <formula>#ref!=1</formula>
    </cfRule>
    <cfRule type="expression" priority="1818" aboveAverage="0" equalAverage="0" bottom="0" percent="0" rank="0" text="" dxfId="3734">
      <formula>AND($L138="X",OR($B138&lt;&gt;"",#ref!&lt;&gt;"",$C138&lt;&gt;"",$D138&lt;&gt;""))</formula>
    </cfRule>
    <cfRule type="expression" priority="1819" aboveAverage="0" equalAverage="0" bottom="0" percent="0" rank="0" text="" dxfId="3735">
      <formula>#ref!=1</formula>
    </cfRule>
    <cfRule type="expression" priority="1820" aboveAverage="0" equalAverage="0" bottom="0" percent="0" rank="0" text="" dxfId="3736">
      <formula>#ref!=1</formula>
    </cfRule>
    <cfRule type="expression" priority="1821" aboveAverage="0" equalAverage="0" bottom="0" percent="0" rank="0" text="" dxfId="3737">
      <formula>AND($L138="X",OR($B138&lt;&gt;"",$C138&lt;&gt;""))</formula>
    </cfRule>
    <cfRule type="expression" priority="1822" aboveAverage="0" equalAverage="0" bottom="0" percent="0" rank="0" text="" dxfId="3738">
      <formula>AND(#ref!=1,#ref!=1)</formula>
    </cfRule>
    <cfRule type="expression" priority="1823" aboveAverage="0" equalAverage="0" bottom="0" percent="0" rank="0" text="" dxfId="3739">
      <formula>#ref!=1</formula>
    </cfRule>
    <cfRule type="expression" priority="1824" aboveAverage="0" equalAverage="0" bottom="0" percent="0" rank="0" text="" dxfId="3740">
      <formula>#ref!=1</formula>
    </cfRule>
    <cfRule type="expression" priority="1825" aboveAverage="0" equalAverage="0" bottom="0" percent="0" rank="0" text="" dxfId="3741">
      <formula>AND($L138="X",OR($B138&lt;&gt;"",$C138&lt;&gt;""))</formula>
    </cfRule>
    <cfRule type="expression" priority="1826" aboveAverage="0" equalAverage="0" bottom="0" percent="0" rank="0" text="" dxfId="3742">
      <formula>AND(#ref!=1,#ref!=1)</formula>
    </cfRule>
    <cfRule type="expression" priority="1827" aboveAverage="0" equalAverage="0" bottom="0" percent="0" rank="0" text="" dxfId="3743">
      <formula>#ref!=1</formula>
    </cfRule>
    <cfRule type="expression" priority="1828" aboveAverage="0" equalAverage="0" bottom="0" percent="0" rank="0" text="" dxfId="3744">
      <formula>#ref!=1</formula>
    </cfRule>
    <cfRule type="expression" priority="1829" aboveAverage="0" equalAverage="0" bottom="0" percent="0" rank="0" text="" dxfId="3745">
      <formula>AND($L138="X",OR($B138&lt;&gt;"",$C138&lt;&gt;""))</formula>
    </cfRule>
    <cfRule type="expression" priority="1830" aboveAverage="0" equalAverage="0" bottom="0" percent="0" rank="0" text="" dxfId="3746">
      <formula>AND(#ref!=1,#ref!=1)</formula>
    </cfRule>
    <cfRule type="expression" priority="1831" aboveAverage="0" equalAverage="0" bottom="0" percent="0" rank="0" text="" dxfId="3747">
      <formula>#ref!=1</formula>
    </cfRule>
    <cfRule type="expression" priority="1832" aboveAverage="0" equalAverage="0" bottom="0" percent="0" rank="0" text="" dxfId="3748">
      <formula>#ref!=1</formula>
    </cfRule>
    <cfRule type="expression" priority="1833" aboveAverage="0" equalAverage="0" bottom="0" percent="0" rank="0" text="" dxfId="3749">
      <formula>AND($L138="X",OR($B138&lt;&gt;"",$C138&lt;&gt;""))</formula>
    </cfRule>
    <cfRule type="expression" priority="1834" aboveAverage="0" equalAverage="0" bottom="0" percent="0" rank="0" text="" dxfId="3750">
      <formula>AND(#ref!=1,#ref!=1)</formula>
    </cfRule>
    <cfRule type="expression" priority="1835" aboveAverage="0" equalAverage="0" bottom="0" percent="0" rank="0" text="" dxfId="3751">
      <formula>#ref!=1</formula>
    </cfRule>
    <cfRule type="expression" priority="1836" aboveAverage="0" equalAverage="0" bottom="0" percent="0" rank="0" text="" dxfId="3752">
      <formula>#ref!=1</formula>
    </cfRule>
    <cfRule type="expression" priority="1837" aboveAverage="0" equalAverage="0" bottom="0" percent="0" rank="0" text="" dxfId="3753">
      <formula>AND($L138="X",OR($B138&lt;&gt;"",$C138&lt;&gt;""))</formula>
    </cfRule>
    <cfRule type="expression" priority="1838" aboveAverage="0" equalAverage="0" bottom="0" percent="0" rank="0" text="" dxfId="3754">
      <formula>AND(#ref!=1,#ref!=1)</formula>
    </cfRule>
    <cfRule type="expression" priority="1839" aboveAverage="0" equalAverage="0" bottom="0" percent="0" rank="0" text="" dxfId="3755">
      <formula>#ref!=1</formula>
    </cfRule>
    <cfRule type="expression" priority="1840" aboveAverage="0" equalAverage="0" bottom="0" percent="0" rank="0" text="" dxfId="3756">
      <formula>#ref!=1</formula>
    </cfRule>
    <cfRule type="expression" priority="1841" aboveAverage="0" equalAverage="0" bottom="0" percent="0" rank="0" text="" dxfId="3757">
      <formula>AND($L138="X",OR($B138&lt;&gt;"",$C138&lt;&gt;"",$D138&lt;&gt;"",$E138&lt;&gt;""))</formula>
    </cfRule>
  </conditionalFormatting>
  <conditionalFormatting sqref="F143:G143 F146:G146">
    <cfRule type="expression" priority="1842" aboveAverage="0" equalAverage="0" bottom="0" percent="0" rank="0" text="" dxfId="3758">
      <formula>AND($L143="X",OR($B143&lt;&gt;"",$C143&lt;&gt;"",$D143&lt;&gt;"",$E143&lt;&gt;""))</formula>
    </cfRule>
    <cfRule type="expression" priority="1843" aboveAverage="0" equalAverage="0" bottom="0" percent="0" rank="0" text="" dxfId="3759">
      <formula>AND($L143="X",OR($B143&lt;&gt;"",#ref!&lt;&gt;"",$C143&lt;&gt;"",$D143&lt;&gt;""))</formula>
    </cfRule>
    <cfRule type="expression" priority="1844" aboveAverage="0" equalAverage="0" bottom="0" percent="0" rank="0" text="" dxfId="3760">
      <formula>AND(#ref!=1,#ref!=1)</formula>
    </cfRule>
    <cfRule type="expression" priority="1845" aboveAverage="0" equalAverage="0" bottom="0" percent="0" rank="0" text="" dxfId="3761">
      <formula>#ref!=1</formula>
    </cfRule>
    <cfRule type="expression" priority="1846" aboveAverage="0" equalAverage="0" bottom="0" percent="0" rank="0" text="" dxfId="3762">
      <formula>#ref!=1</formula>
    </cfRule>
    <cfRule type="expression" priority="1847" aboveAverage="0" equalAverage="0" bottom="0" percent="0" rank="0" text="" dxfId="3763">
      <formula>AND($L143="X",OR($B143&lt;&gt;"",$C143&lt;&gt;""))</formula>
    </cfRule>
    <cfRule type="expression" priority="1848" aboveAverage="0" equalAverage="0" bottom="0" percent="0" rank="0" text="" dxfId="3764">
      <formula>AND(#ref!=1,#ref!=1)</formula>
    </cfRule>
    <cfRule type="expression" priority="1849" aboveAverage="0" equalAverage="0" bottom="0" percent="0" rank="0" text="" dxfId="3765">
      <formula>#ref!=1</formula>
    </cfRule>
    <cfRule type="expression" priority="1850" aboveAverage="0" equalAverage="0" bottom="0" percent="0" rank="0" text="" dxfId="3766">
      <formula>#ref!=1</formula>
    </cfRule>
    <cfRule type="expression" priority="1851" aboveAverage="0" equalAverage="0" bottom="0" percent="0" rank="0" text="" dxfId="3767">
      <formula>AND($L143="X",OR($B143&lt;&gt;"",$C143&lt;&gt;""))</formula>
    </cfRule>
    <cfRule type="expression" priority="1852" aboveAverage="0" equalAverage="0" bottom="0" percent="0" rank="0" text="" dxfId="3768">
      <formula>AND(#ref!=1,#ref!=1)</formula>
    </cfRule>
    <cfRule type="expression" priority="1853" aboveAverage="0" equalAverage="0" bottom="0" percent="0" rank="0" text="" dxfId="3769">
      <formula>#ref!=1</formula>
    </cfRule>
    <cfRule type="expression" priority="1854" aboveAverage="0" equalAverage="0" bottom="0" percent="0" rank="0" text="" dxfId="3770">
      <formula>#ref!=1</formula>
    </cfRule>
    <cfRule type="expression" priority="1855" aboveAverage="0" equalAverage="0" bottom="0" percent="0" rank="0" text="" dxfId="3771">
      <formula>AND($L143="X",OR($B143&lt;&gt;"",$C143&lt;&gt;""))</formula>
    </cfRule>
    <cfRule type="expression" priority="1856" aboveAverage="0" equalAverage="0" bottom="0" percent="0" rank="0" text="" dxfId="3772">
      <formula>AND(#ref!=1,#ref!=1)</formula>
    </cfRule>
    <cfRule type="expression" priority="1857" aboveAverage="0" equalAverage="0" bottom="0" percent="0" rank="0" text="" dxfId="3773">
      <formula>#ref!=1</formula>
    </cfRule>
    <cfRule type="expression" priority="1858" aboveAverage="0" equalAverage="0" bottom="0" percent="0" rank="0" text="" dxfId="3774">
      <formula>#ref!=1</formula>
    </cfRule>
    <cfRule type="expression" priority="1859" aboveAverage="0" equalAverage="0" bottom="0" percent="0" rank="0" text="" dxfId="3775">
      <formula>AND($L143="X",OR($B143&lt;&gt;"",$C143&lt;&gt;""))</formula>
    </cfRule>
    <cfRule type="expression" priority="1860" aboveAverage="0" equalAverage="0" bottom="0" percent="0" rank="0" text="" dxfId="3776">
      <formula>AND(#ref!=1,#ref!=1)</formula>
    </cfRule>
    <cfRule type="expression" priority="1861" aboveAverage="0" equalAverage="0" bottom="0" percent="0" rank="0" text="" dxfId="3777">
      <formula>#ref!=1</formula>
    </cfRule>
    <cfRule type="expression" priority="1862" aboveAverage="0" equalAverage="0" bottom="0" percent="0" rank="0" text="" dxfId="3778">
      <formula>#ref!=1</formula>
    </cfRule>
    <cfRule type="expression" priority="1863" aboveAverage="0" equalAverage="0" bottom="0" percent="0" rank="0" text="" dxfId="3779">
      <formula>AND($L143="X",OR($B143&lt;&gt;"",$C143&lt;&gt;""))</formula>
    </cfRule>
    <cfRule type="expression" priority="1864" aboveAverage="0" equalAverage="0" bottom="0" percent="0" rank="0" text="" dxfId="3780">
      <formula>AND(#ref!=1,#ref!=1)</formula>
    </cfRule>
    <cfRule type="expression" priority="1865" aboveAverage="0" equalAverage="0" bottom="0" percent="0" rank="0" text="" dxfId="3781">
      <formula>#ref!=1</formula>
    </cfRule>
    <cfRule type="expression" priority="1866" aboveAverage="0" equalAverage="0" bottom="0" percent="0" rank="0" text="" dxfId="3782">
      <formula>#ref!=1</formula>
    </cfRule>
    <cfRule type="expression" priority="1867" aboveAverage="0" equalAverage="0" bottom="0" percent="0" rank="0" text="" dxfId="3783">
      <formula>AND($L143="X",OR($B143&lt;&gt;"",$C143&lt;&gt;""))</formula>
    </cfRule>
    <cfRule type="expression" priority="1868" aboveAverage="0" equalAverage="0" bottom="0" percent="0" rank="0" text="" dxfId="3784">
      <formula>AND(#ref!=1,#ref!=1)</formula>
    </cfRule>
    <cfRule type="expression" priority="1869" aboveAverage="0" equalAverage="0" bottom="0" percent="0" rank="0" text="" dxfId="3785">
      <formula>#ref!=1</formula>
    </cfRule>
    <cfRule type="expression" priority="1870" aboveAverage="0" equalAverage="0" bottom="0" percent="0" rank="0" text="" dxfId="3786">
      <formula>#ref!=1</formula>
    </cfRule>
    <cfRule type="expression" priority="1871" aboveAverage="0" equalAverage="0" bottom="0" percent="0" rank="0" text="" dxfId="3787">
      <formula>AND(NOT(ISBLANK($Q143)),ISBLANK(#ref!),ISBLANK(#ref!))</formula>
    </cfRule>
    <cfRule type="expression" priority="1872" aboveAverage="0" equalAverage="0" bottom="0" percent="0" rank="0" text="" dxfId="3788">
      <formula>OR(#ref!="X",#ref!="X")</formula>
    </cfRule>
    <cfRule type="expression" priority="1873" aboveAverage="0" equalAverage="0" bottom="0" percent="0" rank="0" text="" dxfId="3789">
      <formula>AND(#ref!=1,#ref!=1)</formula>
    </cfRule>
    <cfRule type="expression" priority="1874" aboveAverage="0" equalAverage="0" bottom="0" percent="0" rank="0" text="" dxfId="3790">
      <formula>#ref!=1</formula>
    </cfRule>
    <cfRule type="expression" priority="1875" aboveAverage="0" equalAverage="0" bottom="0" percent="0" rank="0" text="" dxfId="3791">
      <formula>#ref!=1</formula>
    </cfRule>
    <cfRule type="expression" priority="1876" aboveAverage="0" equalAverage="0" bottom="0" percent="0" rank="0" text="" dxfId="3792">
      <formula>AND($L143="X",OR($B143&lt;&gt;"",#ref!&lt;&gt;"",$C143&lt;&gt;""))</formula>
    </cfRule>
    <cfRule type="expression" priority="1877" aboveAverage="0" equalAverage="0" bottom="0" percent="0" rank="0" text="" dxfId="3793">
      <formula>AND($L143="X",OR($B143&lt;&gt;"",$C143&lt;&gt;"",$D143&lt;&gt;""))</formula>
    </cfRule>
    <cfRule type="expression" priority="1878" aboveAverage="0" equalAverage="0" bottom="0" percent="0" rank="0" text="" dxfId="3794">
      <formula>OR(#ref!="X",#ref!="X")</formula>
    </cfRule>
    <cfRule type="expression" priority="1879" aboveAverage="0" equalAverage="0" bottom="0" percent="0" rank="0" text="" dxfId="3795">
      <formula>AND(#ref!=1,#ref!=1)</formula>
    </cfRule>
    <cfRule type="expression" priority="1880" aboveAverage="0" equalAverage="0" bottom="0" percent="0" rank="0" text="" dxfId="3796">
      <formula>AND($L143="X",OR($B143&lt;&gt;"",$C143&lt;&gt;"",$D143&lt;&gt;"",$E143&lt;&gt;""))</formula>
    </cfRule>
    <cfRule type="expression" priority="1881" aboveAverage="0" equalAverage="0" bottom="0" percent="0" rank="0" text="" dxfId="3797">
      <formula>AND($L143="X",OR($B143&lt;&gt;"",$C143&lt;&gt;"",$E143&lt;&gt;"",#ref!&lt;&gt;""))</formula>
    </cfRule>
    <cfRule type="expression" priority="1882" aboveAverage="0" equalAverage="0" bottom="0" percent="0" rank="0" text="" dxfId="3798">
      <formula>#ref!=1</formula>
    </cfRule>
    <cfRule type="expression" priority="1883" aboveAverage="0" equalAverage="0" bottom="0" percent="0" rank="0" text="" dxfId="3799">
      <formula>AND(#ref!=1,#ref!=1)</formula>
    </cfRule>
    <cfRule type="expression" priority="1884" aboveAverage="0" equalAverage="0" bottom="0" percent="0" rank="0" text="" dxfId="3800">
      <formula>#ref!=1</formula>
    </cfRule>
    <cfRule type="expression" priority="1885" aboveAverage="0" equalAverage="0" bottom="0" percent="0" rank="0" text="" dxfId="3801">
      <formula>#ref!=1</formula>
    </cfRule>
    <cfRule type="expression" priority="1886" aboveAverage="0" equalAverage="0" bottom="0" percent="0" rank="0" text="" dxfId="3802">
      <formula>AND($L143="X",OR($B143&lt;&gt;"",$C143&lt;&gt;"",$D143&lt;&gt;""))</formula>
    </cfRule>
    <cfRule type="expression" priority="1887" aboveAverage="0" equalAverage="0" bottom="0" percent="0" rank="0" text="" dxfId="3803">
      <formula>AND($L143="X",OR($B143&lt;&gt;"",$C143&lt;&gt;"",$D143&lt;&gt;"",$E143&lt;&gt;""))</formula>
    </cfRule>
    <cfRule type="expression" priority="1888" aboveAverage="0" equalAverage="0" bottom="0" percent="0" rank="0" text="" dxfId="3804">
      <formula>AND($L143="X",OR($B143&lt;&gt;"",#ref!&lt;&gt;"",$C143&lt;&gt;"",$D143&lt;&gt;""))</formula>
    </cfRule>
    <cfRule type="expression" priority="1889" aboveAverage="0" equalAverage="0" bottom="0" percent="0" rank="0" text="" dxfId="3805">
      <formula>AND(#ref!=1,#ref!=1)</formula>
    </cfRule>
    <cfRule type="expression" priority="1890" aboveAverage="0" equalAverage="0" bottom="0" percent="0" rank="0" text="" dxfId="3806">
      <formula>#ref!=1</formula>
    </cfRule>
    <cfRule type="expression" priority="1891" aboveAverage="0" equalAverage="0" bottom="0" percent="0" rank="0" text="" dxfId="3807">
      <formula>#ref!=1</formula>
    </cfRule>
    <cfRule type="expression" priority="1892" aboveAverage="0" equalAverage="0" bottom="0" percent="0" rank="0" text="" dxfId="3808">
      <formula>AND($L143="X",OR($B143&lt;&gt;"",$C143&lt;&gt;""))</formula>
    </cfRule>
    <cfRule type="expression" priority="1893" aboveAverage="0" equalAverage="0" bottom="0" percent="0" rank="0" text="" dxfId="3809">
      <formula>AND(#ref!=1,#ref!=1)</formula>
    </cfRule>
    <cfRule type="expression" priority="1894" aboveAverage="0" equalAverage="0" bottom="0" percent="0" rank="0" text="" dxfId="3810">
      <formula>#ref!=1</formula>
    </cfRule>
    <cfRule type="expression" priority="1895" aboveAverage="0" equalAverage="0" bottom="0" percent="0" rank="0" text="" dxfId="3811">
      <formula>#ref!=1</formula>
    </cfRule>
    <cfRule type="expression" priority="1896" aboveAverage="0" equalAverage="0" bottom="0" percent="0" rank="0" text="" dxfId="3812">
      <formula>AND($L143="X",OR($B143&lt;&gt;"",$C143&lt;&gt;""))</formula>
    </cfRule>
    <cfRule type="expression" priority="1897" aboveAverage="0" equalAverage="0" bottom="0" percent="0" rank="0" text="" dxfId="3813">
      <formula>AND(#ref!=1,#ref!=1)</formula>
    </cfRule>
    <cfRule type="expression" priority="1898" aboveAverage="0" equalAverage="0" bottom="0" percent="0" rank="0" text="" dxfId="3814">
      <formula>#ref!=1</formula>
    </cfRule>
    <cfRule type="expression" priority="1899" aboveAverage="0" equalAverage="0" bottom="0" percent="0" rank="0" text="" dxfId="3815">
      <formula>#ref!=1</formula>
    </cfRule>
    <cfRule type="expression" priority="1900" aboveAverage="0" equalAverage="0" bottom="0" percent="0" rank="0" text="" dxfId="3816">
      <formula>AND($L143="X",OR($B143&lt;&gt;"",$C143&lt;&gt;""))</formula>
    </cfRule>
    <cfRule type="expression" priority="1901" aboveAverage="0" equalAverage="0" bottom="0" percent="0" rank="0" text="" dxfId="3817">
      <formula>AND(#ref!=1,#ref!=1)</formula>
    </cfRule>
    <cfRule type="expression" priority="1902" aboveAverage="0" equalAverage="0" bottom="0" percent="0" rank="0" text="" dxfId="3818">
      <formula>#ref!=1</formula>
    </cfRule>
    <cfRule type="expression" priority="1903" aboveAverage="0" equalAverage="0" bottom="0" percent="0" rank="0" text="" dxfId="3819">
      <formula>#ref!=1</formula>
    </cfRule>
    <cfRule type="expression" priority="1904" aboveAverage="0" equalAverage="0" bottom="0" percent="0" rank="0" text="" dxfId="3820">
      <formula>AND($L143="X",OR($B143&lt;&gt;"",$C143&lt;&gt;""))</formula>
    </cfRule>
    <cfRule type="expression" priority="1905" aboveAverage="0" equalAverage="0" bottom="0" percent="0" rank="0" text="" dxfId="3821">
      <formula>AND(#ref!=1,#ref!=1)</formula>
    </cfRule>
    <cfRule type="expression" priority="1906" aboveAverage="0" equalAverage="0" bottom="0" percent="0" rank="0" text="" dxfId="3822">
      <formula>#ref!=1</formula>
    </cfRule>
    <cfRule type="expression" priority="1907" aboveAverage="0" equalAverage="0" bottom="0" percent="0" rank="0" text="" dxfId="3823">
      <formula>#ref!=1</formula>
    </cfRule>
    <cfRule type="expression" priority="1908" aboveAverage="0" equalAverage="0" bottom="0" percent="0" rank="0" text="" dxfId="3824">
      <formula>AND($L143="X",OR($B143&lt;&gt;"",$C143&lt;&gt;""))</formula>
    </cfRule>
    <cfRule type="expression" priority="1909" aboveAverage="0" equalAverage="0" bottom="0" percent="0" rank="0" text="" dxfId="3825">
      <formula>AND(#ref!=1,#ref!=1)</formula>
    </cfRule>
    <cfRule type="expression" priority="1910" aboveAverage="0" equalAverage="0" bottom="0" percent="0" rank="0" text="" dxfId="3826">
      <formula>#ref!=1</formula>
    </cfRule>
    <cfRule type="expression" priority="1911" aboveAverage="0" equalAverage="0" bottom="0" percent="0" rank="0" text="" dxfId="3827">
      <formula>#ref!=1</formula>
    </cfRule>
    <cfRule type="expression" priority="1912" aboveAverage="0" equalAverage="0" bottom="0" percent="0" rank="0" text="" dxfId="3828">
      <formula>AND($L143="X",OR($B143&lt;&gt;"",$C143&lt;&gt;""))</formula>
    </cfRule>
    <cfRule type="expression" priority="1913" aboveAverage="0" equalAverage="0" bottom="0" percent="0" rank="0" text="" dxfId="3829">
      <formula>AND(#ref!=1,#ref!=1)</formula>
    </cfRule>
    <cfRule type="expression" priority="1914" aboveAverage="0" equalAverage="0" bottom="0" percent="0" rank="0" text="" dxfId="3830">
      <formula>#ref!=1</formula>
    </cfRule>
    <cfRule type="expression" priority="1915" aboveAverage="0" equalAverage="0" bottom="0" percent="0" rank="0" text="" dxfId="3831">
      <formula>#ref!=1</formula>
    </cfRule>
    <cfRule type="expression" priority="1916" aboveAverage="0" equalAverage="0" bottom="0" percent="0" rank="0" text="" dxfId="3832">
      <formula>AND(NOT(ISBLANK($P143)),ISBLANK(#ref!),ISBLANK(#ref!))</formula>
    </cfRule>
    <cfRule type="expression" priority="1917" aboveAverage="0" equalAverage="0" bottom="0" percent="0" rank="0" text="" dxfId="3833">
      <formula>OR(#ref!="X",#ref!="X")</formula>
    </cfRule>
    <cfRule type="expression" priority="1918" aboveAverage="0" equalAverage="0" bottom="0" percent="0" rank="0" text="" dxfId="3834">
      <formula>AND(#ref!=1,#ref!=1)</formula>
    </cfRule>
    <cfRule type="expression" priority="1919" aboveAverage="0" equalAverage="0" bottom="0" percent="0" rank="0" text="" dxfId="3835">
      <formula>#ref!=1</formula>
    </cfRule>
    <cfRule type="expression" priority="1920" aboveAverage="0" equalAverage="0" bottom="0" percent="0" rank="0" text="" dxfId="3836">
      <formula>#ref!=1</formula>
    </cfRule>
    <cfRule type="expression" priority="1921" aboveAverage="0" equalAverage="0" bottom="0" percent="0" rank="0" text="" dxfId="3837">
      <formula>AND($L143="X",OR($B143&lt;&gt;"",#ref!&lt;&gt;"",$C143&lt;&gt;""))</formula>
    </cfRule>
    <cfRule type="expression" priority="1922" aboveAverage="0" equalAverage="0" bottom="0" percent="0" rank="0" text="" dxfId="3838">
      <formula>AND($L143="X",OR($B143&lt;&gt;"",$C143&lt;&gt;"",$D143&lt;&gt;""))</formula>
    </cfRule>
    <cfRule type="expression" priority="1923" aboveAverage="0" equalAverage="0" bottom="0" percent="0" rank="0" text="" dxfId="3839">
      <formula>OR(#ref!="X",#ref!="X")</formula>
    </cfRule>
    <cfRule type="expression" priority="1924" aboveAverage="0" equalAverage="0" bottom="0" percent="0" rank="0" text="" dxfId="3840">
      <formula>AND(#ref!=1,#ref!=1)</formula>
    </cfRule>
    <cfRule type="expression" priority="1925" aboveAverage="0" equalAverage="0" bottom="0" percent="0" rank="0" text="" dxfId="3841">
      <formula>AND($L143="X",OR($B143&lt;&gt;"",$C143&lt;&gt;"",$D143&lt;&gt;"",$E143&lt;&gt;""))</formula>
    </cfRule>
    <cfRule type="expression" priority="1926" aboveAverage="0" equalAverage="0" bottom="0" percent="0" rank="0" text="" dxfId="3842">
      <formula>AND($L143="X",OR($B143&lt;&gt;"",$C143&lt;&gt;"",$E143&lt;&gt;"",#ref!&lt;&gt;""))</formula>
    </cfRule>
    <cfRule type="expression" priority="1927" aboveAverage="0" equalAverage="0" bottom="0" percent="0" rank="0" text="" dxfId="3843">
      <formula>#ref!=1</formula>
    </cfRule>
    <cfRule type="expression" priority="1928" aboveAverage="0" equalAverage="0" bottom="0" percent="0" rank="0" text="" dxfId="3844">
      <formula>AND(#ref!=1,#ref!=1)</formula>
    </cfRule>
  </conditionalFormatting>
  <conditionalFormatting sqref="F149:G150 D188">
    <cfRule type="expression" priority="1929" aboveAverage="0" equalAverage="0" bottom="0" percent="0" rank="0" text="" dxfId="3845">
      <formula>AND($L149="X",OR($B149&lt;&gt;"",#ref!&lt;&gt;"",$C149&lt;&gt;"",$D149&lt;&gt;""))</formula>
    </cfRule>
  </conditionalFormatting>
  <conditionalFormatting sqref="F181:G181 F185:G185">
    <cfRule type="expression" priority="1930" aboveAverage="0" equalAverage="0" bottom="0" percent="0" rank="0" text="" dxfId="3846">
      <formula>AND($L181="X",OR($B181&lt;&gt;"",$C181&lt;&gt;"",$D181&lt;&gt;"",#ref!&lt;&gt;"",$F181&lt;&gt;""))</formula>
    </cfRule>
  </conditionalFormatting>
  <conditionalFormatting sqref="F198:G198">
    <cfRule type="expression" priority="1931" aboveAverage="0" equalAverage="0" bottom="0" percent="0" rank="0" text="" dxfId="3847">
      <formula>AND($L198="X",OR($B198&lt;&gt;"",#ref!&lt;&gt;"",$C198&lt;&gt;""))</formula>
    </cfRule>
    <cfRule type="expression" priority="1932" aboveAverage="0" equalAverage="0" bottom="0" percent="0" rank="0" text="" dxfId="3848">
      <formula>AND($L198="X",OR($B198&lt;&gt;"",$C198&lt;&gt;"",$D198&lt;&gt;"",$E198&lt;&gt;""))</formula>
    </cfRule>
    <cfRule type="expression" priority="1933" aboveAverage="0" equalAverage="0" bottom="0" percent="0" rank="0" text="" dxfId="3849">
      <formula>AND($L198="X",OR($B198&lt;&gt;"",#ref!&lt;&gt;"",$C198&lt;&gt;"",$D198&lt;&gt;""))</formula>
    </cfRule>
  </conditionalFormatting>
  <conditionalFormatting sqref="G9:G31 G33:G40 F37 G44:G71 F92 G101:G102 G104:G134 F133 G175:G180 D182:G182 G203:G211">
    <cfRule type="expression" priority="1934" aboveAverage="0" equalAverage="0" bottom="0" percent="0" rank="0" text="" dxfId="3850">
      <formula>AND($L9="X",OR($B9&lt;&gt;"",$C9&lt;&gt;"",$D9&lt;&gt;"",$E9&lt;&gt;"",$F9&lt;&gt;""))</formula>
    </cfRule>
  </conditionalFormatting>
  <conditionalFormatting sqref="G32 G171">
    <cfRule type="expression" priority="1935" aboveAverage="0" equalAverage="0" bottom="0" percent="0" rank="0" text="" dxfId="3851">
      <formula>AND($L32="X",OR($B32&lt;&gt;"",#ref!&lt;&gt;"",$D32&lt;&gt;"",$E32&lt;&gt;"",$F32&lt;&gt;""))</formula>
    </cfRule>
  </conditionalFormatting>
  <conditionalFormatting sqref="G33">
    <cfRule type="expression" priority="1936" aboveAverage="0" equalAverage="0" bottom="0" percent="0" rank="0" text="" dxfId="3852">
      <formula>AND($L33="X",OR($B33&lt;&gt;"",$C33&lt;&gt;"",$D33&lt;&gt;"",$E33&lt;&gt;""))</formula>
    </cfRule>
  </conditionalFormatting>
  <conditionalFormatting sqref="G42:G43">
    <cfRule type="expression" priority="1937" aboveAverage="0" equalAverage="0" bottom="0" percent="0" rank="0" text="" dxfId="3853">
      <formula>AND($L42="X",OR($B42&lt;&gt;"",#ref!&lt;&gt;"",$D42&lt;&gt;"",#ref!&lt;&gt;"",$F42&lt;&gt;""))</formula>
    </cfRule>
  </conditionalFormatting>
  <conditionalFormatting sqref="G44:G45 G51 F55 F59 F69 G71">
    <cfRule type="expression" priority="1938" aboveAverage="0" equalAverage="0" bottom="0" percent="0" rank="0" text="" dxfId="3854">
      <formula>AND($L44="X",OR($B44&lt;&gt;"",#ref!&lt;&gt;"",$C44&lt;&gt;"",$D44&lt;&gt;"",$F44&lt;&gt;""))</formula>
    </cfRule>
  </conditionalFormatting>
  <conditionalFormatting sqref="G44:G45 G51 F55 F59 F69 G71:G72">
    <cfRule type="expression" priority="1939" aboveAverage="0" equalAverage="0" bottom="0" percent="0" rank="0" text="" dxfId="3855">
      <formula>AND($L44="X",OR($B44&lt;&gt;"",#ref!&lt;&gt;"",$C44&lt;&gt;"",$D44&lt;&gt;""))</formula>
    </cfRule>
    <cfRule type="expression" priority="1940" aboveAverage="0" equalAverage="0" bottom="0" percent="0" rank="0" text="" dxfId="3856">
      <formula>AND($L44="X",OR($B44&lt;&gt;"",$C44&lt;&gt;"",$D44&lt;&gt;""))</formula>
    </cfRule>
  </conditionalFormatting>
  <conditionalFormatting sqref="G44:G45 G51 G71:G72">
    <cfRule type="expression" priority="1941" aboveAverage="0" equalAverage="0" bottom="0" percent="0" rank="0" text="" dxfId="3857">
      <formula>AND($L44="X",OR($B44&lt;&gt;"",$C44&lt;&gt;"",$D44&lt;&gt;"",$E44&lt;&gt;""))</formula>
    </cfRule>
  </conditionalFormatting>
  <conditionalFormatting sqref="G72">
    <cfRule type="expression" priority="1942" aboveAverage="0" equalAverage="0" bottom="0" percent="0" rank="0" text="" dxfId="3858">
      <formula>AND($L72="X",OR($B72&lt;&gt;"",#ref!&lt;&gt;"",$C72&lt;&gt;""))</formula>
    </cfRule>
    <cfRule type="expression" priority="1943" aboveAverage="0" equalAverage="0" bottom="0" percent="0" rank="0" text="" dxfId="3859">
      <formula>AND($L72="X",OR($B72&lt;&gt;"",$C72&lt;&gt;""))</formula>
    </cfRule>
  </conditionalFormatting>
  <conditionalFormatting sqref="G73:G98 E92">
    <cfRule type="expression" priority="1944" aboveAverage="0" equalAverage="0" bottom="0" percent="0" rank="0" text="" dxfId="3860">
      <formula>AND($L73="X",OR($B73&lt;&gt;"",$C73&lt;&gt;"",$D73&lt;&gt;"",$E73&lt;&gt;"",$F73&lt;&gt;""))</formula>
    </cfRule>
  </conditionalFormatting>
  <conditionalFormatting sqref="G86">
    <cfRule type="expression" priority="1945" aboveAverage="0" equalAverage="0" bottom="0" percent="0" rank="0" text="" dxfId="3861">
      <formula>AND($L86="X",OR($B86&lt;&gt;"",#ref!&lt;&gt;"",$C86&lt;&gt;"",$D86&lt;&gt;"",$F86&lt;&gt;""))</formula>
    </cfRule>
    <cfRule type="expression" priority="1946" aboveAverage="0" equalAverage="0" bottom="0" percent="0" rank="0" text="" dxfId="3862">
      <formula>AND($L86="X",OR($B86&lt;&gt;"",#ref!&lt;&gt;"",$C86&lt;&gt;"",$D86&lt;&gt;""))</formula>
    </cfRule>
    <cfRule type="expression" priority="1947" aboveAverage="0" equalAverage="0" bottom="0" percent="0" rank="0" text="" dxfId="3863">
      <formula>AND($L86="X",OR($B86&lt;&gt;"",$C86&lt;&gt;"",$D86&lt;&gt;"",$E86&lt;&gt;""))</formula>
    </cfRule>
    <cfRule type="expression" priority="1948" aboveAverage="0" equalAverage="0" bottom="0" percent="0" rank="0" text="" dxfId="3864">
      <formula>AND($L86="X",OR($B86&lt;&gt;"",$C86&lt;&gt;"",$D86&lt;&gt;""))</formula>
    </cfRule>
  </conditionalFormatting>
  <conditionalFormatting sqref="G99:G100 G183">
    <cfRule type="expression" priority="1949" aboveAverage="0" equalAverage="0" bottom="0" percent="0" rank="0" text="" dxfId="3865">
      <formula>AND($L99="X",OR($B99&lt;&gt;"",$D99&lt;&gt;"",#ref!&lt;&gt;"",$E99&lt;&gt;"",$F99&lt;&gt;""))</formula>
    </cfRule>
  </conditionalFormatting>
  <conditionalFormatting sqref="G102 G106 G111">
    <cfRule type="expression" priority="1950" aboveAverage="0" equalAverage="0" bottom="0" percent="0" rank="0" text="" dxfId="3866">
      <formula>AND($L102="X",OR($B102&lt;&gt;"",#ref!&lt;&gt;"",$C102&lt;&gt;"",$D102&lt;&gt;"",$F102&lt;&gt;""))</formula>
    </cfRule>
    <cfRule type="expression" priority="1951" aboveAverage="0" equalAverage="0" bottom="0" percent="0" rank="0" text="" dxfId="3867">
      <formula>AND($L102="X",OR($B102&lt;&gt;"",#ref!&lt;&gt;"",$C102&lt;&gt;"",$D102&lt;&gt;""))</formula>
    </cfRule>
    <cfRule type="expression" priority="1952" aboveAverage="0" equalAverage="0" bottom="0" percent="0" rank="0" text="" dxfId="3868">
      <formula>AND($L102="X",OR($B102&lt;&gt;"",$C102&lt;&gt;"",$D102&lt;&gt;"",$E102&lt;&gt;""))</formula>
    </cfRule>
  </conditionalFormatting>
  <conditionalFormatting sqref="G103 G134:G136">
    <cfRule type="expression" priority="1953" aboveAverage="0" equalAverage="0" bottom="0" percent="0" rank="0" text="" dxfId="3869">
      <formula>AND($L103="X",OR($B103&lt;&gt;"",$C103&lt;&gt;"",$E103&lt;&gt;"",#ref!&lt;&gt;"",$F103&lt;&gt;""))</formula>
    </cfRule>
  </conditionalFormatting>
  <conditionalFormatting sqref="G121 G137 F151 F166">
    <cfRule type="expression" priority="1954" aboveAverage="0" equalAverage="0" bottom="0" percent="0" rank="0" text="" dxfId="3870">
      <formula>AND($L121="X",OR($B121&lt;&gt;"",#ref!&lt;&gt;"",$C121&lt;&gt;"",$D121&lt;&gt;"",$F121&lt;&gt;""))</formula>
    </cfRule>
  </conditionalFormatting>
  <conditionalFormatting sqref="G121 G137 F151:F152 F165:F166">
    <cfRule type="expression" priority="1955" aboveAverage="0" equalAverage="0" bottom="0" percent="0" rank="0" text="" dxfId="3871">
      <formula>AND($L121="X",OR($B121&lt;&gt;"",#ref!&lt;&gt;"",$C121&lt;&gt;"",$D121&lt;&gt;""))</formula>
    </cfRule>
  </conditionalFormatting>
  <conditionalFormatting sqref="G123">
    <cfRule type="expression" priority="1956" aboveAverage="0" equalAverage="0" bottom="0" percent="0" rank="0" text="" dxfId="3872">
      <formula>AND($L123="X",OR(#ref!&lt;&gt;"",$B123&lt;&gt;"",$C123&lt;&gt;"",$E123&lt;&gt;"",$F123&lt;&gt;""))</formula>
    </cfRule>
  </conditionalFormatting>
  <conditionalFormatting sqref="G134">
    <cfRule type="expression" priority="1957" aboveAverage="0" equalAverage="0" bottom="0" percent="0" rank="0" text="" dxfId="3873">
      <formula>AND($L134="X",OR($B134&lt;&gt;"",#ref!&lt;&gt;"",$C134&lt;&gt;"",$D134&lt;&gt;"",$F134&lt;&gt;""))</formula>
    </cfRule>
    <cfRule type="expression" priority="1958" aboveAverage="0" equalAverage="0" bottom="0" percent="0" rank="0" text="" dxfId="3874">
      <formula>AND($L134="X",OR($B134&lt;&gt;"",#ref!&lt;&gt;"",$C134&lt;&gt;"",$D134&lt;&gt;""))</formula>
    </cfRule>
    <cfRule type="expression" priority="1959" aboveAverage="0" equalAverage="0" bottom="0" percent="0" rank="0" text="" dxfId="3875">
      <formula>AND($L134="X",OR($B134&lt;&gt;"",$C134&lt;&gt;"",$E134&lt;&gt;"",#ref!&lt;&gt;""))</formula>
    </cfRule>
    <cfRule type="expression" priority="1960" aboveAverage="0" equalAverage="0" bottom="0" percent="0" rank="0" text="" dxfId="3876">
      <formula>AND($L134="X",OR($B134&lt;&gt;"",$C134&lt;&gt;"",$D134&lt;&gt;"",$E134&lt;&gt;""))</formula>
    </cfRule>
  </conditionalFormatting>
  <conditionalFormatting sqref="G137:G142 F55 F59 F69 G152:G170">
    <cfRule type="expression" priority="1961" aboveAverage="0" equalAverage="0" bottom="0" percent="0" rank="0" text="" dxfId="3877">
      <formula>AND($L55="X",OR($B55&lt;&gt;"",$C55&lt;&gt;"",$D55&lt;&gt;"",$E55&lt;&gt;"",$F55&lt;&gt;""))</formula>
    </cfRule>
  </conditionalFormatting>
  <conditionalFormatting sqref="G143">
    <cfRule type="expression" priority="1962" aboveAverage="0" equalAverage="0" bottom="0" percent="0" rank="0" text="" dxfId="3878">
      <formula>AND($L143="X",OR($B143&lt;&gt;"",$C143&lt;&gt;"",$D143&lt;&gt;"",$E143&lt;&gt;""))</formula>
    </cfRule>
    <cfRule type="expression" priority="1963" aboveAverage="0" equalAverage="0" bottom="0" percent="0" rank="0" text="" dxfId="3879">
      <formula>AND($L143="X",OR($B143&lt;&gt;"",$C143&lt;&gt;"",$E143&lt;&gt;"",#ref!&lt;&gt;"",$F143&lt;&gt;""))</formula>
    </cfRule>
  </conditionalFormatting>
  <conditionalFormatting sqref="G144:G145">
    <cfRule type="expression" priority="1964" aboveAverage="0" equalAverage="0" bottom="0" percent="0" rank="0" text="" dxfId="3880">
      <formula>AND($L144="X",OR($B144&lt;&gt;"",$C144&lt;&gt;"",$D144&lt;&gt;"",$F144&lt;&gt;"",#ref!&lt;&gt;""))</formula>
    </cfRule>
  </conditionalFormatting>
  <conditionalFormatting sqref="G147:G148">
    <cfRule type="expression" priority="1965" aboveAverage="0" equalAverage="0" bottom="0" percent="0" rank="0" text="" dxfId="3881">
      <formula>AND($L147="X",OR($B147&lt;&gt;"",$C147&lt;&gt;"",$D147&lt;&gt;"",$F147&lt;&gt;""))</formula>
    </cfRule>
    <cfRule type="expression" priority="1966" aboveAverage="0" equalAverage="0" bottom="0" percent="0" rank="0" text="" dxfId="3882">
      <formula>AND($L147="X",OR($B147&lt;&gt;"",#ref!&lt;&gt;"",$C147&lt;&gt;"",$D147&lt;&gt;""))</formula>
    </cfRule>
    <cfRule type="expression" priority="1967" aboveAverage="0" equalAverage="0" bottom="0" percent="0" rank="0" text="" dxfId="3883">
      <formula>AND(#ref!=1,#ref!=1)</formula>
    </cfRule>
    <cfRule type="expression" priority="1968" aboveAverage="0" equalAverage="0" bottom="0" percent="0" rank="0" text="" dxfId="3884">
      <formula>#ref!=1</formula>
    </cfRule>
    <cfRule type="expression" priority="1969" aboveAverage="0" equalAverage="0" bottom="0" percent="0" rank="0" text="" dxfId="3885">
      <formula>#ref!=1</formula>
    </cfRule>
    <cfRule type="expression" priority="1970" aboveAverage="0" equalAverage="0" bottom="0" percent="0" rank="0" text="" dxfId="3886">
      <formula>AND($L147="X",OR($B147&lt;&gt;"",$C147&lt;&gt;""))</formula>
    </cfRule>
    <cfRule type="expression" priority="1971" aboveAverage="0" equalAverage="0" bottom="0" percent="0" rank="0" text="" dxfId="3887">
      <formula>AND(#ref!=1,#ref!=1)</formula>
    </cfRule>
    <cfRule type="expression" priority="1972" aboveAverage="0" equalAverage="0" bottom="0" percent="0" rank="0" text="" dxfId="3888">
      <formula>#ref!=1</formula>
    </cfRule>
    <cfRule type="expression" priority="1973" aboveAverage="0" equalAverage="0" bottom="0" percent="0" rank="0" text="" dxfId="3889">
      <formula>#ref!=1</formula>
    </cfRule>
    <cfRule type="expression" priority="1974" aboveAverage="0" equalAverage="0" bottom="0" percent="0" rank="0" text="" dxfId="3890">
      <formula>AND($L147="X",OR($B147&lt;&gt;"",$C147&lt;&gt;""))</formula>
    </cfRule>
    <cfRule type="expression" priority="1975" aboveAverage="0" equalAverage="0" bottom="0" percent="0" rank="0" text="" dxfId="3891">
      <formula>AND(#ref!=1,#ref!=1)</formula>
    </cfRule>
    <cfRule type="expression" priority="1976" aboveAverage="0" equalAverage="0" bottom="0" percent="0" rank="0" text="" dxfId="3892">
      <formula>#ref!=1</formula>
    </cfRule>
    <cfRule type="expression" priority="1977" aboveAverage="0" equalAverage="0" bottom="0" percent="0" rank="0" text="" dxfId="3893">
      <formula>#ref!=1</formula>
    </cfRule>
    <cfRule type="expression" priority="1978" aboveAverage="0" equalAverage="0" bottom="0" percent="0" rank="0" text="" dxfId="3894">
      <formula>AND($L147="X",OR($B147&lt;&gt;"",$C147&lt;&gt;""))</formula>
    </cfRule>
    <cfRule type="expression" priority="1979" aboveAverage="0" equalAverage="0" bottom="0" percent="0" rank="0" text="" dxfId="3895">
      <formula>AND(#ref!=1,#ref!=1)</formula>
    </cfRule>
    <cfRule type="expression" priority="1980" aboveAverage="0" equalAverage="0" bottom="0" percent="0" rank="0" text="" dxfId="3896">
      <formula>#ref!=1</formula>
    </cfRule>
    <cfRule type="expression" priority="1981" aboveAverage="0" equalAverage="0" bottom="0" percent="0" rank="0" text="" dxfId="3897">
      <formula>#ref!=1</formula>
    </cfRule>
    <cfRule type="expression" priority="1982" aboveAverage="0" equalAverage="0" bottom="0" percent="0" rank="0" text="" dxfId="3898">
      <formula>AND($L147="X",OR($B147&lt;&gt;"",$C147&lt;&gt;""))</formula>
    </cfRule>
    <cfRule type="expression" priority="1983" aboveAverage="0" equalAverage="0" bottom="0" percent="0" rank="0" text="" dxfId="3899">
      <formula>AND(#ref!=1,#ref!=1)</formula>
    </cfRule>
    <cfRule type="expression" priority="1984" aboveAverage="0" equalAverage="0" bottom="0" percent="0" rank="0" text="" dxfId="3900">
      <formula>#ref!=1</formula>
    </cfRule>
    <cfRule type="expression" priority="1985" aboveAverage="0" equalAverage="0" bottom="0" percent="0" rank="0" text="" dxfId="3901">
      <formula>#ref!=1</formula>
    </cfRule>
    <cfRule type="expression" priority="1986" aboveAverage="0" equalAverage="0" bottom="0" percent="0" rank="0" text="" dxfId="3902">
      <formula>AND($L147="X",OR($B147&lt;&gt;"",$C147&lt;&gt;""))</formula>
    </cfRule>
    <cfRule type="expression" priority="1987" aboveAverage="0" equalAverage="0" bottom="0" percent="0" rank="0" text="" dxfId="3903">
      <formula>AND(#ref!=1,#ref!=1)</formula>
    </cfRule>
    <cfRule type="expression" priority="1988" aboveAverage="0" equalAverage="0" bottom="0" percent="0" rank="0" text="" dxfId="3904">
      <formula>#ref!=1</formula>
    </cfRule>
    <cfRule type="expression" priority="1989" aboveAverage="0" equalAverage="0" bottom="0" percent="0" rank="0" text="" dxfId="3905">
      <formula>#ref!=1</formula>
    </cfRule>
    <cfRule type="expression" priority="1990" aboveAverage="0" equalAverage="0" bottom="0" percent="0" rank="0" text="" dxfId="3906">
      <formula>AND($L147="X",OR($B147&lt;&gt;"",$C147&lt;&gt;""))</formula>
    </cfRule>
    <cfRule type="expression" priority="1991" aboveAverage="0" equalAverage="0" bottom="0" percent="0" rank="0" text="" dxfId="3907">
      <formula>AND(#ref!=1,#ref!=1)</formula>
    </cfRule>
    <cfRule type="expression" priority="1992" aboveAverage="0" equalAverage="0" bottom="0" percent="0" rank="0" text="" dxfId="3908">
      <formula>#ref!=1</formula>
    </cfRule>
    <cfRule type="expression" priority="1993" aboveAverage="0" equalAverage="0" bottom="0" percent="0" rank="0" text="" dxfId="3909">
      <formula>#ref!=1</formula>
    </cfRule>
    <cfRule type="expression" priority="1994" aboveAverage="0" equalAverage="0" bottom="0" percent="0" rank="0" text="" dxfId="3910">
      <formula>AND(NOT(ISBLANK($P147)),ISBLANK(#ref!),ISBLANK(#ref!))</formula>
    </cfRule>
    <cfRule type="expression" priority="1995" aboveAverage="0" equalAverage="0" bottom="0" percent="0" rank="0" text="" dxfId="3911">
      <formula>OR(#ref!="X",#ref!="X")</formula>
    </cfRule>
    <cfRule type="expression" priority="1996" aboveAverage="0" equalAverage="0" bottom="0" percent="0" rank="0" text="" dxfId="3912">
      <formula>AND(#ref!=1,#ref!=1)</formula>
    </cfRule>
    <cfRule type="expression" priority="1997" aboveAverage="0" equalAverage="0" bottom="0" percent="0" rank="0" text="" dxfId="3913">
      <formula>#ref!=1</formula>
    </cfRule>
    <cfRule type="expression" priority="1998" aboveAverage="0" equalAverage="0" bottom="0" percent="0" rank="0" text="" dxfId="3914">
      <formula>#ref!=1</formula>
    </cfRule>
    <cfRule type="expression" priority="1999" aboveAverage="0" equalAverage="0" bottom="0" percent="0" rank="0" text="" dxfId="3915">
      <formula>AND($L147="X",OR($B147&lt;&gt;"",$C147&lt;&gt;"",$D147&lt;&gt;""))</formula>
    </cfRule>
    <cfRule type="expression" priority="2000" aboveAverage="0" equalAverage="0" bottom="0" percent="0" rank="0" text="" dxfId="3916">
      <formula>OR(#ref!="X",#ref!="X")</formula>
    </cfRule>
    <cfRule type="expression" priority="2001" aboveAverage="0" equalAverage="0" bottom="0" percent="0" rank="0" text="" dxfId="3917">
      <formula>AND(#ref!=1,#ref!=1)</formula>
    </cfRule>
    <cfRule type="expression" priority="2002" aboveAverage="0" equalAverage="0" bottom="0" percent="0" rank="0" text="" dxfId="3918">
      <formula>AND($L147="X",OR($B147&lt;&gt;"",$C147&lt;&gt;"",$D147&lt;&gt;"",$F147&lt;&gt;""))</formula>
    </cfRule>
    <cfRule type="expression" priority="2003" aboveAverage="0" equalAverage="0" bottom="0" percent="0" rank="0" text="" dxfId="3919">
      <formula>AND($L147="X",OR($B147&lt;&gt;"",$C147&lt;&gt;"",$F147&lt;&gt;"",#ref!&lt;&gt;""))</formula>
    </cfRule>
    <cfRule type="expression" priority="2004" aboveAverage="0" equalAverage="0" bottom="0" percent="0" rank="0" text="" dxfId="3920">
      <formula>#ref!=1</formula>
    </cfRule>
  </conditionalFormatting>
  <conditionalFormatting sqref="G149:G150 F188">
    <cfRule type="expression" priority="2005" aboveAverage="0" equalAverage="0" bottom="0" percent="0" rank="0" text="" dxfId="3921">
      <formula>AND($L149="X",OR($B149&lt;&gt;"",#ref!&lt;&gt;"",$C149&lt;&gt;"",$D149&lt;&gt;"",$F149&lt;&gt;""))</formula>
    </cfRule>
  </conditionalFormatting>
  <conditionalFormatting sqref="G149:G150 G146 F151 F166">
    <cfRule type="expression" priority="2006" aboveAverage="0" equalAverage="0" bottom="0" percent="0" rank="0" text="" dxfId="3922">
      <formula>AND($L146="X",OR($B146&lt;&gt;"",$C146&lt;&gt;"",$D146&lt;&gt;"",$E146&lt;&gt;"",$F146&lt;&gt;""))</formula>
    </cfRule>
  </conditionalFormatting>
  <conditionalFormatting sqref="G152 G155 G158 G165">
    <cfRule type="expression" priority="2007" aboveAverage="0" equalAverage="0" bottom="0" percent="0" rank="0" text="" dxfId="3923">
      <formula>AND($L152="X",OR($B152&lt;&gt;"",#ref!&lt;&gt;"",$C152&lt;&gt;"",$D152&lt;&gt;"",$F152&lt;&gt;""))</formula>
    </cfRule>
  </conditionalFormatting>
  <conditionalFormatting sqref="G152 G155 G158 G165:G166">
    <cfRule type="expression" priority="2008" aboveAverage="0" equalAverage="0" bottom="0" percent="0" rank="0" text="" dxfId="3924">
      <formula>AND($L152="X",OR($B152&lt;&gt;"",#ref!&lt;&gt;"",$C152&lt;&gt;"",$D152&lt;&gt;""))</formula>
    </cfRule>
  </conditionalFormatting>
  <conditionalFormatting sqref="G166">
    <cfRule type="expression" priority="2009" aboveAverage="0" equalAverage="0" bottom="0" percent="0" rank="0" text="" dxfId="3925">
      <formula>AND($L166="X",OR($B166&lt;&gt;"",$C166&lt;&gt;"",$D166&lt;&gt;""))</formula>
    </cfRule>
  </conditionalFormatting>
  <conditionalFormatting sqref="G172:G174">
    <cfRule type="expression" priority="2010" aboveAverage="0" equalAverage="0" bottom="0" percent="0" rank="0" text="" dxfId="3926">
      <formula>AND($L172="X",OR(#ref!&lt;&gt;"",$B172&lt;&gt;"",$D172&lt;&gt;"",#ref!&lt;&gt;"",$F172&lt;&gt;""))</formula>
    </cfRule>
  </conditionalFormatting>
  <conditionalFormatting sqref="G183:G184">
    <cfRule type="expression" priority="2011" aboveAverage="0" equalAverage="0" bottom="0" percent="0" rank="0" text="" dxfId="3927">
      <formula>AND($L183="X",OR(#ref!&lt;&gt;"",$B183&lt;&gt;"",$D183&lt;&gt;"",$E183&lt;&gt;"",$F183&lt;&gt;""))</formula>
    </cfRule>
  </conditionalFormatting>
  <conditionalFormatting sqref="G186:G187">
    <cfRule type="expression" priority="2012" aboveAverage="0" equalAverage="0" bottom="0" percent="0" rank="0" text="" dxfId="3928">
      <formula>AND($L186="X",OR(#ref!&lt;&gt;"",$B186&lt;&gt;"",$C186&lt;&gt;"",$D186&lt;&gt;"",$F186&lt;&gt;""))</formula>
    </cfRule>
  </conditionalFormatting>
  <conditionalFormatting sqref="G188:G190">
    <cfRule type="expression" priority="2013" aboveAverage="0" equalAverage="0" bottom="0" percent="0" rank="0" text="" dxfId="3929">
      <formula>AND(#ref!="X",OR(#ref!&lt;&gt;"",$B188&lt;&gt;"",$C188&lt;&gt;"",$D188&lt;&gt;"",$F188&lt;&gt;""))</formula>
    </cfRule>
  </conditionalFormatting>
  <conditionalFormatting sqref="G191">
    <cfRule type="expression" priority="2014" aboveAverage="0" equalAverage="0" bottom="0" percent="0" rank="0" text="" dxfId="3930">
      <formula>AND($L191="X",OR($B191&lt;&gt;"",#ref!&lt;&gt;"",$C191&lt;&gt;"",$D191&lt;&gt;"",$F191&lt;&gt;""))</formula>
    </cfRule>
  </conditionalFormatting>
  <conditionalFormatting sqref="G192:G197">
    <cfRule type="expression" priority="2015" aboveAverage="0" equalAverage="0" bottom="0" percent="0" rank="0" text="" dxfId="3931">
      <formula>AND($L192="X",OR($B192&lt;&gt;"",#ref!&lt;&gt;"",#ref!&lt;&gt;"",$C192&lt;&gt;"",$F192&lt;&gt;""))</formula>
    </cfRule>
  </conditionalFormatting>
  <conditionalFormatting sqref="G198">
    <cfRule type="expression" priority="2016" aboveAverage="0" equalAverage="0" bottom="0" percent="0" rank="0" text="" dxfId="3932">
      <formula>AND($L198="X",OR(#ref!&lt;&gt;"",#ref!&lt;&gt;"",#ref!&lt;&gt;"",$B198&lt;&gt;"",$F198&lt;&gt;""))</formula>
    </cfRule>
  </conditionalFormatting>
  <conditionalFormatting sqref="G199:G200">
    <cfRule type="expression" priority="2017" aboveAverage="0" equalAverage="0" bottom="0" percent="0" rank="0" text="" dxfId="3933">
      <formula>AND($L199="X",OR($B199&lt;&gt;"",#ref!&lt;&gt;"",$E199&lt;&gt;"",#ref!&lt;&gt;"",$F199&lt;&gt;""))</formula>
    </cfRule>
  </conditionalFormatting>
  <conditionalFormatting sqref="G201">
    <cfRule type="expression" priority="2018" aboveAverage="0" equalAverage="0" bottom="0" percent="0" rank="0" text="" dxfId="3934">
      <formula>AND($L201="X",OR($B201&lt;&gt;"",$C201&lt;&gt;"",$D201&lt;&gt;"",$E201&lt;&gt;"",$F201&lt;&gt;""))</formula>
    </cfRule>
  </conditionalFormatting>
  <conditionalFormatting sqref="G202">
    <cfRule type="expression" priority="2019" aboveAverage="0" equalAverage="0" bottom="0" percent="0" rank="0" text="" dxfId="3935">
      <formula>AND($L202="X",OR(#ref!&lt;&gt;"",#ref!&lt;&gt;"",#ref!&lt;&gt;"",$B202&lt;&gt;"",$F202&lt;&gt;""))</formula>
    </cfRule>
  </conditionalFormatting>
  <conditionalFormatting sqref="H213:H214 H234:H1074">
    <cfRule type="expression" priority="2020" aboveAverage="0" equalAverage="0" bottom="0" percent="0" rank="0" text="" dxfId="3936">
      <formula>$K213="X"</formula>
    </cfRule>
  </conditionalFormatting>
  <conditionalFormatting sqref="I12:I29 H47:H49">
    <cfRule type="expression" priority="2021" aboveAverage="0" equalAverage="0" bottom="0" percent="0" rank="0" text="" dxfId="3937">
      <formula>$L12="X"</formula>
    </cfRule>
  </conditionalFormatting>
  <conditionalFormatting sqref="I31:I65 I67:I187">
    <cfRule type="expression" priority="2022" aboveAverage="0" equalAverage="0" bottom="0" percent="0" rank="0" text="" dxfId="3938">
      <formula>$L31="X"</formula>
    </cfRule>
  </conditionalFormatting>
  <conditionalFormatting sqref="I188:I190">
    <cfRule type="expression" priority="2023" aboveAverage="0" equalAverage="0" bottom="0" percent="0" rank="0" text="" dxfId="3939">
      <formula>#ref!="X"</formula>
    </cfRule>
  </conditionalFormatting>
  <conditionalFormatting sqref="I191:I211">
    <cfRule type="expression" priority="2024" aboveAverage="0" equalAverage="0" bottom="0" percent="0" rank="0" text="" dxfId="3940">
      <formula>$L191="X"</formula>
    </cfRule>
  </conditionalFormatting>
  <conditionalFormatting sqref="K9:K211">
    <cfRule type="cellIs" priority="2025" operator="equal" aboveAverage="0" equalAverage="0" bottom="0" percent="0" rank="0" text="" dxfId="3941">
      <formula>"1..1"</formula>
    </cfRule>
    <cfRule type="cellIs" priority="2026" operator="equal" aboveAverage="0" equalAverage="0" bottom="0" percent="0" rank="0" text="" dxfId="3942">
      <formula>"0..n"</formula>
    </cfRule>
    <cfRule type="cellIs" priority="2027" operator="equal" aboveAverage="0" equalAverage="0" bottom="0" percent="0" rank="0" text="" dxfId="3943">
      <formula>"0..1"</formula>
    </cfRule>
  </conditionalFormatting>
  <conditionalFormatting sqref="O88">
    <cfRule type="cellIs" priority="2028" operator="equal" aboveAverage="0" equalAverage="0" bottom="0" percent="0" rank="0" text="" dxfId="3944">
      <formula>"1..1"</formula>
    </cfRule>
    <cfRule type="cellIs" priority="2029" operator="equal" aboveAverage="0" equalAverage="0" bottom="0" percent="0" rank="0" text="" dxfId="3945">
      <formula>"0..n"</formula>
    </cfRule>
    <cfRule type="cellIs" priority="2030" operator="equal" aboveAverage="0" equalAverage="0" bottom="0" percent="0" rank="0" text="" dxfId="3946">
      <formula>"0..1"</formula>
    </cfRule>
  </conditionalFormatting>
  <conditionalFormatting sqref="P20">
    <cfRule type="cellIs" priority="2031" operator="equal" aboveAverage="0" equalAverage="0" bottom="0" percent="0" rank="0" text="" dxfId="3947">
      <formula>"1..1"</formula>
    </cfRule>
    <cfRule type="cellIs" priority="2032" operator="equal" aboveAverage="0" equalAverage="0" bottom="0" percent="0" rank="0" text="" dxfId="3948">
      <formula>"0..n"</formula>
    </cfRule>
    <cfRule type="cellIs" priority="2033" operator="equal" aboveAverage="0" equalAverage="0" bottom="0" percent="0" rank="0" text="" dxfId="3949">
      <formula>"0..1"</formula>
    </cfRule>
  </conditionalFormatting>
  <conditionalFormatting sqref="Q17">
    <cfRule type="cellIs" priority="2034" operator="equal" aboveAverage="0" equalAverage="0" bottom="0" percent="0" rank="0" text="" dxfId="3950">
      <formula>"1..1"</formula>
    </cfRule>
    <cfRule type="cellIs" priority="2035" operator="equal" aboveAverage="0" equalAverage="0" bottom="0" percent="0" rank="0" text="" dxfId="3951">
      <formula>"0..n"</formula>
    </cfRule>
    <cfRule type="cellIs" priority="2036" operator="equal" aboveAverage="0" equalAverage="0" bottom="0" percent="0" rank="0" text="" dxfId="3952">
      <formula>"0..1"</formula>
    </cfRule>
  </conditionalFormatting>
  <conditionalFormatting sqref="Q37">
    <cfRule type="cellIs" priority="2037" operator="equal" aboveAverage="0" equalAverage="0" bottom="0" percent="0" rank="0" text="" dxfId="3953">
      <formula>"1..1"</formula>
    </cfRule>
    <cfRule type="cellIs" priority="2038" operator="equal" aboveAverage="0" equalAverage="0" bottom="0" percent="0" rank="0" text="" dxfId="3954">
      <formula>"0..n"</formula>
    </cfRule>
    <cfRule type="cellIs" priority="2039" operator="equal" aboveAverage="0" equalAverage="0" bottom="0" percent="0" rank="0" text="" dxfId="3955">
      <formula>"0..1"</formula>
    </cfRule>
  </conditionalFormatting>
  <conditionalFormatting sqref="Q130">
    <cfRule type="cellIs" priority="2040" operator="equal" aboveAverage="0" equalAverage="0" bottom="0" percent="0" rank="0" text="" dxfId="3956">
      <formula>"1..1"</formula>
    </cfRule>
    <cfRule type="cellIs" priority="2041" operator="equal" aboveAverage="0" equalAverage="0" bottom="0" percent="0" rank="0" text="" dxfId="3957">
      <formula>"0..n"</formula>
    </cfRule>
    <cfRule type="cellIs" priority="2042" operator="equal" aboveAverage="0" equalAverage="0" bottom="0" percent="0" rank="0" text="" dxfId="3958">
      <formula>"0..1"</formula>
    </cfRule>
  </conditionalFormatting>
  <hyperlinks>
    <hyperlink ref="I127" r:id="rId2" display="https://hub.esante.gouv.fr/resourceExampl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AD6C1400-CFEF-4589-96A9-7882112681A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B6222F73-391C-4180-AD7F-233337FD407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1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8" topLeftCell="R12" activePane="bottomRight" state="frozen"/>
      <selection pane="topLeft" activeCell="A1" activeCellId="0" sqref="A1"/>
      <selection pane="topRight" activeCell="R1" activeCellId="0" sqref="R1"/>
      <selection pane="bottomLeft" activeCell="A12" activeCellId="0" sqref="A12"/>
      <selection pane="bottomRight" activeCell="K12" activeCellId="0" sqref="K12"/>
    </sheetView>
  </sheetViews>
  <sheetFormatPr defaultColWidth="11" defaultRowHeight="14.25" zeroHeight="false" outlineLevelRow="0" outlineLevelCol="0"/>
  <cols>
    <col collapsed="false" customWidth="true" hidden="false" outlineLevel="0" max="1" min="1" style="0" width="5"/>
    <col collapsed="false" customWidth="true" hidden="false" outlineLevel="0" max="2" min="2" style="0" width="15.38"/>
    <col collapsed="false" customWidth="true" hidden="false" outlineLevel="0" max="3" min="3" style="0" width="20.87"/>
    <col collapsed="false" customWidth="true" hidden="false" outlineLevel="0" max="4" min="4" style="0" width="25.12"/>
    <col collapsed="false" customWidth="true" hidden="false" outlineLevel="0" max="5" min="5" style="0" width="28.12"/>
    <col collapsed="false" customWidth="true" hidden="false" outlineLevel="0" max="7" min="6" style="0" width="15.38"/>
    <col collapsed="false" customWidth="true" hidden="false" outlineLevel="0" max="8" min="8" style="0" width="53.13"/>
    <col collapsed="false" customWidth="true" hidden="false" outlineLevel="0" max="9" min="9" style="0" width="37.62"/>
    <col collapsed="false" customWidth="true" hidden="false" outlineLevel="0" max="10" min="10" style="0" width="36.38"/>
    <col collapsed="false" customWidth="true" hidden="false" outlineLevel="0" max="11" min="11" style="0" width="10.38"/>
    <col collapsed="false" customWidth="true" hidden="false" outlineLevel="0" max="12" min="12" style="0" width="19.5"/>
    <col collapsed="false" customWidth="true" hidden="false" outlineLevel="0" max="14" min="13" style="0" width="13.13"/>
    <col collapsed="false" customWidth="true" hidden="false" outlineLevel="0" max="15" min="15" style="0" width="16.13"/>
    <col collapsed="false" customWidth="true" hidden="false" outlineLevel="0" max="17" min="16" style="0" width="14"/>
    <col collapsed="false" customWidth="true" hidden="false" outlineLevel="0" max="18" min="18" style="0" width="17.38"/>
    <col collapsed="false" customWidth="true" hidden="false" outlineLevel="0" max="24" min="24" style="0" width="4.13"/>
  </cols>
  <sheetData>
    <row r="1" customFormat="false" ht="15.75" hidden="false" customHeight="true" outlineLevel="0" collapsed="false">
      <c r="A1" s="71" t="s">
        <v>1895</v>
      </c>
      <c r="B1" s="207"/>
      <c r="C1" s="72"/>
      <c r="D1" s="30"/>
      <c r="F1" s="37"/>
      <c r="G1" s="30"/>
      <c r="H1" s="208" t="s">
        <v>166</v>
      </c>
      <c r="I1" s="208"/>
      <c r="J1" s="208"/>
      <c r="K1" s="208"/>
      <c r="L1" s="208"/>
      <c r="M1" s="208" t="s">
        <v>166</v>
      </c>
      <c r="N1" s="208"/>
      <c r="O1" s="31"/>
      <c r="P1" s="31"/>
      <c r="Q1" s="31"/>
      <c r="R1" s="31"/>
      <c r="S1" s="31"/>
      <c r="T1" s="31"/>
      <c r="U1" s="31"/>
      <c r="V1" s="31"/>
      <c r="W1" s="31"/>
      <c r="Y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t="s">
        <v>166</v>
      </c>
      <c r="N2" s="79"/>
      <c r="O2" s="77"/>
      <c r="P2" s="77"/>
      <c r="Q2" s="77"/>
      <c r="R2" s="77"/>
    </row>
    <row r="3" s="76" customFormat="true" ht="13.5" hidden="false" customHeight="true" outlineLevel="0" collapsed="false">
      <c r="A3" s="75" t="s">
        <v>1896</v>
      </c>
      <c r="B3" s="75" t="s">
        <v>85</v>
      </c>
      <c r="C3" s="80" t="s">
        <v>1897</v>
      </c>
      <c r="D3" s="75" t="s">
        <v>1897</v>
      </c>
      <c r="E3" s="75"/>
      <c r="F3" s="75"/>
      <c r="G3" s="75" t="s">
        <v>90</v>
      </c>
      <c r="H3" s="75" t="s">
        <v>91</v>
      </c>
      <c r="I3" s="75" t="s">
        <v>90</v>
      </c>
      <c r="J3" s="81" t="s">
        <v>1898</v>
      </c>
      <c r="K3" s="77"/>
      <c r="L3" s="78"/>
      <c r="M3" s="77"/>
      <c r="N3" s="79"/>
      <c r="O3" s="77"/>
      <c r="P3" s="77"/>
      <c r="Q3" s="77"/>
      <c r="R3" s="77"/>
    </row>
    <row r="4" customFormat="false" ht="13.5" hidden="true" customHeight="false" outlineLevel="0" collapsed="false">
      <c r="A4" s="209"/>
      <c r="B4" s="30"/>
      <c r="C4" s="210"/>
      <c r="D4" s="30"/>
      <c r="F4" s="30"/>
      <c r="G4" s="71"/>
      <c r="H4" s="31"/>
      <c r="I4" s="31"/>
      <c r="J4" s="31"/>
      <c r="K4" s="31"/>
      <c r="L4" s="31"/>
      <c r="M4" s="31"/>
      <c r="N4" s="31"/>
      <c r="O4" s="31"/>
      <c r="P4" s="31"/>
      <c r="Q4" s="31"/>
      <c r="R4" s="31"/>
      <c r="S4" s="31"/>
      <c r="T4" s="31"/>
      <c r="U4" s="31"/>
      <c r="V4" s="31"/>
      <c r="W4" s="31"/>
      <c r="Y4" s="30"/>
    </row>
    <row r="5" customFormat="false" ht="13.5" hidden="true" customHeight="false" outlineLevel="0" collapsed="false">
      <c r="A5" s="211"/>
      <c r="B5" s="46"/>
      <c r="C5" s="44"/>
      <c r="D5" s="46"/>
      <c r="F5" s="47"/>
      <c r="G5" s="47"/>
      <c r="H5" s="47"/>
      <c r="I5" s="47"/>
      <c r="J5" s="47"/>
      <c r="K5" s="47"/>
      <c r="L5" s="47"/>
      <c r="M5" s="47"/>
      <c r="N5" s="47"/>
      <c r="O5" s="47"/>
      <c r="P5" s="47"/>
      <c r="Q5" s="47"/>
      <c r="R5" s="47"/>
      <c r="S5" s="47"/>
      <c r="T5" s="47"/>
      <c r="U5" s="47"/>
      <c r="V5" s="47"/>
      <c r="W5" s="47"/>
      <c r="Y5" s="212"/>
    </row>
    <row r="6" customFormat="false" ht="13.5" hidden="true" customHeight="false" outlineLevel="0" collapsed="false">
      <c r="A6" s="209"/>
      <c r="B6" s="30"/>
      <c r="C6" s="50"/>
      <c r="D6" s="50"/>
      <c r="E6" s="51"/>
      <c r="F6" s="31"/>
      <c r="G6" s="31"/>
      <c r="H6" s="31"/>
      <c r="I6" s="31"/>
      <c r="J6" s="31"/>
      <c r="K6" s="31"/>
      <c r="L6" s="31"/>
      <c r="M6" s="31"/>
      <c r="N6" s="31"/>
      <c r="O6" s="31"/>
      <c r="P6" s="31"/>
      <c r="Q6" s="31"/>
      <c r="R6" s="31"/>
      <c r="S6" s="31"/>
      <c r="T6" s="31"/>
      <c r="U6" s="31"/>
      <c r="V6" s="31"/>
      <c r="W6" s="31"/>
      <c r="Y6" s="30"/>
    </row>
    <row r="7" customFormat="false" ht="13.5" hidden="false" customHeight="false" outlineLevel="0" collapsed="false">
      <c r="B7" s="51" t="s">
        <v>166</v>
      </c>
      <c r="C7" s="83" t="s">
        <v>166</v>
      </c>
      <c r="D7" s="83" t="s">
        <v>166</v>
      </c>
      <c r="E7" s="83" t="s">
        <v>166</v>
      </c>
      <c r="F7" s="31"/>
      <c r="G7" s="31"/>
      <c r="H7" s="31"/>
      <c r="I7" s="31"/>
      <c r="J7" s="31"/>
      <c r="K7" s="31"/>
      <c r="L7" s="31"/>
      <c r="M7" s="31"/>
      <c r="N7" s="31"/>
      <c r="O7" s="213"/>
      <c r="P7" s="31"/>
      <c r="Q7" s="31"/>
      <c r="R7" s="31"/>
      <c r="S7" s="31"/>
      <c r="T7" s="31"/>
      <c r="U7" s="31"/>
      <c r="V7" s="52" t="s">
        <v>93</v>
      </c>
      <c r="W7" s="52" t="s">
        <v>93</v>
      </c>
      <c r="Y7" s="30"/>
    </row>
    <row r="8" customFormat="false" ht="13.5" hidden="false" customHeight="true" outlineLevel="0" collapsed="false">
      <c r="A8" s="214" t="s">
        <v>94</v>
      </c>
      <c r="B8" s="215" t="s">
        <v>95</v>
      </c>
      <c r="C8" s="215" t="s">
        <v>96</v>
      </c>
      <c r="D8" s="215" t="s">
        <v>97</v>
      </c>
      <c r="E8" s="215" t="s">
        <v>98</v>
      </c>
      <c r="F8" s="215" t="s">
        <v>99</v>
      </c>
      <c r="G8" s="215" t="s">
        <v>100</v>
      </c>
      <c r="H8" s="216" t="s">
        <v>101</v>
      </c>
      <c r="I8" s="216" t="s">
        <v>1899</v>
      </c>
      <c r="J8" s="216" t="s">
        <v>102</v>
      </c>
      <c r="K8" s="216" t="s">
        <v>1900</v>
      </c>
      <c r="L8" s="217" t="s">
        <v>104</v>
      </c>
      <c r="M8" s="216" t="s">
        <v>105</v>
      </c>
      <c r="N8" s="216" t="s">
        <v>106</v>
      </c>
      <c r="O8" s="218" t="s">
        <v>1901</v>
      </c>
      <c r="P8" s="218" t="s">
        <v>1902</v>
      </c>
      <c r="Q8" s="218" t="s">
        <v>1903</v>
      </c>
      <c r="R8" s="218" t="s">
        <v>1904</v>
      </c>
      <c r="S8" s="216" t="s">
        <v>107</v>
      </c>
      <c r="T8" s="216" t="s">
        <v>1905</v>
      </c>
      <c r="U8" s="216" t="s">
        <v>109</v>
      </c>
      <c r="V8" s="219" t="s">
        <v>110</v>
      </c>
      <c r="W8" s="219" t="s">
        <v>85</v>
      </c>
      <c r="X8" s="220" t="s">
        <v>111</v>
      </c>
      <c r="Y8" s="221" t="s">
        <v>85</v>
      </c>
    </row>
    <row r="9" customFormat="false" ht="13.5" hidden="false" customHeight="true" outlineLevel="0" collapsed="false">
      <c r="A9" s="222" t="n">
        <v>1</v>
      </c>
      <c r="B9" s="222" t="s">
        <v>1906</v>
      </c>
      <c r="C9" s="222"/>
      <c r="D9" s="222"/>
      <c r="E9" s="222"/>
      <c r="F9" s="222"/>
      <c r="G9" s="222"/>
      <c r="H9" s="98" t="s">
        <v>1907</v>
      </c>
      <c r="I9" s="98" t="s">
        <v>1908</v>
      </c>
      <c r="J9" s="223"/>
      <c r="K9" s="98" t="s">
        <v>119</v>
      </c>
      <c r="L9" s="98" t="s">
        <v>1909</v>
      </c>
      <c r="M9" s="98" t="s">
        <v>1909</v>
      </c>
      <c r="N9" s="224" t="s">
        <v>117</v>
      </c>
      <c r="O9" s="224" t="s">
        <v>117</v>
      </c>
      <c r="P9" s="224" t="s">
        <v>117</v>
      </c>
      <c r="Q9" s="224" t="s">
        <v>117</v>
      </c>
      <c r="R9" s="98"/>
      <c r="S9" s="98" t="s">
        <v>119</v>
      </c>
      <c r="T9" s="98" t="s">
        <v>1910</v>
      </c>
      <c r="U9" s="98"/>
      <c r="V9" s="98" t="s">
        <v>119</v>
      </c>
      <c r="W9" s="98" t="s">
        <v>119</v>
      </c>
      <c r="X9" s="225" t="s">
        <v>166</v>
      </c>
      <c r="Y9" s="67"/>
    </row>
    <row r="10" customFormat="false" ht="13.5" hidden="false" customHeight="true" outlineLevel="0" collapsed="false">
      <c r="A10" s="96" t="n">
        <v>2</v>
      </c>
      <c r="B10" s="96"/>
      <c r="C10" s="96" t="s">
        <v>112</v>
      </c>
      <c r="D10" s="96"/>
      <c r="E10" s="96"/>
      <c r="F10" s="96"/>
      <c r="G10" s="96"/>
      <c r="H10" s="152" t="s">
        <v>1911</v>
      </c>
      <c r="I10" s="152" t="s">
        <v>1912</v>
      </c>
      <c r="J10" s="152" t="s">
        <v>114</v>
      </c>
      <c r="K10" s="152" t="s">
        <v>119</v>
      </c>
      <c r="L10" s="152" t="s">
        <v>94</v>
      </c>
      <c r="M10" s="152" t="s">
        <v>94</v>
      </c>
      <c r="N10" s="224" t="s">
        <v>117</v>
      </c>
      <c r="O10" s="224" t="s">
        <v>117</v>
      </c>
      <c r="P10" s="224" t="s">
        <v>117</v>
      </c>
      <c r="Q10" s="224" t="s">
        <v>117</v>
      </c>
      <c r="R10" s="152"/>
      <c r="S10" s="152"/>
      <c r="T10" s="152" t="s">
        <v>118</v>
      </c>
      <c r="U10" s="152" t="s">
        <v>1913</v>
      </c>
      <c r="V10" s="152" t="s">
        <v>119</v>
      </c>
      <c r="W10" s="152" t="s">
        <v>119</v>
      </c>
      <c r="X10" s="225" t="s">
        <v>166</v>
      </c>
      <c r="Y10" s="67"/>
    </row>
    <row r="11" customFormat="false" ht="13.5" hidden="false" customHeight="true" outlineLevel="0" collapsed="false">
      <c r="A11" s="96" t="n">
        <v>3</v>
      </c>
      <c r="B11" s="96"/>
      <c r="C11" s="96" t="s">
        <v>1914</v>
      </c>
      <c r="D11" s="96"/>
      <c r="E11" s="96"/>
      <c r="F11" s="96"/>
      <c r="G11" s="96"/>
      <c r="H11" s="98" t="s">
        <v>1915</v>
      </c>
      <c r="I11" s="98" t="s">
        <v>1916</v>
      </c>
      <c r="J11" s="98" t="s">
        <v>142</v>
      </c>
      <c r="K11" s="98" t="s">
        <v>119</v>
      </c>
      <c r="L11" s="98" t="s">
        <v>1917</v>
      </c>
      <c r="M11" s="98" t="s">
        <v>1917</v>
      </c>
      <c r="N11" s="224" t="s">
        <v>117</v>
      </c>
      <c r="O11" s="224" t="s">
        <v>117</v>
      </c>
      <c r="P11" s="224" t="s">
        <v>117</v>
      </c>
      <c r="Q11" s="224" t="s">
        <v>117</v>
      </c>
      <c r="R11" s="98"/>
      <c r="S11" s="98"/>
      <c r="T11" s="98" t="s">
        <v>118</v>
      </c>
      <c r="U11" s="98" t="s">
        <v>1918</v>
      </c>
      <c r="V11" s="98" t="s">
        <v>119</v>
      </c>
      <c r="W11" s="98" t="s">
        <v>119</v>
      </c>
      <c r="X11" s="225" t="s">
        <v>166</v>
      </c>
      <c r="Y11" s="67"/>
    </row>
    <row r="12" customFormat="false" ht="13.5" hidden="false" customHeight="true" outlineLevel="0" collapsed="false">
      <c r="A12" s="96" t="n">
        <v>4</v>
      </c>
      <c r="B12" s="96"/>
      <c r="C12" s="96" t="s">
        <v>135</v>
      </c>
      <c r="D12" s="96"/>
      <c r="E12" s="96"/>
      <c r="F12" s="96"/>
      <c r="G12" s="96"/>
      <c r="H12" s="152" t="s">
        <v>1919</v>
      </c>
      <c r="I12" s="152" t="s">
        <v>1920</v>
      </c>
      <c r="J12" s="152" t="s">
        <v>1921</v>
      </c>
      <c r="K12" s="152" t="s">
        <v>119</v>
      </c>
      <c r="L12" s="152" t="s">
        <v>1922</v>
      </c>
      <c r="M12" s="152" t="s">
        <v>1922</v>
      </c>
      <c r="N12" s="224" t="s">
        <v>117</v>
      </c>
      <c r="O12" s="224" t="s">
        <v>117</v>
      </c>
      <c r="P12" s="224" t="s">
        <v>117</v>
      </c>
      <c r="Q12" s="224" t="s">
        <v>117</v>
      </c>
      <c r="R12" s="152"/>
      <c r="S12" s="152"/>
      <c r="T12" s="152" t="s">
        <v>118</v>
      </c>
      <c r="U12" s="152" t="s">
        <v>1923</v>
      </c>
      <c r="V12" s="152" t="s">
        <v>119</v>
      </c>
      <c r="W12" s="152" t="s">
        <v>119</v>
      </c>
      <c r="X12" s="225" t="s">
        <v>166</v>
      </c>
      <c r="Y12" s="67"/>
    </row>
    <row r="13" customFormat="false" ht="13.5" hidden="false" customHeight="true" outlineLevel="0" collapsed="false">
      <c r="A13" s="96" t="n">
        <v>5</v>
      </c>
      <c r="B13" s="96"/>
      <c r="C13" s="96" t="s">
        <v>1924</v>
      </c>
      <c r="D13" s="96"/>
      <c r="E13" s="96"/>
      <c r="F13" s="96"/>
      <c r="G13" s="96"/>
      <c r="H13" s="98" t="s">
        <v>1925</v>
      </c>
      <c r="I13" s="98" t="s">
        <v>1926</v>
      </c>
      <c r="J13" s="98" t="s">
        <v>1927</v>
      </c>
      <c r="K13" s="98" t="s">
        <v>119</v>
      </c>
      <c r="L13" s="98" t="s">
        <v>1928</v>
      </c>
      <c r="M13" s="98" t="s">
        <v>1928</v>
      </c>
      <c r="N13" s="102" t="s">
        <v>163</v>
      </c>
      <c r="O13" s="102" t="s">
        <v>163</v>
      </c>
      <c r="P13" s="226" t="s">
        <v>117</v>
      </c>
      <c r="Q13" s="227" t="s">
        <v>163</v>
      </c>
      <c r="R13" s="98" t="s">
        <v>119</v>
      </c>
      <c r="S13" s="98"/>
      <c r="T13" s="98" t="s">
        <v>134</v>
      </c>
      <c r="U13" s="98" t="s">
        <v>1929</v>
      </c>
      <c r="V13" s="98" t="s">
        <v>119</v>
      </c>
      <c r="W13" s="98" t="s">
        <v>119</v>
      </c>
      <c r="X13" s="225" t="s">
        <v>166</v>
      </c>
      <c r="Y13" s="67"/>
    </row>
    <row r="14" customFormat="false" ht="13.5" hidden="false" customHeight="true" outlineLevel="0" collapsed="false">
      <c r="A14" s="96" t="n">
        <v>6</v>
      </c>
      <c r="B14" s="96"/>
      <c r="C14" s="96" t="s">
        <v>1930</v>
      </c>
      <c r="D14" s="96"/>
      <c r="E14" s="96"/>
      <c r="F14" s="96"/>
      <c r="G14" s="96"/>
      <c r="H14" s="152" t="s">
        <v>1931</v>
      </c>
      <c r="I14" s="152" t="s">
        <v>1932</v>
      </c>
      <c r="J14" s="228"/>
      <c r="K14" s="152" t="s">
        <v>119</v>
      </c>
      <c r="L14" s="152" t="s">
        <v>1933</v>
      </c>
      <c r="M14" s="152" t="s">
        <v>1933</v>
      </c>
      <c r="N14" s="229" t="s">
        <v>1247</v>
      </c>
      <c r="O14" s="229" t="s">
        <v>1247</v>
      </c>
      <c r="P14" s="229" t="s">
        <v>1247</v>
      </c>
      <c r="Q14" s="229" t="s">
        <v>1247</v>
      </c>
      <c r="R14" s="152"/>
      <c r="S14" s="152" t="s">
        <v>119</v>
      </c>
      <c r="T14" s="152" t="s">
        <v>1934</v>
      </c>
      <c r="U14" s="152"/>
      <c r="V14" s="152" t="s">
        <v>119</v>
      </c>
      <c r="W14" s="152" t="s">
        <v>119</v>
      </c>
      <c r="X14" s="225" t="s">
        <v>166</v>
      </c>
      <c r="Y14" s="67"/>
    </row>
    <row r="15" customFormat="false" ht="13.5" hidden="false" customHeight="true" outlineLevel="0" collapsed="false">
      <c r="A15" s="96" t="n">
        <v>7</v>
      </c>
      <c r="B15" s="96"/>
      <c r="C15" s="96"/>
      <c r="D15" s="96" t="s">
        <v>94</v>
      </c>
      <c r="E15" s="96"/>
      <c r="F15" s="96"/>
      <c r="G15" s="96"/>
      <c r="H15" s="98" t="s">
        <v>1935</v>
      </c>
      <c r="I15" s="98"/>
      <c r="J15" s="98" t="s">
        <v>1936</v>
      </c>
      <c r="K15" s="98" t="s">
        <v>119</v>
      </c>
      <c r="L15" s="98" t="s">
        <v>94</v>
      </c>
      <c r="M15" s="98" t="s">
        <v>94</v>
      </c>
      <c r="N15" s="224" t="s">
        <v>117</v>
      </c>
      <c r="O15" s="224" t="s">
        <v>117</v>
      </c>
      <c r="P15" s="224" t="s">
        <v>117</v>
      </c>
      <c r="Q15" s="224" t="s">
        <v>117</v>
      </c>
      <c r="R15" s="98"/>
      <c r="S15" s="98"/>
      <c r="T15" s="98" t="s">
        <v>118</v>
      </c>
      <c r="U15" s="98"/>
      <c r="V15" s="98" t="s">
        <v>119</v>
      </c>
      <c r="W15" s="98" t="s">
        <v>119</v>
      </c>
      <c r="X15" s="230" t="s">
        <v>166</v>
      </c>
      <c r="Y15" s="67"/>
    </row>
    <row r="16" customFormat="false" ht="13.5" hidden="false" customHeight="true" outlineLevel="0" collapsed="false">
      <c r="A16" s="96" t="n">
        <v>8</v>
      </c>
      <c r="B16" s="96"/>
      <c r="C16" s="96"/>
      <c r="D16" s="96" t="s">
        <v>1937</v>
      </c>
      <c r="E16" s="96"/>
      <c r="F16" s="96"/>
      <c r="G16" s="96"/>
      <c r="H16" s="152" t="s">
        <v>1938</v>
      </c>
      <c r="I16" s="152" t="s">
        <v>1939</v>
      </c>
      <c r="J16" s="152" t="s">
        <v>1940</v>
      </c>
      <c r="K16" s="152" t="s">
        <v>119</v>
      </c>
      <c r="L16" s="152" t="s">
        <v>1941</v>
      </c>
      <c r="M16" s="152" t="s">
        <v>1941</v>
      </c>
      <c r="N16" s="102" t="s">
        <v>163</v>
      </c>
      <c r="O16" s="102" t="s">
        <v>163</v>
      </c>
      <c r="P16" s="227" t="s">
        <v>163</v>
      </c>
      <c r="Q16" s="226" t="s">
        <v>117</v>
      </c>
      <c r="R16" s="152" t="s">
        <v>119</v>
      </c>
      <c r="S16" s="152"/>
      <c r="T16" s="152" t="s">
        <v>118</v>
      </c>
      <c r="U16" s="152" t="s">
        <v>1942</v>
      </c>
      <c r="V16" s="152" t="s">
        <v>119</v>
      </c>
      <c r="W16" s="152" t="s">
        <v>119</v>
      </c>
      <c r="X16" s="225" t="s">
        <v>166</v>
      </c>
      <c r="Y16" s="67"/>
    </row>
    <row r="17" customFormat="false" ht="13.5" hidden="false" customHeight="true" outlineLevel="0" collapsed="false">
      <c r="A17" s="96" t="n">
        <v>9</v>
      </c>
      <c r="B17" s="96"/>
      <c r="C17" s="96" t="s">
        <v>1943</v>
      </c>
      <c r="D17" s="96"/>
      <c r="E17" s="96"/>
      <c r="F17" s="96"/>
      <c r="G17" s="96"/>
      <c r="H17" s="98" t="s">
        <v>1944</v>
      </c>
      <c r="I17" s="98" t="s">
        <v>1945</v>
      </c>
      <c r="J17" s="98" t="s">
        <v>1946</v>
      </c>
      <c r="K17" s="98" t="s">
        <v>119</v>
      </c>
      <c r="L17" s="98" t="s">
        <v>1947</v>
      </c>
      <c r="M17" s="98" t="s">
        <v>1947</v>
      </c>
      <c r="N17" s="102" t="s">
        <v>163</v>
      </c>
      <c r="O17" s="102" t="s">
        <v>163</v>
      </c>
      <c r="P17" s="227" t="s">
        <v>163</v>
      </c>
      <c r="Q17" s="226" t="s">
        <v>117</v>
      </c>
      <c r="R17" s="98" t="s">
        <v>119</v>
      </c>
      <c r="S17" s="98"/>
      <c r="T17" s="98" t="s">
        <v>118</v>
      </c>
      <c r="U17" s="98" t="s">
        <v>1948</v>
      </c>
      <c r="V17" s="98" t="s">
        <v>119</v>
      </c>
      <c r="W17" s="98" t="s">
        <v>119</v>
      </c>
      <c r="X17" s="225" t="s">
        <v>166</v>
      </c>
      <c r="Y17" s="67"/>
    </row>
    <row r="18" customFormat="false" ht="13.5" hidden="false" customHeight="true" outlineLevel="0" collapsed="false">
      <c r="A18" s="96" t="n">
        <v>10</v>
      </c>
      <c r="B18" s="96"/>
      <c r="C18" s="96" t="s">
        <v>1949</v>
      </c>
      <c r="D18" s="96"/>
      <c r="E18" s="96"/>
      <c r="F18" s="96"/>
      <c r="G18" s="96"/>
      <c r="H18" s="152" t="s">
        <v>1950</v>
      </c>
      <c r="I18" s="152" t="s">
        <v>1951</v>
      </c>
      <c r="J18" s="152" t="s">
        <v>1952</v>
      </c>
      <c r="K18" s="152" t="s">
        <v>119</v>
      </c>
      <c r="L18" s="152" t="s">
        <v>1953</v>
      </c>
      <c r="M18" s="152" t="s">
        <v>1953</v>
      </c>
      <c r="N18" s="102" t="s">
        <v>163</v>
      </c>
      <c r="O18" s="102" t="s">
        <v>163</v>
      </c>
      <c r="P18" s="227" t="s">
        <v>163</v>
      </c>
      <c r="Q18" s="227" t="s">
        <v>163</v>
      </c>
      <c r="R18" s="152"/>
      <c r="S18" s="152"/>
      <c r="T18" s="152" t="s">
        <v>118</v>
      </c>
      <c r="U18" s="152" t="s">
        <v>1954</v>
      </c>
      <c r="V18" s="152" t="s">
        <v>119</v>
      </c>
      <c r="W18" s="152" t="s">
        <v>119</v>
      </c>
      <c r="X18" s="225" t="s">
        <v>166</v>
      </c>
      <c r="Y18" s="67"/>
    </row>
    <row r="19" customFormat="false" ht="13.5" hidden="false" customHeight="true" outlineLevel="0" collapsed="false">
      <c r="A19" s="96" t="n">
        <v>11</v>
      </c>
      <c r="B19" s="96"/>
      <c r="C19" s="96" t="s">
        <v>1955</v>
      </c>
      <c r="D19" s="96"/>
      <c r="E19" s="96"/>
      <c r="F19" s="96"/>
      <c r="G19" s="96"/>
      <c r="H19" s="98" t="s">
        <v>1956</v>
      </c>
      <c r="I19" s="98" t="s">
        <v>1957</v>
      </c>
      <c r="J19" s="98" t="s">
        <v>1958</v>
      </c>
      <c r="K19" s="98" t="s">
        <v>119</v>
      </c>
      <c r="L19" s="98" t="s">
        <v>1959</v>
      </c>
      <c r="M19" s="98" t="s">
        <v>1959</v>
      </c>
      <c r="N19" s="102" t="s">
        <v>163</v>
      </c>
      <c r="O19" s="102" t="s">
        <v>163</v>
      </c>
      <c r="P19" s="102" t="s">
        <v>163</v>
      </c>
      <c r="Q19" s="102" t="s">
        <v>163</v>
      </c>
      <c r="R19" s="98"/>
      <c r="S19" s="98"/>
      <c r="T19" s="98" t="s">
        <v>118</v>
      </c>
      <c r="U19" s="98"/>
      <c r="V19" s="98" t="s">
        <v>119</v>
      </c>
      <c r="W19" s="98" t="s">
        <v>119</v>
      </c>
      <c r="X19" s="225" t="s">
        <v>166</v>
      </c>
      <c r="Y19" s="67"/>
    </row>
    <row r="20" customFormat="false" ht="13.5" hidden="false" customHeight="true" outlineLevel="0" collapsed="false">
      <c r="A20" s="222" t="n">
        <v>12</v>
      </c>
      <c r="B20" s="222"/>
      <c r="C20" s="222" t="s">
        <v>1960</v>
      </c>
      <c r="D20" s="222"/>
      <c r="E20" s="222"/>
      <c r="F20" s="222"/>
      <c r="G20" s="222"/>
      <c r="H20" s="152" t="s">
        <v>1931</v>
      </c>
      <c r="I20" s="152" t="s">
        <v>1961</v>
      </c>
      <c r="J20" s="228"/>
      <c r="K20" s="152"/>
      <c r="L20" s="152" t="s">
        <v>1962</v>
      </c>
      <c r="M20" s="152" t="s">
        <v>1962</v>
      </c>
      <c r="N20" s="102" t="s">
        <v>163</v>
      </c>
      <c r="O20" s="102" t="s">
        <v>163</v>
      </c>
      <c r="P20" s="102" t="s">
        <v>163</v>
      </c>
      <c r="Q20" s="102" t="s">
        <v>163</v>
      </c>
      <c r="R20" s="152"/>
      <c r="S20" s="152" t="s">
        <v>119</v>
      </c>
      <c r="T20" s="152" t="s">
        <v>1241</v>
      </c>
      <c r="U20" s="152"/>
      <c r="V20" s="152" t="s">
        <v>119</v>
      </c>
      <c r="W20" s="152" t="s">
        <v>119</v>
      </c>
      <c r="X20" s="230" t="s">
        <v>166</v>
      </c>
      <c r="Y20" s="67"/>
    </row>
    <row r="21" customFormat="false" ht="13.5" hidden="false" customHeight="true" outlineLevel="0" collapsed="false">
      <c r="A21" s="222" t="n">
        <v>13</v>
      </c>
      <c r="B21" s="222"/>
      <c r="C21" s="222"/>
      <c r="D21" s="222" t="s">
        <v>1963</v>
      </c>
      <c r="E21" s="222"/>
      <c r="F21" s="222"/>
      <c r="G21" s="222"/>
      <c r="H21" s="98" t="s">
        <v>1964</v>
      </c>
      <c r="I21" s="98" t="s">
        <v>1965</v>
      </c>
      <c r="J21" s="98" t="s">
        <v>1583</v>
      </c>
      <c r="K21" s="98" t="s">
        <v>119</v>
      </c>
      <c r="L21" s="98" t="s">
        <v>1966</v>
      </c>
      <c r="M21" s="98" t="s">
        <v>1966</v>
      </c>
      <c r="N21" s="102" t="s">
        <v>163</v>
      </c>
      <c r="O21" s="102" t="s">
        <v>163</v>
      </c>
      <c r="P21" s="102" t="s">
        <v>163</v>
      </c>
      <c r="Q21" s="102" t="s">
        <v>163</v>
      </c>
      <c r="R21" s="98"/>
      <c r="S21" s="98"/>
      <c r="T21" s="98" t="s">
        <v>118</v>
      </c>
      <c r="U21" s="98"/>
      <c r="V21" s="98" t="s">
        <v>119</v>
      </c>
      <c r="W21" s="98" t="s">
        <v>119</v>
      </c>
      <c r="X21" s="225" t="s">
        <v>166</v>
      </c>
      <c r="Y21" s="67"/>
    </row>
    <row r="22" customFormat="false" ht="13.5" hidden="false" customHeight="true" outlineLevel="0" collapsed="false">
      <c r="A22" s="222" t="n">
        <v>14</v>
      </c>
      <c r="B22" s="222"/>
      <c r="C22" s="222"/>
      <c r="D22" s="222" t="s">
        <v>1967</v>
      </c>
      <c r="E22" s="231"/>
      <c r="F22" s="222"/>
      <c r="G22" s="222"/>
      <c r="H22" s="152" t="s">
        <v>1968</v>
      </c>
      <c r="I22" s="152" t="s">
        <v>1969</v>
      </c>
      <c r="J22" s="152" t="s">
        <v>1598</v>
      </c>
      <c r="K22" s="152"/>
      <c r="L22" s="152" t="s">
        <v>1970</v>
      </c>
      <c r="M22" s="152" t="s">
        <v>1970</v>
      </c>
      <c r="N22" s="102" t="s">
        <v>163</v>
      </c>
      <c r="O22" s="102" t="s">
        <v>163</v>
      </c>
      <c r="P22" s="102" t="s">
        <v>163</v>
      </c>
      <c r="Q22" s="102" t="s">
        <v>163</v>
      </c>
      <c r="R22" s="152"/>
      <c r="S22" s="152"/>
      <c r="T22" s="152" t="s">
        <v>118</v>
      </c>
      <c r="U22" s="152"/>
      <c r="V22" s="152" t="s">
        <v>119</v>
      </c>
      <c r="W22" s="152" t="s">
        <v>119</v>
      </c>
      <c r="X22" s="225" t="s">
        <v>166</v>
      </c>
      <c r="Y22" s="67"/>
    </row>
    <row r="23" customFormat="false" ht="13.5" hidden="false" customHeight="true" outlineLevel="0" collapsed="false">
      <c r="A23" s="222" t="n">
        <v>15</v>
      </c>
      <c r="B23" s="222"/>
      <c r="C23" s="222"/>
      <c r="D23" s="222" t="s">
        <v>1971</v>
      </c>
      <c r="E23" s="222"/>
      <c r="F23" s="222"/>
      <c r="G23" s="222"/>
      <c r="H23" s="98" t="s">
        <v>1972</v>
      </c>
      <c r="I23" s="98" t="s">
        <v>1973</v>
      </c>
      <c r="J23" s="98" t="s">
        <v>1974</v>
      </c>
      <c r="K23" s="98" t="s">
        <v>119</v>
      </c>
      <c r="L23" s="98" t="s">
        <v>1975</v>
      </c>
      <c r="M23" s="98" t="s">
        <v>1975</v>
      </c>
      <c r="N23" s="102" t="s">
        <v>163</v>
      </c>
      <c r="O23" s="102" t="s">
        <v>163</v>
      </c>
      <c r="P23" s="227" t="s">
        <v>163</v>
      </c>
      <c r="Q23" s="227" t="s">
        <v>163</v>
      </c>
      <c r="R23" s="98"/>
      <c r="S23" s="98"/>
      <c r="T23" s="98" t="s">
        <v>118</v>
      </c>
      <c r="U23" s="98"/>
      <c r="V23" s="98" t="s">
        <v>119</v>
      </c>
      <c r="W23" s="98" t="s">
        <v>119</v>
      </c>
      <c r="X23" s="225" t="s">
        <v>166</v>
      </c>
      <c r="Y23" s="67"/>
    </row>
    <row r="24" customFormat="false" ht="13.5" hidden="false" customHeight="true" outlineLevel="0" collapsed="false">
      <c r="A24" s="222" t="n">
        <v>16</v>
      </c>
      <c r="B24" s="222"/>
      <c r="C24" s="222" t="s">
        <v>1976</v>
      </c>
      <c r="D24" s="222"/>
      <c r="E24" s="222"/>
      <c r="F24" s="222"/>
      <c r="G24" s="222"/>
      <c r="H24" s="152" t="s">
        <v>1977</v>
      </c>
      <c r="I24" s="152" t="s">
        <v>1978</v>
      </c>
      <c r="J24" s="228"/>
      <c r="K24" s="152" t="s">
        <v>119</v>
      </c>
      <c r="L24" s="152" t="s">
        <v>1979</v>
      </c>
      <c r="M24" s="152" t="s">
        <v>1979</v>
      </c>
      <c r="N24" s="229" t="s">
        <v>1247</v>
      </c>
      <c r="O24" s="229" t="s">
        <v>1247</v>
      </c>
      <c r="P24" s="229" t="s">
        <v>1247</v>
      </c>
      <c r="Q24" s="229" t="s">
        <v>1247</v>
      </c>
      <c r="R24" s="152"/>
      <c r="S24" s="152" t="s">
        <v>119</v>
      </c>
      <c r="T24" s="152" t="s">
        <v>1476</v>
      </c>
      <c r="U24" s="152"/>
      <c r="V24" s="152" t="s">
        <v>119</v>
      </c>
      <c r="W24" s="152" t="s">
        <v>119</v>
      </c>
      <c r="X24" s="225" t="s">
        <v>166</v>
      </c>
      <c r="Y24" s="67"/>
    </row>
    <row r="25" customFormat="false" ht="13.5" hidden="false" customHeight="true" outlineLevel="0" collapsed="false">
      <c r="A25" s="222" t="n">
        <v>17</v>
      </c>
      <c r="B25" s="222"/>
      <c r="C25" s="222"/>
      <c r="D25" s="222" t="s">
        <v>1980</v>
      </c>
      <c r="E25" s="222"/>
      <c r="F25" s="222"/>
      <c r="G25" s="222"/>
      <c r="H25" s="98" t="s">
        <v>1931</v>
      </c>
      <c r="I25" s="98" t="s">
        <v>1981</v>
      </c>
      <c r="J25" s="98"/>
      <c r="K25" s="98"/>
      <c r="L25" s="98" t="s">
        <v>1959</v>
      </c>
      <c r="M25" s="98" t="s">
        <v>1959</v>
      </c>
      <c r="N25" s="102" t="s">
        <v>163</v>
      </c>
      <c r="O25" s="102" t="s">
        <v>163</v>
      </c>
      <c r="P25" s="102" t="s">
        <v>163</v>
      </c>
      <c r="Q25" s="102" t="s">
        <v>163</v>
      </c>
      <c r="R25" s="98"/>
      <c r="S25" s="98"/>
      <c r="T25" s="98" t="s">
        <v>118</v>
      </c>
      <c r="U25" s="98"/>
      <c r="V25" s="98" t="s">
        <v>119</v>
      </c>
      <c r="W25" s="98" t="s">
        <v>119</v>
      </c>
      <c r="X25" s="230" t="s">
        <v>166</v>
      </c>
      <c r="Y25" s="67"/>
    </row>
    <row r="26" customFormat="false" ht="13.5" hidden="false" customHeight="true" outlineLevel="0" collapsed="false">
      <c r="A26" s="222" t="n">
        <v>18</v>
      </c>
      <c r="B26" s="222"/>
      <c r="C26" s="222"/>
      <c r="D26" s="222" t="s">
        <v>1982</v>
      </c>
      <c r="E26" s="231"/>
      <c r="F26" s="222"/>
      <c r="G26" s="222"/>
      <c r="H26" s="152" t="s">
        <v>1931</v>
      </c>
      <c r="I26" s="152" t="s">
        <v>1983</v>
      </c>
      <c r="J26" s="152" t="s">
        <v>1984</v>
      </c>
      <c r="K26" s="152"/>
      <c r="L26" s="152" t="s">
        <v>130</v>
      </c>
      <c r="M26" s="152" t="s">
        <v>130</v>
      </c>
      <c r="N26" s="224" t="s">
        <v>117</v>
      </c>
      <c r="O26" s="224" t="s">
        <v>117</v>
      </c>
      <c r="P26" s="224" t="s">
        <v>117</v>
      </c>
      <c r="Q26" s="224" t="s">
        <v>117</v>
      </c>
      <c r="R26" s="152"/>
      <c r="S26" s="152"/>
      <c r="T26" s="152" t="s">
        <v>118</v>
      </c>
      <c r="U26" s="152"/>
      <c r="V26" s="152" t="s">
        <v>119</v>
      </c>
      <c r="W26" s="152" t="s">
        <v>119</v>
      </c>
      <c r="X26" s="225" t="s">
        <v>166</v>
      </c>
      <c r="Y26" s="67"/>
    </row>
    <row r="27" customFormat="false" ht="13.5" hidden="false" customHeight="true" outlineLevel="0" collapsed="false">
      <c r="A27" s="222" t="n">
        <v>19</v>
      </c>
      <c r="B27" s="222"/>
      <c r="C27" s="222"/>
      <c r="D27" s="222" t="s">
        <v>1372</v>
      </c>
      <c r="E27" s="222"/>
      <c r="F27" s="222"/>
      <c r="G27" s="222"/>
      <c r="H27" s="98" t="s">
        <v>1931</v>
      </c>
      <c r="I27" s="98" t="s">
        <v>1985</v>
      </c>
      <c r="J27" s="98" t="s">
        <v>1986</v>
      </c>
      <c r="K27" s="98"/>
      <c r="L27" s="98" t="s">
        <v>1987</v>
      </c>
      <c r="M27" s="98" t="s">
        <v>1987</v>
      </c>
      <c r="N27" s="102" t="s">
        <v>163</v>
      </c>
      <c r="O27" s="102" t="s">
        <v>163</v>
      </c>
      <c r="P27" s="102" t="s">
        <v>163</v>
      </c>
      <c r="Q27" s="102" t="s">
        <v>163</v>
      </c>
      <c r="R27" s="98"/>
      <c r="S27" s="98"/>
      <c r="T27" s="98" t="s">
        <v>118</v>
      </c>
      <c r="U27" s="98" t="s">
        <v>1988</v>
      </c>
      <c r="V27" s="98" t="s">
        <v>119</v>
      </c>
      <c r="W27" s="98" t="s">
        <v>119</v>
      </c>
      <c r="X27" s="225" t="s">
        <v>166</v>
      </c>
      <c r="Y27" s="67"/>
    </row>
    <row r="28" customFormat="false" ht="13.5" hidden="false" customHeight="true" outlineLevel="0" collapsed="false">
      <c r="A28" s="222" t="n">
        <v>20</v>
      </c>
      <c r="B28" s="222"/>
      <c r="C28" s="222" t="s">
        <v>1989</v>
      </c>
      <c r="D28" s="231"/>
      <c r="E28" s="222"/>
      <c r="F28" s="222"/>
      <c r="G28" s="222"/>
      <c r="H28" s="152" t="s">
        <v>1990</v>
      </c>
      <c r="I28" s="152" t="s">
        <v>1991</v>
      </c>
      <c r="J28" s="152" t="s">
        <v>1992</v>
      </c>
      <c r="K28" s="152"/>
      <c r="L28" s="152" t="s">
        <v>1993</v>
      </c>
      <c r="M28" s="152" t="s">
        <v>1993</v>
      </c>
      <c r="N28" s="102" t="s">
        <v>163</v>
      </c>
      <c r="O28" s="102" t="s">
        <v>163</v>
      </c>
      <c r="P28" s="227" t="s">
        <v>163</v>
      </c>
      <c r="Q28" s="227" t="s">
        <v>163</v>
      </c>
      <c r="R28" s="152"/>
      <c r="S28" s="152"/>
      <c r="T28" s="152" t="s">
        <v>118</v>
      </c>
      <c r="U28" s="152" t="s">
        <v>1994</v>
      </c>
      <c r="V28" s="152" t="s">
        <v>119</v>
      </c>
      <c r="W28" s="152" t="s">
        <v>119</v>
      </c>
      <c r="X28" s="225" t="s">
        <v>166</v>
      </c>
      <c r="Y28" s="67"/>
    </row>
    <row r="29" customFormat="false" ht="13.5" hidden="false" customHeight="true" outlineLevel="0" collapsed="false">
      <c r="A29" s="96" t="n">
        <v>21</v>
      </c>
      <c r="B29" s="96" t="s">
        <v>1995</v>
      </c>
      <c r="C29" s="96"/>
      <c r="D29" s="96"/>
      <c r="E29" s="96"/>
      <c r="F29" s="96"/>
      <c r="G29" s="96"/>
      <c r="H29" s="98" t="s">
        <v>1996</v>
      </c>
      <c r="I29" s="98" t="s">
        <v>1997</v>
      </c>
      <c r="J29" s="228"/>
      <c r="K29" s="98"/>
      <c r="L29" s="98" t="s">
        <v>1998</v>
      </c>
      <c r="M29" s="98" t="s">
        <v>1998</v>
      </c>
      <c r="N29" s="224" t="s">
        <v>117</v>
      </c>
      <c r="O29" s="224" t="s">
        <v>117</v>
      </c>
      <c r="P29" s="224" t="s">
        <v>117</v>
      </c>
      <c r="Q29" s="224" t="s">
        <v>117</v>
      </c>
      <c r="R29" s="98"/>
      <c r="S29" s="98" t="s">
        <v>119</v>
      </c>
      <c r="T29" s="98" t="s">
        <v>1224</v>
      </c>
      <c r="U29" s="98"/>
      <c r="V29" s="98" t="s">
        <v>119</v>
      </c>
      <c r="W29" s="98" t="s">
        <v>119</v>
      </c>
      <c r="X29" s="225" t="s">
        <v>166</v>
      </c>
      <c r="Y29" s="67"/>
    </row>
    <row r="30" customFormat="false" ht="13.5" hidden="false" customHeight="true" outlineLevel="0" collapsed="false">
      <c r="A30" s="96" t="n">
        <v>22</v>
      </c>
      <c r="B30" s="96"/>
      <c r="C30" s="96" t="s">
        <v>1999</v>
      </c>
      <c r="D30" s="96"/>
      <c r="E30" s="96"/>
      <c r="F30" s="96"/>
      <c r="G30" s="96"/>
      <c r="H30" s="152" t="s">
        <v>2000</v>
      </c>
      <c r="I30" s="152" t="s">
        <v>2001</v>
      </c>
      <c r="J30" s="152" t="s">
        <v>2002</v>
      </c>
      <c r="K30" s="152" t="s">
        <v>119</v>
      </c>
      <c r="L30" s="152" t="s">
        <v>94</v>
      </c>
      <c r="M30" s="152" t="s">
        <v>94</v>
      </c>
      <c r="N30" s="224" t="s">
        <v>117</v>
      </c>
      <c r="O30" s="224" t="s">
        <v>117</v>
      </c>
      <c r="P30" s="224" t="s">
        <v>117</v>
      </c>
      <c r="Q30" s="224" t="s">
        <v>117</v>
      </c>
      <c r="R30" s="152"/>
      <c r="S30" s="152"/>
      <c r="T30" s="152" t="s">
        <v>118</v>
      </c>
      <c r="U30" s="152"/>
      <c r="V30" s="152" t="s">
        <v>119</v>
      </c>
      <c r="W30" s="152" t="s">
        <v>119</v>
      </c>
      <c r="X30" s="230" t="s">
        <v>166</v>
      </c>
      <c r="Y30" s="67"/>
    </row>
    <row r="31" customFormat="false" ht="13.5" hidden="false" customHeight="true" outlineLevel="0" collapsed="false">
      <c r="A31" s="96" t="n">
        <v>23</v>
      </c>
      <c r="B31" s="96"/>
      <c r="C31" s="96" t="s">
        <v>2003</v>
      </c>
      <c r="D31" s="96"/>
      <c r="E31" s="96"/>
      <c r="F31" s="96"/>
      <c r="G31" s="96"/>
      <c r="H31" s="98" t="s">
        <v>2004</v>
      </c>
      <c r="I31" s="98" t="s">
        <v>2005</v>
      </c>
      <c r="J31" s="98" t="s">
        <v>2006</v>
      </c>
      <c r="K31" s="98"/>
      <c r="L31" s="98" t="s">
        <v>1975</v>
      </c>
      <c r="M31" s="98" t="s">
        <v>1975</v>
      </c>
      <c r="N31" s="102" t="s">
        <v>163</v>
      </c>
      <c r="O31" s="102" t="s">
        <v>163</v>
      </c>
      <c r="P31" s="102" t="s">
        <v>163</v>
      </c>
      <c r="Q31" s="102" t="s">
        <v>163</v>
      </c>
      <c r="R31" s="98"/>
      <c r="S31" s="98"/>
      <c r="T31" s="98" t="s">
        <v>118</v>
      </c>
      <c r="U31" s="98"/>
      <c r="V31" s="98" t="s">
        <v>119</v>
      </c>
      <c r="W31" s="98" t="s">
        <v>119</v>
      </c>
      <c r="X31" s="225" t="s">
        <v>166</v>
      </c>
      <c r="Y31" s="67"/>
    </row>
    <row r="32" customFormat="false" ht="13.5" hidden="false" customHeight="true" outlineLevel="0" collapsed="false">
      <c r="A32" s="96" t="n">
        <v>24</v>
      </c>
      <c r="B32" s="96"/>
      <c r="C32" s="96" t="s">
        <v>2007</v>
      </c>
      <c r="D32" s="96"/>
      <c r="E32" s="96"/>
      <c r="F32" s="96"/>
      <c r="G32" s="96"/>
      <c r="H32" s="152" t="s">
        <v>2008</v>
      </c>
      <c r="I32" s="152" t="s">
        <v>2009</v>
      </c>
      <c r="J32" s="152" t="s">
        <v>1936</v>
      </c>
      <c r="K32" s="152"/>
      <c r="L32" s="152" t="s">
        <v>2010</v>
      </c>
      <c r="M32" s="152" t="s">
        <v>2010</v>
      </c>
      <c r="N32" s="102" t="s">
        <v>163</v>
      </c>
      <c r="O32" s="102" t="s">
        <v>163</v>
      </c>
      <c r="P32" s="226" t="s">
        <v>117</v>
      </c>
      <c r="Q32" s="227" t="s">
        <v>163</v>
      </c>
      <c r="R32" s="152" t="s">
        <v>119</v>
      </c>
      <c r="S32" s="152"/>
      <c r="T32" s="152" t="s">
        <v>118</v>
      </c>
      <c r="U32" s="152"/>
      <c r="V32" s="152" t="s">
        <v>119</v>
      </c>
      <c r="W32" s="152" t="s">
        <v>119</v>
      </c>
      <c r="X32" s="225" t="s">
        <v>166</v>
      </c>
      <c r="Y32" s="67"/>
    </row>
    <row r="33" customFormat="false" ht="13.5" hidden="false" customHeight="true" outlineLevel="0" collapsed="false">
      <c r="A33" s="96" t="n">
        <v>25</v>
      </c>
      <c r="B33" s="96"/>
      <c r="C33" s="96" t="s">
        <v>2011</v>
      </c>
      <c r="D33" s="96"/>
      <c r="E33" s="96"/>
      <c r="F33" s="96"/>
      <c r="G33" s="96"/>
      <c r="H33" s="98" t="s">
        <v>1931</v>
      </c>
      <c r="I33" s="98" t="s">
        <v>2012</v>
      </c>
      <c r="J33" s="228"/>
      <c r="K33" s="98" t="s">
        <v>119</v>
      </c>
      <c r="L33" s="98" t="s">
        <v>2013</v>
      </c>
      <c r="M33" s="98" t="s">
        <v>2013</v>
      </c>
      <c r="N33" s="102" t="s">
        <v>163</v>
      </c>
      <c r="O33" s="102" t="s">
        <v>163</v>
      </c>
      <c r="P33" s="227" t="s">
        <v>163</v>
      </c>
      <c r="Q33" s="227" t="s">
        <v>163</v>
      </c>
      <c r="R33" s="98"/>
      <c r="S33" s="98" t="s">
        <v>119</v>
      </c>
      <c r="T33" s="98" t="s">
        <v>2014</v>
      </c>
      <c r="U33" s="98"/>
      <c r="V33" s="98" t="s">
        <v>119</v>
      </c>
      <c r="W33" s="98" t="s">
        <v>119</v>
      </c>
      <c r="X33" s="225" t="s">
        <v>166</v>
      </c>
      <c r="Y33" s="67"/>
    </row>
    <row r="34" customFormat="false" ht="13.5" hidden="false" customHeight="true" outlineLevel="0" collapsed="false">
      <c r="A34" s="96" t="n">
        <v>26</v>
      </c>
      <c r="B34" s="96"/>
      <c r="C34" s="96"/>
      <c r="D34" s="96" t="s">
        <v>2015</v>
      </c>
      <c r="E34" s="105"/>
      <c r="F34" s="96"/>
      <c r="G34" s="96"/>
      <c r="H34" s="152" t="s">
        <v>2016</v>
      </c>
      <c r="I34" s="152" t="s">
        <v>2017</v>
      </c>
      <c r="J34" s="152" t="s">
        <v>2018</v>
      </c>
      <c r="K34" s="152" t="s">
        <v>119</v>
      </c>
      <c r="L34" s="152" t="s">
        <v>2019</v>
      </c>
      <c r="M34" s="152" t="s">
        <v>2019</v>
      </c>
      <c r="N34" s="152" t="s">
        <v>148</v>
      </c>
      <c r="O34" s="152" t="s">
        <v>148</v>
      </c>
      <c r="P34" s="152" t="s">
        <v>148</v>
      </c>
      <c r="Q34" s="152" t="s">
        <v>148</v>
      </c>
      <c r="R34" s="152"/>
      <c r="S34" s="152"/>
      <c r="T34" s="152" t="s">
        <v>118</v>
      </c>
      <c r="U34" s="152" t="s">
        <v>2020</v>
      </c>
      <c r="V34" s="152" t="s">
        <v>119</v>
      </c>
      <c r="W34" s="152" t="s">
        <v>119</v>
      </c>
      <c r="X34" s="225" t="s">
        <v>166</v>
      </c>
      <c r="Y34" s="67"/>
    </row>
    <row r="35" customFormat="false" ht="13.5" hidden="false" customHeight="true" outlineLevel="0" collapsed="false">
      <c r="A35" s="96" t="n">
        <v>27</v>
      </c>
      <c r="B35" s="96"/>
      <c r="C35" s="96"/>
      <c r="D35" s="96" t="s">
        <v>2021</v>
      </c>
      <c r="E35" s="96"/>
      <c r="F35" s="96"/>
      <c r="G35" s="96"/>
      <c r="H35" s="98" t="s">
        <v>2022</v>
      </c>
      <c r="I35" s="98" t="s">
        <v>2023</v>
      </c>
      <c r="J35" s="98" t="s">
        <v>2024</v>
      </c>
      <c r="K35" s="98" t="s">
        <v>119</v>
      </c>
      <c r="L35" s="98" t="s">
        <v>2025</v>
      </c>
      <c r="M35" s="98" t="s">
        <v>2025</v>
      </c>
      <c r="N35" s="98" t="s">
        <v>148</v>
      </c>
      <c r="O35" s="98" t="s">
        <v>148</v>
      </c>
      <c r="P35" s="98" t="s">
        <v>148</v>
      </c>
      <c r="Q35" s="98" t="s">
        <v>148</v>
      </c>
      <c r="R35" s="98"/>
      <c r="S35" s="98"/>
      <c r="T35" s="98" t="s">
        <v>118</v>
      </c>
      <c r="U35" s="98" t="s">
        <v>2026</v>
      </c>
      <c r="V35" s="98" t="s">
        <v>119</v>
      </c>
      <c r="W35" s="98" t="s">
        <v>119</v>
      </c>
      <c r="X35" s="230" t="s">
        <v>166</v>
      </c>
      <c r="Y35" s="67"/>
    </row>
    <row r="36" customFormat="false" ht="13.5" hidden="false" customHeight="true" outlineLevel="0" collapsed="false">
      <c r="A36" s="96" t="n">
        <v>28</v>
      </c>
      <c r="B36" s="96"/>
      <c r="C36" s="96"/>
      <c r="D36" s="96" t="s">
        <v>2027</v>
      </c>
      <c r="E36" s="96"/>
      <c r="F36" s="96"/>
      <c r="G36" s="96"/>
      <c r="H36" s="152" t="s">
        <v>2028</v>
      </c>
      <c r="I36" s="152" t="s">
        <v>2029</v>
      </c>
      <c r="J36" s="152" t="s">
        <v>2030</v>
      </c>
      <c r="K36" s="152" t="s">
        <v>119</v>
      </c>
      <c r="L36" s="152" t="s">
        <v>2031</v>
      </c>
      <c r="M36" s="152" t="s">
        <v>2031</v>
      </c>
      <c r="N36" s="152" t="s">
        <v>148</v>
      </c>
      <c r="O36" s="152" t="s">
        <v>148</v>
      </c>
      <c r="P36" s="152" t="s">
        <v>148</v>
      </c>
      <c r="Q36" s="152" t="s">
        <v>148</v>
      </c>
      <c r="R36" s="152"/>
      <c r="S36" s="152"/>
      <c r="T36" s="152" t="s">
        <v>118</v>
      </c>
      <c r="U36" s="152"/>
      <c r="V36" s="152" t="s">
        <v>119</v>
      </c>
      <c r="W36" s="152" t="s">
        <v>119</v>
      </c>
      <c r="X36" s="225" t="s">
        <v>166</v>
      </c>
      <c r="Y36" s="67"/>
    </row>
    <row r="37" customFormat="false" ht="13.5" hidden="false" customHeight="true" outlineLevel="0" collapsed="false">
      <c r="A37" s="96" t="n">
        <v>29</v>
      </c>
      <c r="B37" s="96"/>
      <c r="C37" s="96"/>
      <c r="D37" s="96" t="s">
        <v>2032</v>
      </c>
      <c r="E37" s="96"/>
      <c r="F37" s="96"/>
      <c r="G37" s="96"/>
      <c r="H37" s="98" t="s">
        <v>1931</v>
      </c>
      <c r="I37" s="98" t="s">
        <v>2033</v>
      </c>
      <c r="J37" s="98" t="s">
        <v>2034</v>
      </c>
      <c r="K37" s="98"/>
      <c r="L37" s="98" t="s">
        <v>2035</v>
      </c>
      <c r="M37" s="98" t="s">
        <v>2035</v>
      </c>
      <c r="N37" s="102" t="s">
        <v>163</v>
      </c>
      <c r="O37" s="102" t="s">
        <v>163</v>
      </c>
      <c r="P37" s="102" t="s">
        <v>163</v>
      </c>
      <c r="Q37" s="102" t="s">
        <v>163</v>
      </c>
      <c r="R37" s="98"/>
      <c r="S37" s="98"/>
      <c r="T37" s="98" t="s">
        <v>118</v>
      </c>
      <c r="U37" s="98" t="s">
        <v>2036</v>
      </c>
      <c r="V37" s="98" t="s">
        <v>119</v>
      </c>
      <c r="W37" s="98" t="s">
        <v>119</v>
      </c>
      <c r="X37" s="225" t="s">
        <v>166</v>
      </c>
      <c r="Y37" s="67"/>
    </row>
    <row r="38" customFormat="false" ht="13.5" hidden="false" customHeight="true" outlineLevel="0" collapsed="false">
      <c r="A38" s="96" t="n">
        <v>30</v>
      </c>
      <c r="B38" s="96"/>
      <c r="C38" s="96" t="s">
        <v>2037</v>
      </c>
      <c r="D38" s="96"/>
      <c r="E38" s="96"/>
      <c r="F38" s="96"/>
      <c r="G38" s="96"/>
      <c r="H38" s="152" t="s">
        <v>1931</v>
      </c>
      <c r="I38" s="152" t="s">
        <v>2038</v>
      </c>
      <c r="J38" s="152" t="s">
        <v>2039</v>
      </c>
      <c r="K38" s="152"/>
      <c r="L38" s="152" t="s">
        <v>2040</v>
      </c>
      <c r="M38" s="152" t="s">
        <v>2040</v>
      </c>
      <c r="N38" s="102" t="s">
        <v>163</v>
      </c>
      <c r="O38" s="102" t="s">
        <v>163</v>
      </c>
      <c r="P38" s="227" t="s">
        <v>163</v>
      </c>
      <c r="Q38" s="227" t="s">
        <v>163</v>
      </c>
      <c r="R38" s="152"/>
      <c r="S38" s="152"/>
      <c r="T38" s="152" t="s">
        <v>118</v>
      </c>
      <c r="U38" s="152" t="s">
        <v>2041</v>
      </c>
      <c r="V38" s="152" t="s">
        <v>119</v>
      </c>
      <c r="W38" s="152" t="s">
        <v>119</v>
      </c>
      <c r="X38" s="225" t="s">
        <v>166</v>
      </c>
      <c r="Y38" s="67"/>
    </row>
    <row r="39" customFormat="false" ht="13.5" hidden="false" customHeight="true" outlineLevel="0" collapsed="false">
      <c r="A39" s="96" t="n">
        <v>31</v>
      </c>
      <c r="B39" s="96"/>
      <c r="C39" s="96" t="s">
        <v>2042</v>
      </c>
      <c r="D39" s="105"/>
      <c r="E39" s="96"/>
      <c r="F39" s="96"/>
      <c r="G39" s="96"/>
      <c r="H39" s="98" t="s">
        <v>2043</v>
      </c>
      <c r="I39" s="98" t="s">
        <v>2044</v>
      </c>
      <c r="J39" s="98" t="n">
        <v>2</v>
      </c>
      <c r="K39" s="98" t="s">
        <v>119</v>
      </c>
      <c r="L39" s="98" t="s">
        <v>2045</v>
      </c>
      <c r="M39" s="98" t="s">
        <v>2045</v>
      </c>
      <c r="N39" s="102" t="s">
        <v>163</v>
      </c>
      <c r="O39" s="102" t="s">
        <v>163</v>
      </c>
      <c r="P39" s="102" t="s">
        <v>163</v>
      </c>
      <c r="Q39" s="102" t="s">
        <v>163</v>
      </c>
      <c r="R39" s="98"/>
      <c r="S39" s="98"/>
      <c r="T39" s="98" t="s">
        <v>118</v>
      </c>
      <c r="U39" s="98" t="s">
        <v>2046</v>
      </c>
      <c r="V39" s="98" t="s">
        <v>119</v>
      </c>
      <c r="W39" s="98" t="s">
        <v>119</v>
      </c>
      <c r="X39" s="225" t="s">
        <v>166</v>
      </c>
      <c r="Y39" s="67"/>
    </row>
    <row r="40" customFormat="false" ht="13.5" hidden="false" customHeight="true" outlineLevel="0" collapsed="false">
      <c r="A40" s="96" t="n">
        <v>32</v>
      </c>
      <c r="B40" s="96"/>
      <c r="C40" s="96" t="s">
        <v>2047</v>
      </c>
      <c r="D40" s="96"/>
      <c r="E40" s="96"/>
      <c r="F40" s="96"/>
      <c r="G40" s="96"/>
      <c r="H40" s="152" t="s">
        <v>2048</v>
      </c>
      <c r="I40" s="152" t="s">
        <v>2049</v>
      </c>
      <c r="J40" s="152" t="n">
        <v>100</v>
      </c>
      <c r="K40" s="152"/>
      <c r="L40" s="152" t="s">
        <v>2050</v>
      </c>
      <c r="M40" s="152" t="s">
        <v>2050</v>
      </c>
      <c r="N40" s="102" t="s">
        <v>163</v>
      </c>
      <c r="O40" s="102" t="s">
        <v>163</v>
      </c>
      <c r="P40" s="102" t="s">
        <v>163</v>
      </c>
      <c r="Q40" s="102" t="s">
        <v>163</v>
      </c>
      <c r="R40" s="152"/>
      <c r="S40" s="152"/>
      <c r="T40" s="152" t="s">
        <v>1615</v>
      </c>
      <c r="U40" s="152"/>
      <c r="V40" s="152" t="s">
        <v>119</v>
      </c>
      <c r="W40" s="152" t="s">
        <v>119</v>
      </c>
      <c r="X40" s="230" t="s">
        <v>166</v>
      </c>
      <c r="Y40" s="67"/>
    </row>
    <row r="41" customFormat="false" ht="13.5" hidden="false" customHeight="true" outlineLevel="0" collapsed="false">
      <c r="A41" s="96" t="n">
        <v>33</v>
      </c>
      <c r="B41" s="96"/>
      <c r="C41" s="96" t="s">
        <v>2051</v>
      </c>
      <c r="D41" s="105"/>
      <c r="E41" s="96"/>
      <c r="F41" s="96"/>
      <c r="G41" s="96"/>
      <c r="H41" s="98" t="s">
        <v>2052</v>
      </c>
      <c r="I41" s="98" t="s">
        <v>2053</v>
      </c>
      <c r="J41" s="98" t="s">
        <v>2054</v>
      </c>
      <c r="K41" s="98" t="s">
        <v>119</v>
      </c>
      <c r="L41" s="98" t="s">
        <v>2055</v>
      </c>
      <c r="M41" s="98" t="s">
        <v>2055</v>
      </c>
      <c r="N41" s="102" t="s">
        <v>163</v>
      </c>
      <c r="O41" s="102" t="s">
        <v>163</v>
      </c>
      <c r="P41" s="102" t="s">
        <v>163</v>
      </c>
      <c r="Q41" s="102" t="s">
        <v>163</v>
      </c>
      <c r="R41" s="98"/>
      <c r="S41" s="98"/>
      <c r="T41" s="98" t="s">
        <v>134</v>
      </c>
      <c r="U41" s="98" t="s">
        <v>1929</v>
      </c>
      <c r="V41" s="98" t="s">
        <v>119</v>
      </c>
      <c r="W41" s="98" t="s">
        <v>119</v>
      </c>
      <c r="X41" s="225" t="s">
        <v>166</v>
      </c>
      <c r="Y41" s="67"/>
    </row>
    <row r="42" customFormat="false" ht="13.5" hidden="false" customHeight="true" outlineLevel="0" collapsed="false">
      <c r="A42" s="96" t="n">
        <v>34</v>
      </c>
      <c r="B42" s="96"/>
      <c r="C42" s="96" t="s">
        <v>2056</v>
      </c>
      <c r="D42" s="105"/>
      <c r="E42" s="96"/>
      <c r="F42" s="96"/>
      <c r="G42" s="96"/>
      <c r="H42" s="152" t="s">
        <v>2057</v>
      </c>
      <c r="I42" s="152" t="s">
        <v>2058</v>
      </c>
      <c r="J42" s="152" t="s">
        <v>2059</v>
      </c>
      <c r="K42" s="152" t="s">
        <v>119</v>
      </c>
      <c r="L42" s="152" t="s">
        <v>2060</v>
      </c>
      <c r="M42" s="152" t="s">
        <v>2060</v>
      </c>
      <c r="N42" s="102" t="s">
        <v>163</v>
      </c>
      <c r="O42" s="102" t="s">
        <v>163</v>
      </c>
      <c r="P42" s="102" t="s">
        <v>163</v>
      </c>
      <c r="Q42" s="102" t="s">
        <v>163</v>
      </c>
      <c r="R42" s="152"/>
      <c r="S42" s="152"/>
      <c r="T42" s="152" t="s">
        <v>134</v>
      </c>
      <c r="U42" s="152" t="s">
        <v>1929</v>
      </c>
      <c r="V42" s="152" t="s">
        <v>119</v>
      </c>
      <c r="W42" s="152" t="s">
        <v>119</v>
      </c>
      <c r="X42" s="225" t="s">
        <v>166</v>
      </c>
      <c r="Y42" s="67"/>
    </row>
    <row r="43" customFormat="false" ht="13.5" hidden="false" customHeight="true" outlineLevel="0" collapsed="false">
      <c r="A43" s="96" t="n">
        <v>35</v>
      </c>
      <c r="B43" s="96"/>
      <c r="C43" s="96" t="s">
        <v>2061</v>
      </c>
      <c r="D43" s="105"/>
      <c r="E43" s="105"/>
      <c r="F43" s="96"/>
      <c r="G43" s="96"/>
      <c r="H43" s="98" t="s">
        <v>2062</v>
      </c>
      <c r="I43" s="98" t="s">
        <v>2063</v>
      </c>
      <c r="J43" s="98" t="s">
        <v>2064</v>
      </c>
      <c r="K43" s="98" t="s">
        <v>119</v>
      </c>
      <c r="L43" s="98" t="s">
        <v>2065</v>
      </c>
      <c r="M43" s="98" t="s">
        <v>2065</v>
      </c>
      <c r="N43" s="102" t="s">
        <v>163</v>
      </c>
      <c r="O43" s="102" t="s">
        <v>163</v>
      </c>
      <c r="P43" s="227" t="s">
        <v>163</v>
      </c>
      <c r="Q43" s="227" t="s">
        <v>163</v>
      </c>
      <c r="R43" s="98"/>
      <c r="S43" s="98"/>
      <c r="T43" s="98" t="s">
        <v>134</v>
      </c>
      <c r="U43" s="98" t="s">
        <v>1929</v>
      </c>
      <c r="V43" s="98" t="s">
        <v>119</v>
      </c>
      <c r="W43" s="98" t="s">
        <v>119</v>
      </c>
      <c r="X43" s="225" t="s">
        <v>166</v>
      </c>
      <c r="Y43" s="67"/>
    </row>
    <row r="44" customFormat="false" ht="13.5" hidden="false" customHeight="true" outlineLevel="0" collapsed="false">
      <c r="A44" s="96" t="n">
        <v>36</v>
      </c>
      <c r="B44" s="96"/>
      <c r="C44" s="96" t="s">
        <v>2066</v>
      </c>
      <c r="D44" s="96"/>
      <c r="E44" s="96"/>
      <c r="F44" s="96"/>
      <c r="G44" s="96"/>
      <c r="H44" s="152" t="s">
        <v>2067</v>
      </c>
      <c r="I44" s="152" t="s">
        <v>2068</v>
      </c>
      <c r="J44" s="152" t="s">
        <v>2069</v>
      </c>
      <c r="K44" s="152" t="s">
        <v>119</v>
      </c>
      <c r="L44" s="152" t="s">
        <v>2070</v>
      </c>
      <c r="M44" s="152" t="s">
        <v>2070</v>
      </c>
      <c r="N44" s="102" t="s">
        <v>163</v>
      </c>
      <c r="O44" s="102" t="s">
        <v>163</v>
      </c>
      <c r="P44" s="102" t="s">
        <v>163</v>
      </c>
      <c r="Q44" s="102" t="s">
        <v>163</v>
      </c>
      <c r="R44" s="152"/>
      <c r="S44" s="152"/>
      <c r="T44" s="152" t="s">
        <v>118</v>
      </c>
      <c r="U44" s="152" t="s">
        <v>2071</v>
      </c>
      <c r="V44" s="152" t="s">
        <v>119</v>
      </c>
      <c r="W44" s="152" t="s">
        <v>119</v>
      </c>
      <c r="X44" s="225" t="s">
        <v>166</v>
      </c>
      <c r="Y44" s="67"/>
    </row>
    <row r="45" customFormat="false" ht="13.5" hidden="false" customHeight="true" outlineLevel="0" collapsed="false">
      <c r="A45" s="96" t="n">
        <v>37</v>
      </c>
      <c r="B45" s="96"/>
      <c r="C45" s="96" t="s">
        <v>2072</v>
      </c>
      <c r="D45" s="105"/>
      <c r="E45" s="96"/>
      <c r="F45" s="96"/>
      <c r="G45" s="96"/>
      <c r="H45" s="98" t="s">
        <v>1931</v>
      </c>
      <c r="I45" s="98" t="s">
        <v>2073</v>
      </c>
      <c r="J45" s="98" t="s">
        <v>2074</v>
      </c>
      <c r="K45" s="98"/>
      <c r="L45" s="98" t="s">
        <v>2075</v>
      </c>
      <c r="M45" s="98" t="s">
        <v>2075</v>
      </c>
      <c r="N45" s="102" t="s">
        <v>163</v>
      </c>
      <c r="O45" s="102" t="s">
        <v>163</v>
      </c>
      <c r="P45" s="102" t="s">
        <v>163</v>
      </c>
      <c r="Q45" s="102" t="s">
        <v>163</v>
      </c>
      <c r="R45" s="98"/>
      <c r="S45" s="98"/>
      <c r="T45" s="98" t="s">
        <v>118</v>
      </c>
      <c r="U45" s="98" t="s">
        <v>2076</v>
      </c>
      <c r="V45" s="98" t="s">
        <v>119</v>
      </c>
      <c r="W45" s="98" t="s">
        <v>119</v>
      </c>
      <c r="X45" s="230" t="s">
        <v>166</v>
      </c>
      <c r="Y45" s="67"/>
    </row>
    <row r="46" customFormat="false" ht="13.5" hidden="false" customHeight="true" outlineLevel="0" collapsed="false">
      <c r="A46" s="96" t="n">
        <v>38</v>
      </c>
      <c r="B46" s="96"/>
      <c r="C46" s="96" t="s">
        <v>2077</v>
      </c>
      <c r="D46" s="105"/>
      <c r="E46" s="96"/>
      <c r="F46" s="96"/>
      <c r="G46" s="96"/>
      <c r="H46" s="152" t="s">
        <v>2078</v>
      </c>
      <c r="I46" s="152" t="s">
        <v>2079</v>
      </c>
      <c r="J46" s="228"/>
      <c r="K46" s="152"/>
      <c r="L46" s="152" t="s">
        <v>2080</v>
      </c>
      <c r="M46" s="152" t="s">
        <v>2080</v>
      </c>
      <c r="N46" s="229" t="s">
        <v>1247</v>
      </c>
      <c r="O46" s="229" t="s">
        <v>1247</v>
      </c>
      <c r="P46" s="229" t="s">
        <v>1247</v>
      </c>
      <c r="Q46" s="229" t="s">
        <v>1247</v>
      </c>
      <c r="R46" s="152"/>
      <c r="S46" s="152" t="s">
        <v>119</v>
      </c>
      <c r="T46" s="152" t="s">
        <v>168</v>
      </c>
      <c r="U46" s="152"/>
      <c r="V46" s="152" t="s">
        <v>119</v>
      </c>
      <c r="W46" s="152" t="s">
        <v>119</v>
      </c>
      <c r="X46" s="225" t="s">
        <v>166</v>
      </c>
      <c r="Y46" s="67"/>
    </row>
    <row r="47" customFormat="false" ht="13.5" hidden="false" customHeight="true" outlineLevel="0" collapsed="false">
      <c r="A47" s="96" t="n">
        <v>39</v>
      </c>
      <c r="B47" s="96"/>
      <c r="C47" s="96"/>
      <c r="D47" s="96" t="s">
        <v>2081</v>
      </c>
      <c r="E47" s="96"/>
      <c r="F47" s="96"/>
      <c r="G47" s="96"/>
      <c r="H47" s="98" t="s">
        <v>2082</v>
      </c>
      <c r="I47" s="98" t="s">
        <v>2083</v>
      </c>
      <c r="J47" s="98" t="s">
        <v>2084</v>
      </c>
      <c r="K47" s="98"/>
      <c r="L47" s="98" t="s">
        <v>1966</v>
      </c>
      <c r="M47" s="98" t="s">
        <v>1966</v>
      </c>
      <c r="N47" s="224" t="s">
        <v>117</v>
      </c>
      <c r="O47" s="224" t="s">
        <v>117</v>
      </c>
      <c r="P47" s="224" t="s">
        <v>117</v>
      </c>
      <c r="Q47" s="224" t="s">
        <v>117</v>
      </c>
      <c r="R47" s="98"/>
      <c r="S47" s="98"/>
      <c r="T47" s="98" t="s">
        <v>118</v>
      </c>
      <c r="U47" s="98"/>
      <c r="V47" s="98" t="s">
        <v>119</v>
      </c>
      <c r="W47" s="98" t="s">
        <v>119</v>
      </c>
      <c r="X47" s="225" t="s">
        <v>166</v>
      </c>
      <c r="Y47" s="67"/>
    </row>
    <row r="48" customFormat="false" ht="13.5" hidden="false" customHeight="true" outlineLevel="0" collapsed="false">
      <c r="A48" s="96" t="n">
        <v>40</v>
      </c>
      <c r="B48" s="96"/>
      <c r="C48" s="96"/>
      <c r="D48" s="96" t="s">
        <v>2085</v>
      </c>
      <c r="E48" s="96"/>
      <c r="F48" s="96"/>
      <c r="G48" s="96"/>
      <c r="H48" s="152" t="s">
        <v>2086</v>
      </c>
      <c r="I48" s="152" t="s">
        <v>2087</v>
      </c>
      <c r="J48" s="152"/>
      <c r="K48" s="152"/>
      <c r="L48" s="152" t="s">
        <v>2088</v>
      </c>
      <c r="M48" s="152" t="s">
        <v>2088</v>
      </c>
      <c r="N48" s="152" t="s">
        <v>148</v>
      </c>
      <c r="O48" s="152" t="s">
        <v>148</v>
      </c>
      <c r="P48" s="232" t="s">
        <v>148</v>
      </c>
      <c r="Q48" s="232" t="s">
        <v>148</v>
      </c>
      <c r="R48" s="152"/>
      <c r="S48" s="152"/>
      <c r="T48" s="152" t="s">
        <v>118</v>
      </c>
      <c r="U48" s="152"/>
      <c r="V48" s="152" t="s">
        <v>119</v>
      </c>
      <c r="W48" s="152" t="s">
        <v>119</v>
      </c>
      <c r="X48" s="225" t="s">
        <v>166</v>
      </c>
      <c r="Y48" s="67"/>
    </row>
    <row r="49" customFormat="false" ht="13.5" hidden="false" customHeight="true" outlineLevel="0" collapsed="false">
      <c r="A49" s="100" t="n">
        <v>41</v>
      </c>
      <c r="B49" s="100"/>
      <c r="C49" s="100" t="s">
        <v>2089</v>
      </c>
      <c r="D49" s="233"/>
      <c r="E49" s="233"/>
      <c r="F49" s="233"/>
      <c r="G49" s="233"/>
      <c r="H49" s="98" t="s">
        <v>2090</v>
      </c>
      <c r="I49" s="98" t="s">
        <v>2091</v>
      </c>
      <c r="J49" s="228"/>
      <c r="K49" s="98"/>
      <c r="L49" s="98" t="s">
        <v>2092</v>
      </c>
      <c r="M49" s="98" t="s">
        <v>2092</v>
      </c>
      <c r="N49" s="229" t="s">
        <v>1247</v>
      </c>
      <c r="O49" s="229" t="s">
        <v>1247</v>
      </c>
      <c r="P49" s="229" t="s">
        <v>1247</v>
      </c>
      <c r="Q49" s="229" t="s">
        <v>1247</v>
      </c>
      <c r="R49" s="98"/>
      <c r="S49" s="98" t="s">
        <v>119</v>
      </c>
      <c r="T49" s="98" t="s">
        <v>2093</v>
      </c>
      <c r="U49" s="98"/>
      <c r="V49" s="98" t="s">
        <v>119</v>
      </c>
      <c r="W49" s="98" t="s">
        <v>119</v>
      </c>
      <c r="X49" s="225" t="s">
        <v>166</v>
      </c>
      <c r="Y49" s="67"/>
    </row>
    <row r="50" customFormat="false" ht="13.5" hidden="false" customHeight="true" outlineLevel="0" collapsed="false">
      <c r="A50" s="103" t="n">
        <v>42</v>
      </c>
      <c r="B50" s="103"/>
      <c r="C50" s="103"/>
      <c r="D50" s="103" t="s">
        <v>1906</v>
      </c>
      <c r="E50" s="103"/>
      <c r="F50" s="103"/>
      <c r="G50" s="103"/>
      <c r="H50" s="152" t="s">
        <v>2094</v>
      </c>
      <c r="I50" s="152" t="s">
        <v>2095</v>
      </c>
      <c r="J50" s="152" t="s">
        <v>2096</v>
      </c>
      <c r="K50" s="152"/>
      <c r="L50" s="152" t="s">
        <v>1909</v>
      </c>
      <c r="M50" s="152" t="s">
        <v>1909</v>
      </c>
      <c r="N50" s="224" t="s">
        <v>117</v>
      </c>
      <c r="O50" s="224" t="s">
        <v>117</v>
      </c>
      <c r="P50" s="224" t="s">
        <v>117</v>
      </c>
      <c r="Q50" s="224" t="s">
        <v>117</v>
      </c>
      <c r="R50" s="152"/>
      <c r="S50" s="152"/>
      <c r="T50" s="152" t="s">
        <v>118</v>
      </c>
      <c r="U50" s="152"/>
      <c r="V50" s="152" t="s">
        <v>119</v>
      </c>
      <c r="W50" s="152" t="s">
        <v>119</v>
      </c>
      <c r="X50" s="230" t="s">
        <v>166</v>
      </c>
      <c r="Y50" s="67"/>
    </row>
    <row r="51" customFormat="false" ht="13.5" hidden="false" customHeight="true" outlineLevel="0" collapsed="false">
      <c r="A51" s="100" t="n">
        <v>43</v>
      </c>
      <c r="B51" s="100"/>
      <c r="C51" s="100"/>
      <c r="D51" s="100" t="s">
        <v>2097</v>
      </c>
      <c r="E51" s="234"/>
      <c r="F51" s="100"/>
      <c r="G51" s="100"/>
      <c r="H51" s="98" t="s">
        <v>1931</v>
      </c>
      <c r="I51" s="98" t="s">
        <v>2098</v>
      </c>
      <c r="J51" s="98" t="s">
        <v>2099</v>
      </c>
      <c r="K51" s="98"/>
      <c r="L51" s="98" t="s">
        <v>2100</v>
      </c>
      <c r="M51" s="98" t="s">
        <v>2100</v>
      </c>
      <c r="N51" s="102" t="s">
        <v>163</v>
      </c>
      <c r="O51" s="102" t="s">
        <v>163</v>
      </c>
      <c r="P51" s="102" t="s">
        <v>163</v>
      </c>
      <c r="Q51" s="102" t="s">
        <v>163</v>
      </c>
      <c r="R51" s="98"/>
      <c r="S51" s="98"/>
      <c r="T51" s="98" t="s">
        <v>134</v>
      </c>
      <c r="U51" s="98" t="s">
        <v>1929</v>
      </c>
      <c r="V51" s="98" t="s">
        <v>119</v>
      </c>
      <c r="W51" s="98" t="s">
        <v>119</v>
      </c>
      <c r="X51" s="225" t="s">
        <v>166</v>
      </c>
      <c r="Y51" s="67"/>
    </row>
    <row r="52" customFormat="false" ht="13.5" hidden="false" customHeight="true" outlineLevel="0" collapsed="false">
      <c r="A52" s="103" t="n">
        <v>44</v>
      </c>
      <c r="B52" s="103"/>
      <c r="C52" s="103"/>
      <c r="D52" s="103" t="s">
        <v>2101</v>
      </c>
      <c r="E52" s="103"/>
      <c r="F52" s="103"/>
      <c r="G52" s="103"/>
      <c r="H52" s="152" t="s">
        <v>1931</v>
      </c>
      <c r="I52" s="152" t="s">
        <v>2102</v>
      </c>
      <c r="J52" s="152" t="n">
        <v>0</v>
      </c>
      <c r="K52" s="152"/>
      <c r="L52" s="152" t="s">
        <v>2103</v>
      </c>
      <c r="M52" s="152" t="s">
        <v>2103</v>
      </c>
      <c r="N52" s="102" t="s">
        <v>163</v>
      </c>
      <c r="O52" s="102" t="s">
        <v>163</v>
      </c>
      <c r="P52" s="102" t="s">
        <v>163</v>
      </c>
      <c r="Q52" s="102" t="s">
        <v>163</v>
      </c>
      <c r="R52" s="152"/>
      <c r="S52" s="152"/>
      <c r="T52" s="152" t="s">
        <v>1615</v>
      </c>
      <c r="U52" s="152"/>
      <c r="V52" s="152" t="s">
        <v>119</v>
      </c>
      <c r="W52" s="152" t="s">
        <v>119</v>
      </c>
      <c r="X52" s="225" t="s">
        <v>166</v>
      </c>
      <c r="Y52" s="67"/>
    </row>
    <row r="53" customFormat="false" ht="13.5" hidden="false" customHeight="true" outlineLevel="0" collapsed="false">
      <c r="A53" s="100" t="n">
        <v>45</v>
      </c>
      <c r="B53" s="100"/>
      <c r="C53" s="100"/>
      <c r="D53" s="100" t="s">
        <v>2104</v>
      </c>
      <c r="E53" s="100"/>
      <c r="F53" s="100"/>
      <c r="G53" s="100"/>
      <c r="H53" s="98" t="s">
        <v>2105</v>
      </c>
      <c r="I53" s="98" t="s">
        <v>2106</v>
      </c>
      <c r="J53" s="98" t="n">
        <v>0</v>
      </c>
      <c r="K53" s="98"/>
      <c r="L53" s="98" t="s">
        <v>2107</v>
      </c>
      <c r="M53" s="98" t="s">
        <v>2107</v>
      </c>
      <c r="N53" s="102" t="s">
        <v>163</v>
      </c>
      <c r="O53" s="102" t="s">
        <v>163</v>
      </c>
      <c r="P53" s="227" t="s">
        <v>163</v>
      </c>
      <c r="Q53" s="227" t="s">
        <v>163</v>
      </c>
      <c r="R53" s="98"/>
      <c r="S53" s="98"/>
      <c r="T53" s="98" t="s">
        <v>1615</v>
      </c>
      <c r="U53" s="98"/>
      <c r="V53" s="98" t="s">
        <v>119</v>
      </c>
      <c r="W53" s="98" t="s">
        <v>119</v>
      </c>
      <c r="X53" s="225" t="s">
        <v>166</v>
      </c>
      <c r="Y53" s="67"/>
    </row>
    <row r="54" customFormat="false" ht="13.5" hidden="false" customHeight="true" outlineLevel="0" collapsed="false">
      <c r="A54" s="103" t="n">
        <v>46</v>
      </c>
      <c r="B54" s="103"/>
      <c r="C54" s="103"/>
      <c r="D54" s="103" t="s">
        <v>2108</v>
      </c>
      <c r="E54" s="103"/>
      <c r="F54" s="103"/>
      <c r="G54" s="103"/>
      <c r="H54" s="152" t="s">
        <v>1931</v>
      </c>
      <c r="I54" s="152" t="s">
        <v>2109</v>
      </c>
      <c r="J54" s="152" t="n">
        <v>1</v>
      </c>
      <c r="K54" s="152"/>
      <c r="L54" s="152" t="s">
        <v>2110</v>
      </c>
      <c r="M54" s="152" t="s">
        <v>2110</v>
      </c>
      <c r="N54" s="102" t="s">
        <v>163</v>
      </c>
      <c r="O54" s="102" t="s">
        <v>163</v>
      </c>
      <c r="P54" s="102" t="s">
        <v>163</v>
      </c>
      <c r="Q54" s="102" t="s">
        <v>163</v>
      </c>
      <c r="R54" s="152"/>
      <c r="S54" s="152"/>
      <c r="T54" s="152" t="s">
        <v>1615</v>
      </c>
      <c r="U54" s="152"/>
      <c r="V54" s="152" t="s">
        <v>119</v>
      </c>
      <c r="W54" s="152" t="s">
        <v>119</v>
      </c>
      <c r="X54" s="225" t="s">
        <v>166</v>
      </c>
      <c r="Y54" s="67"/>
    </row>
    <row r="55" customFormat="false" ht="13.5" hidden="false" customHeight="true" outlineLevel="0" collapsed="false">
      <c r="A55" s="100" t="n">
        <v>47</v>
      </c>
      <c r="B55" s="100"/>
      <c r="C55" s="100"/>
      <c r="D55" s="100" t="s">
        <v>2111</v>
      </c>
      <c r="E55" s="100"/>
      <c r="F55" s="100"/>
      <c r="G55" s="100"/>
      <c r="H55" s="98" t="s">
        <v>1931</v>
      </c>
      <c r="I55" s="98" t="s">
        <v>2112</v>
      </c>
      <c r="J55" s="98" t="n">
        <v>0</v>
      </c>
      <c r="K55" s="98"/>
      <c r="L55" s="98" t="s">
        <v>2113</v>
      </c>
      <c r="M55" s="98" t="s">
        <v>2113</v>
      </c>
      <c r="N55" s="102" t="s">
        <v>163</v>
      </c>
      <c r="O55" s="102" t="s">
        <v>163</v>
      </c>
      <c r="P55" s="102" t="s">
        <v>163</v>
      </c>
      <c r="Q55" s="102" t="s">
        <v>163</v>
      </c>
      <c r="R55" s="98"/>
      <c r="S55" s="98"/>
      <c r="T55" s="98" t="s">
        <v>1615</v>
      </c>
      <c r="U55" s="98"/>
      <c r="V55" s="98" t="s">
        <v>119</v>
      </c>
      <c r="W55" s="98" t="s">
        <v>119</v>
      </c>
      <c r="X55" s="230" t="s">
        <v>166</v>
      </c>
      <c r="Y55" s="67"/>
    </row>
    <row r="56" customFormat="false" ht="13.5" hidden="false" customHeight="true" outlineLevel="0" collapsed="false">
      <c r="A56" s="103" t="n">
        <v>48</v>
      </c>
      <c r="B56" s="103"/>
      <c r="C56" s="103"/>
      <c r="D56" s="103" t="s">
        <v>2114</v>
      </c>
      <c r="E56" s="103"/>
      <c r="F56" s="103"/>
      <c r="G56" s="103"/>
      <c r="H56" s="152" t="s">
        <v>1931</v>
      </c>
      <c r="I56" s="152" t="s">
        <v>2115</v>
      </c>
      <c r="J56" s="152" t="n">
        <v>0</v>
      </c>
      <c r="K56" s="152"/>
      <c r="L56" s="152" t="s">
        <v>2116</v>
      </c>
      <c r="M56" s="152" t="s">
        <v>2116</v>
      </c>
      <c r="N56" s="102" t="s">
        <v>163</v>
      </c>
      <c r="O56" s="102" t="s">
        <v>163</v>
      </c>
      <c r="P56" s="102" t="s">
        <v>163</v>
      </c>
      <c r="Q56" s="102" t="s">
        <v>163</v>
      </c>
      <c r="R56" s="152"/>
      <c r="S56" s="152"/>
      <c r="T56" s="152" t="s">
        <v>1615</v>
      </c>
      <c r="U56" s="152"/>
      <c r="V56" s="152" t="s">
        <v>119</v>
      </c>
      <c r="W56" s="152" t="s">
        <v>119</v>
      </c>
      <c r="X56" s="225" t="s">
        <v>166</v>
      </c>
      <c r="Y56" s="67"/>
    </row>
    <row r="57" customFormat="false" ht="13.5" hidden="false" customHeight="true" outlineLevel="0" collapsed="false">
      <c r="A57" s="100" t="n">
        <v>49</v>
      </c>
      <c r="B57" s="100"/>
      <c r="C57" s="100"/>
      <c r="D57" s="100" t="s">
        <v>2117</v>
      </c>
      <c r="E57" s="100"/>
      <c r="F57" s="100"/>
      <c r="G57" s="100"/>
      <c r="H57" s="98" t="s">
        <v>1931</v>
      </c>
      <c r="I57" s="98" t="s">
        <v>2118</v>
      </c>
      <c r="J57" s="98" t="n">
        <v>0</v>
      </c>
      <c r="K57" s="98"/>
      <c r="L57" s="98" t="s">
        <v>2119</v>
      </c>
      <c r="M57" s="98" t="s">
        <v>2119</v>
      </c>
      <c r="N57" s="102" t="s">
        <v>163</v>
      </c>
      <c r="O57" s="102" t="s">
        <v>163</v>
      </c>
      <c r="P57" s="102" t="s">
        <v>163</v>
      </c>
      <c r="Q57" s="102" t="s">
        <v>163</v>
      </c>
      <c r="R57" s="98"/>
      <c r="S57" s="98"/>
      <c r="T57" s="98" t="s">
        <v>1615</v>
      </c>
      <c r="U57" s="98"/>
      <c r="V57" s="98" t="s">
        <v>119</v>
      </c>
      <c r="W57" s="98" t="s">
        <v>119</v>
      </c>
      <c r="X57" s="225" t="s">
        <v>166</v>
      </c>
      <c r="Y57" s="67"/>
    </row>
    <row r="58" customFormat="false" ht="13.5" hidden="false" customHeight="true" outlineLevel="0" collapsed="false">
      <c r="A58" s="103" t="n">
        <v>50</v>
      </c>
      <c r="B58" s="103"/>
      <c r="C58" s="103" t="s">
        <v>2120</v>
      </c>
      <c r="D58" s="233"/>
      <c r="E58" s="233"/>
      <c r="F58" s="233"/>
      <c r="G58" s="233"/>
      <c r="H58" s="152" t="s">
        <v>1931</v>
      </c>
      <c r="I58" s="152" t="s">
        <v>2121</v>
      </c>
      <c r="J58" s="228"/>
      <c r="K58" s="152"/>
      <c r="L58" s="152" t="s">
        <v>2122</v>
      </c>
      <c r="M58" s="152" t="s">
        <v>2122</v>
      </c>
      <c r="N58" s="229" t="s">
        <v>1247</v>
      </c>
      <c r="O58" s="229" t="s">
        <v>1247</v>
      </c>
      <c r="P58" s="235" t="s">
        <v>1247</v>
      </c>
      <c r="Q58" s="235" t="s">
        <v>1247</v>
      </c>
      <c r="R58" s="152"/>
      <c r="S58" s="152" t="s">
        <v>119</v>
      </c>
      <c r="T58" s="152" t="s">
        <v>2123</v>
      </c>
      <c r="U58" s="152"/>
      <c r="V58" s="152" t="s">
        <v>119</v>
      </c>
      <c r="W58" s="152" t="s">
        <v>119</v>
      </c>
      <c r="X58" s="225" t="s">
        <v>166</v>
      </c>
      <c r="Y58" s="67"/>
    </row>
    <row r="59" customFormat="false" ht="13.5" hidden="false" customHeight="true" outlineLevel="0" collapsed="false">
      <c r="A59" s="100" t="n">
        <v>51</v>
      </c>
      <c r="B59" s="100"/>
      <c r="C59" s="100"/>
      <c r="D59" s="100" t="s">
        <v>2124</v>
      </c>
      <c r="E59" s="100"/>
      <c r="F59" s="100"/>
      <c r="G59" s="100"/>
      <c r="H59" s="98" t="s">
        <v>1931</v>
      </c>
      <c r="I59" s="98" t="s">
        <v>2125</v>
      </c>
      <c r="J59" s="98" t="s">
        <v>2126</v>
      </c>
      <c r="K59" s="98"/>
      <c r="L59" s="98" t="s">
        <v>2100</v>
      </c>
      <c r="M59" s="98" t="s">
        <v>2100</v>
      </c>
      <c r="N59" s="102" t="s">
        <v>163</v>
      </c>
      <c r="O59" s="102" t="s">
        <v>163</v>
      </c>
      <c r="P59" s="102" t="s">
        <v>163</v>
      </c>
      <c r="Q59" s="102" t="s">
        <v>163</v>
      </c>
      <c r="R59" s="98"/>
      <c r="S59" s="98"/>
      <c r="T59" s="98" t="s">
        <v>134</v>
      </c>
      <c r="U59" s="98" t="s">
        <v>1929</v>
      </c>
      <c r="V59" s="98" t="s">
        <v>119</v>
      </c>
      <c r="W59" s="98" t="s">
        <v>119</v>
      </c>
      <c r="X59" s="225" t="s">
        <v>166</v>
      </c>
      <c r="Y59" s="67"/>
    </row>
    <row r="60" customFormat="false" ht="13.5" hidden="false" customHeight="true" outlineLevel="0" collapsed="false">
      <c r="A60" s="103" t="n">
        <v>52</v>
      </c>
      <c r="B60" s="103"/>
      <c r="C60" s="103"/>
      <c r="D60" s="103" t="s">
        <v>2127</v>
      </c>
      <c r="E60" s="103"/>
      <c r="F60" s="103"/>
      <c r="G60" s="103"/>
      <c r="H60" s="152" t="s">
        <v>1931</v>
      </c>
      <c r="I60" s="152" t="s">
        <v>2128</v>
      </c>
      <c r="J60" s="152" t="n">
        <v>0</v>
      </c>
      <c r="K60" s="152"/>
      <c r="L60" s="152" t="s">
        <v>2129</v>
      </c>
      <c r="M60" s="152" t="s">
        <v>2129</v>
      </c>
      <c r="N60" s="102" t="s">
        <v>163</v>
      </c>
      <c r="O60" s="102" t="s">
        <v>163</v>
      </c>
      <c r="P60" s="102" t="s">
        <v>163</v>
      </c>
      <c r="Q60" s="102" t="s">
        <v>163</v>
      </c>
      <c r="R60" s="152"/>
      <c r="S60" s="152"/>
      <c r="T60" s="152" t="s">
        <v>1615</v>
      </c>
      <c r="U60" s="152"/>
      <c r="V60" s="152" t="s">
        <v>119</v>
      </c>
      <c r="W60" s="152" t="s">
        <v>119</v>
      </c>
      <c r="X60" s="230" t="s">
        <v>166</v>
      </c>
      <c r="Y60" s="67"/>
    </row>
    <row r="61" customFormat="false" ht="13.5" hidden="false" customHeight="true" outlineLevel="0" collapsed="false">
      <c r="A61" s="100" t="n">
        <v>53</v>
      </c>
      <c r="B61" s="100"/>
      <c r="C61" s="100"/>
      <c r="D61" s="100" t="s">
        <v>2130</v>
      </c>
      <c r="E61" s="100"/>
      <c r="F61" s="100"/>
      <c r="G61" s="100"/>
      <c r="H61" s="98" t="s">
        <v>1931</v>
      </c>
      <c r="I61" s="98" t="s">
        <v>2131</v>
      </c>
      <c r="J61" s="98" t="n">
        <v>1</v>
      </c>
      <c r="K61" s="98"/>
      <c r="L61" s="98" t="s">
        <v>2132</v>
      </c>
      <c r="M61" s="98" t="s">
        <v>2132</v>
      </c>
      <c r="N61" s="102" t="s">
        <v>163</v>
      </c>
      <c r="O61" s="102" t="s">
        <v>163</v>
      </c>
      <c r="P61" s="102" t="s">
        <v>163</v>
      </c>
      <c r="Q61" s="102" t="s">
        <v>163</v>
      </c>
      <c r="R61" s="98"/>
      <c r="S61" s="98"/>
      <c r="T61" s="98" t="s">
        <v>1615</v>
      </c>
      <c r="U61" s="98"/>
      <c r="V61" s="98" t="s">
        <v>119</v>
      </c>
      <c r="W61" s="98" t="s">
        <v>119</v>
      </c>
      <c r="X61" s="225" t="s">
        <v>166</v>
      </c>
      <c r="Y61" s="67"/>
    </row>
    <row r="62" customFormat="false" ht="13.5" hidden="false" customHeight="true" outlineLevel="0" collapsed="false">
      <c r="A62" s="96" t="n">
        <v>54</v>
      </c>
      <c r="B62" s="96"/>
      <c r="C62" s="96" t="s">
        <v>2133</v>
      </c>
      <c r="D62" s="96"/>
      <c r="E62" s="96"/>
      <c r="F62" s="96"/>
      <c r="G62" s="96"/>
      <c r="H62" s="152" t="s">
        <v>2134</v>
      </c>
      <c r="I62" s="152" t="s">
        <v>2135</v>
      </c>
      <c r="J62" s="228"/>
      <c r="K62" s="152" t="s">
        <v>119</v>
      </c>
      <c r="L62" s="152" t="s">
        <v>2136</v>
      </c>
      <c r="M62" s="152" t="s">
        <v>2136</v>
      </c>
      <c r="N62" s="229" t="s">
        <v>1247</v>
      </c>
      <c r="O62" s="229" t="s">
        <v>1247</v>
      </c>
      <c r="P62" s="229" t="s">
        <v>1247</v>
      </c>
      <c r="Q62" s="229" t="s">
        <v>1247</v>
      </c>
      <c r="R62" s="152"/>
      <c r="S62" s="152" t="s">
        <v>119</v>
      </c>
      <c r="T62" s="152" t="s">
        <v>2137</v>
      </c>
      <c r="U62" s="152"/>
      <c r="V62" s="152" t="s">
        <v>119</v>
      </c>
      <c r="W62" s="152" t="s">
        <v>119</v>
      </c>
      <c r="X62" s="225" t="s">
        <v>166</v>
      </c>
      <c r="Y62" s="67"/>
    </row>
    <row r="63" customFormat="false" ht="13.5" hidden="false" customHeight="true" outlineLevel="0" collapsed="false">
      <c r="A63" s="96" t="n">
        <v>55</v>
      </c>
      <c r="B63" s="96"/>
      <c r="C63" s="96"/>
      <c r="D63" s="96" t="s">
        <v>2138</v>
      </c>
      <c r="E63" s="105"/>
      <c r="F63" s="96"/>
      <c r="G63" s="96"/>
      <c r="H63" s="98" t="s">
        <v>2139</v>
      </c>
      <c r="I63" s="98" t="s">
        <v>2140</v>
      </c>
      <c r="J63" s="98" t="s">
        <v>2064</v>
      </c>
      <c r="K63" s="98" t="s">
        <v>119</v>
      </c>
      <c r="L63" s="98" t="s">
        <v>2100</v>
      </c>
      <c r="M63" s="98" t="s">
        <v>2100</v>
      </c>
      <c r="N63" s="102" t="s">
        <v>163</v>
      </c>
      <c r="O63" s="102" t="s">
        <v>163</v>
      </c>
      <c r="P63" s="227" t="s">
        <v>163</v>
      </c>
      <c r="Q63" s="227" t="s">
        <v>163</v>
      </c>
      <c r="R63" s="98"/>
      <c r="S63" s="98"/>
      <c r="T63" s="98" t="s">
        <v>134</v>
      </c>
      <c r="U63" s="98" t="s">
        <v>1929</v>
      </c>
      <c r="V63" s="98" t="s">
        <v>119</v>
      </c>
      <c r="W63" s="98" t="s">
        <v>119</v>
      </c>
      <c r="X63" s="225" t="s">
        <v>166</v>
      </c>
      <c r="Y63" s="67"/>
    </row>
    <row r="64" customFormat="false" ht="13.5" hidden="false" customHeight="true" outlineLevel="0" collapsed="false">
      <c r="A64" s="222" t="n">
        <v>56</v>
      </c>
      <c r="B64" s="222"/>
      <c r="C64" s="222"/>
      <c r="D64" s="222" t="s">
        <v>2027</v>
      </c>
      <c r="E64" s="222"/>
      <c r="F64" s="222"/>
      <c r="G64" s="222"/>
      <c r="H64" s="152" t="s">
        <v>2141</v>
      </c>
      <c r="I64" s="152" t="s">
        <v>2142</v>
      </c>
      <c r="J64" s="152" t="s">
        <v>2143</v>
      </c>
      <c r="K64" s="152" t="s">
        <v>119</v>
      </c>
      <c r="L64" s="152" t="s">
        <v>1987</v>
      </c>
      <c r="M64" s="152" t="s">
        <v>1987</v>
      </c>
      <c r="N64" s="102" t="s">
        <v>163</v>
      </c>
      <c r="O64" s="102" t="s">
        <v>163</v>
      </c>
      <c r="P64" s="224" t="s">
        <v>117</v>
      </c>
      <c r="Q64" s="224" t="s">
        <v>117</v>
      </c>
      <c r="R64" s="152"/>
      <c r="S64" s="152"/>
      <c r="T64" s="152" t="s">
        <v>118</v>
      </c>
      <c r="U64" s="152" t="s">
        <v>2144</v>
      </c>
      <c r="V64" s="152" t="s">
        <v>119</v>
      </c>
      <c r="W64" s="152" t="s">
        <v>119</v>
      </c>
      <c r="X64" s="225" t="s">
        <v>166</v>
      </c>
      <c r="Y64" s="67"/>
    </row>
    <row r="65" customFormat="false" ht="13.5" hidden="false" customHeight="true" outlineLevel="0" collapsed="false">
      <c r="A65" s="222" t="n">
        <v>57</v>
      </c>
      <c r="B65" s="222"/>
      <c r="C65" s="222"/>
      <c r="D65" s="222" t="s">
        <v>2145</v>
      </c>
      <c r="E65" s="222"/>
      <c r="F65" s="222"/>
      <c r="G65" s="222"/>
      <c r="H65" s="98" t="s">
        <v>2139</v>
      </c>
      <c r="I65" s="98" t="s">
        <v>2146</v>
      </c>
      <c r="J65" s="98" t="s">
        <v>2147</v>
      </c>
      <c r="K65" s="98"/>
      <c r="L65" s="98" t="s">
        <v>2148</v>
      </c>
      <c r="M65" s="98" t="s">
        <v>2148</v>
      </c>
      <c r="N65" s="229" t="s">
        <v>1247</v>
      </c>
      <c r="O65" s="229" t="s">
        <v>1247</v>
      </c>
      <c r="P65" s="229" t="s">
        <v>1247</v>
      </c>
      <c r="Q65" s="229" t="s">
        <v>1247</v>
      </c>
      <c r="R65" s="98"/>
      <c r="S65" s="98"/>
      <c r="T65" s="98" t="s">
        <v>118</v>
      </c>
      <c r="U65" s="98" t="s">
        <v>2149</v>
      </c>
      <c r="V65" s="98" t="s">
        <v>119</v>
      </c>
      <c r="W65" s="98" t="s">
        <v>119</v>
      </c>
      <c r="X65" s="230" t="s">
        <v>166</v>
      </c>
      <c r="Y65" s="67"/>
    </row>
    <row r="66" customFormat="false" ht="13.5" hidden="false" customHeight="true" outlineLevel="0" collapsed="false">
      <c r="A66" s="96" t="n">
        <v>58</v>
      </c>
      <c r="B66" s="96"/>
      <c r="C66" s="96"/>
      <c r="D66" s="96" t="s">
        <v>2150</v>
      </c>
      <c r="E66" s="105"/>
      <c r="F66" s="96"/>
      <c r="G66" s="96"/>
      <c r="H66" s="152" t="s">
        <v>2139</v>
      </c>
      <c r="I66" s="152" t="s">
        <v>2151</v>
      </c>
      <c r="J66" s="152" t="s">
        <v>2152</v>
      </c>
      <c r="K66" s="152"/>
      <c r="L66" s="152" t="s">
        <v>1959</v>
      </c>
      <c r="M66" s="152" t="s">
        <v>1959</v>
      </c>
      <c r="N66" s="102" t="s">
        <v>163</v>
      </c>
      <c r="O66" s="102" t="s">
        <v>163</v>
      </c>
      <c r="P66" s="102" t="s">
        <v>163</v>
      </c>
      <c r="Q66" s="102" t="s">
        <v>163</v>
      </c>
      <c r="R66" s="152"/>
      <c r="S66" s="152"/>
      <c r="T66" s="152" t="s">
        <v>118</v>
      </c>
      <c r="U66" s="152"/>
      <c r="V66" s="152" t="s">
        <v>119</v>
      </c>
      <c r="W66" s="152" t="s">
        <v>119</v>
      </c>
      <c r="X66" s="225" t="s">
        <v>166</v>
      </c>
      <c r="Y66" s="67"/>
    </row>
    <row r="67" customFormat="false" ht="13.5" hidden="false" customHeight="true" outlineLevel="0" collapsed="false">
      <c r="A67" s="96" t="n">
        <v>59</v>
      </c>
      <c r="B67" s="96"/>
      <c r="C67" s="96"/>
      <c r="D67" s="96" t="s">
        <v>2153</v>
      </c>
      <c r="E67" s="105"/>
      <c r="F67" s="96"/>
      <c r="G67" s="96"/>
      <c r="H67" s="98" t="s">
        <v>2139</v>
      </c>
      <c r="I67" s="98" t="s">
        <v>2154</v>
      </c>
      <c r="J67" s="228"/>
      <c r="K67" s="98"/>
      <c r="L67" s="98" t="s">
        <v>2155</v>
      </c>
      <c r="M67" s="98" t="s">
        <v>2155</v>
      </c>
      <c r="N67" s="102" t="s">
        <v>163</v>
      </c>
      <c r="O67" s="102" t="s">
        <v>163</v>
      </c>
      <c r="P67" s="224" t="s">
        <v>117</v>
      </c>
      <c r="Q67" s="224" t="s">
        <v>117</v>
      </c>
      <c r="R67" s="98"/>
      <c r="S67" s="98" t="s">
        <v>119</v>
      </c>
      <c r="T67" s="98" t="s">
        <v>2156</v>
      </c>
      <c r="U67" s="98"/>
      <c r="V67" s="98" t="s">
        <v>119</v>
      </c>
      <c r="W67" s="98" t="s">
        <v>119</v>
      </c>
      <c r="X67" s="225" t="s">
        <v>166</v>
      </c>
      <c r="Y67" s="67"/>
    </row>
    <row r="68" customFormat="false" ht="13.5" hidden="false" customHeight="true" outlineLevel="0" collapsed="false">
      <c r="A68" s="96" t="n">
        <v>60</v>
      </c>
      <c r="B68" s="96"/>
      <c r="C68" s="96"/>
      <c r="D68" s="96"/>
      <c r="E68" s="96" t="s">
        <v>2157</v>
      </c>
      <c r="F68" s="96"/>
      <c r="G68" s="96"/>
      <c r="H68" s="152" t="s">
        <v>2158</v>
      </c>
      <c r="I68" s="152" t="s">
        <v>2159</v>
      </c>
      <c r="J68" s="152" t="s">
        <v>1319</v>
      </c>
      <c r="K68" s="152" t="s">
        <v>119</v>
      </c>
      <c r="L68" s="152" t="s">
        <v>2160</v>
      </c>
      <c r="M68" s="152" t="s">
        <v>2160</v>
      </c>
      <c r="N68" s="102" t="s">
        <v>163</v>
      </c>
      <c r="O68" s="102" t="s">
        <v>163</v>
      </c>
      <c r="P68" s="226" t="s">
        <v>117</v>
      </c>
      <c r="Q68" s="226" t="s">
        <v>117</v>
      </c>
      <c r="R68" s="152"/>
      <c r="S68" s="152"/>
      <c r="T68" s="152" t="s">
        <v>118</v>
      </c>
      <c r="U68" s="152"/>
      <c r="V68" s="152" t="s">
        <v>119</v>
      </c>
      <c r="W68" s="152" t="s">
        <v>119</v>
      </c>
      <c r="X68" s="225" t="s">
        <v>166</v>
      </c>
      <c r="Y68" s="67"/>
    </row>
    <row r="69" customFormat="false" ht="13.5" hidden="false" customHeight="true" outlineLevel="0" collapsed="false">
      <c r="A69" s="100" t="n">
        <v>61</v>
      </c>
      <c r="B69" s="100"/>
      <c r="C69" s="100"/>
      <c r="D69" s="100"/>
      <c r="E69" s="100" t="s">
        <v>2161</v>
      </c>
      <c r="F69" s="100"/>
      <c r="G69" s="100"/>
      <c r="H69" s="98" t="s">
        <v>2162</v>
      </c>
      <c r="I69" s="98" t="s">
        <v>2163</v>
      </c>
      <c r="J69" s="98" t="s">
        <v>1327</v>
      </c>
      <c r="K69" s="98"/>
      <c r="L69" s="98" t="s">
        <v>1975</v>
      </c>
      <c r="M69" s="98" t="s">
        <v>1975</v>
      </c>
      <c r="N69" s="102" t="s">
        <v>163</v>
      </c>
      <c r="O69" s="102" t="s">
        <v>163</v>
      </c>
      <c r="P69" s="102" t="s">
        <v>163</v>
      </c>
      <c r="Q69" s="102" t="s">
        <v>163</v>
      </c>
      <c r="R69" s="98"/>
      <c r="S69" s="98"/>
      <c r="T69" s="98" t="s">
        <v>118</v>
      </c>
      <c r="U69" s="98"/>
      <c r="V69" s="98" t="s">
        <v>119</v>
      </c>
      <c r="W69" s="98" t="s">
        <v>119</v>
      </c>
      <c r="X69" s="225" t="s">
        <v>166</v>
      </c>
      <c r="Y69" s="67"/>
    </row>
    <row r="70" customFormat="false" ht="13.5" hidden="false" customHeight="true" outlineLevel="0" collapsed="false">
      <c r="A70" s="96" t="n">
        <v>62</v>
      </c>
      <c r="B70" s="96"/>
      <c r="C70" s="96"/>
      <c r="D70" s="96"/>
      <c r="E70" s="96" t="s">
        <v>1372</v>
      </c>
      <c r="F70" s="96"/>
      <c r="G70" s="96"/>
      <c r="H70" s="152" t="s">
        <v>2164</v>
      </c>
      <c r="I70" s="152" t="s">
        <v>2165</v>
      </c>
      <c r="J70" s="152" t="s">
        <v>2166</v>
      </c>
      <c r="K70" s="152" t="s">
        <v>119</v>
      </c>
      <c r="L70" s="152" t="s">
        <v>1987</v>
      </c>
      <c r="M70" s="152" t="s">
        <v>1987</v>
      </c>
      <c r="N70" s="102" t="s">
        <v>163</v>
      </c>
      <c r="O70" s="102" t="s">
        <v>163</v>
      </c>
      <c r="P70" s="102" t="s">
        <v>163</v>
      </c>
      <c r="Q70" s="102" t="s">
        <v>163</v>
      </c>
      <c r="R70" s="152"/>
      <c r="S70" s="152"/>
      <c r="T70" s="152" t="s">
        <v>118</v>
      </c>
      <c r="U70" s="152"/>
      <c r="V70" s="152" t="s">
        <v>119</v>
      </c>
      <c r="W70" s="152" t="s">
        <v>119</v>
      </c>
      <c r="X70" s="230" t="s">
        <v>166</v>
      </c>
      <c r="Y70" s="67"/>
    </row>
    <row r="71" customFormat="false" ht="13.5" hidden="false" customHeight="true" outlineLevel="0" collapsed="false">
      <c r="A71" s="96" t="n">
        <v>63</v>
      </c>
      <c r="B71" s="96"/>
      <c r="C71" s="96"/>
      <c r="D71" s="96"/>
      <c r="E71" s="96" t="s">
        <v>2167</v>
      </c>
      <c r="F71" s="105"/>
      <c r="G71" s="96"/>
      <c r="H71" s="98" t="s">
        <v>1931</v>
      </c>
      <c r="I71" s="98" t="s">
        <v>2168</v>
      </c>
      <c r="J71" s="98" t="s">
        <v>2169</v>
      </c>
      <c r="K71" s="98"/>
      <c r="L71" s="98" t="s">
        <v>2170</v>
      </c>
      <c r="M71" s="98" t="s">
        <v>2170</v>
      </c>
      <c r="N71" s="102" t="s">
        <v>163</v>
      </c>
      <c r="O71" s="102" t="s">
        <v>163</v>
      </c>
      <c r="P71" s="102" t="s">
        <v>163</v>
      </c>
      <c r="Q71" s="102" t="s">
        <v>163</v>
      </c>
      <c r="R71" s="98"/>
      <c r="S71" s="98"/>
      <c r="T71" s="98" t="s">
        <v>118</v>
      </c>
      <c r="U71" s="98"/>
      <c r="V71" s="98" t="s">
        <v>119</v>
      </c>
      <c r="W71" s="98" t="s">
        <v>119</v>
      </c>
      <c r="X71" s="225" t="s">
        <v>166</v>
      </c>
      <c r="Y71" s="67"/>
    </row>
    <row r="72" customFormat="false" ht="13.5" hidden="false" customHeight="true" outlineLevel="0" collapsed="false">
      <c r="A72" s="96" t="n">
        <v>64</v>
      </c>
      <c r="B72" s="96"/>
      <c r="C72" s="96"/>
      <c r="D72" s="96"/>
      <c r="E72" s="96" t="s">
        <v>1467</v>
      </c>
      <c r="F72" s="96"/>
      <c r="G72" s="96"/>
      <c r="H72" s="152" t="s">
        <v>1931</v>
      </c>
      <c r="I72" s="152" t="s">
        <v>2171</v>
      </c>
      <c r="J72" s="152" t="s">
        <v>1469</v>
      </c>
      <c r="K72" s="152"/>
      <c r="L72" s="152" t="s">
        <v>2172</v>
      </c>
      <c r="M72" s="152" t="s">
        <v>2172</v>
      </c>
      <c r="N72" s="102" t="s">
        <v>163</v>
      </c>
      <c r="O72" s="102" t="s">
        <v>163</v>
      </c>
      <c r="P72" s="102" t="s">
        <v>163</v>
      </c>
      <c r="Q72" s="102" t="s">
        <v>163</v>
      </c>
      <c r="R72" s="152"/>
      <c r="S72" s="152"/>
      <c r="T72" s="152" t="s">
        <v>118</v>
      </c>
      <c r="U72" s="152"/>
      <c r="V72" s="152" t="s">
        <v>119</v>
      </c>
      <c r="W72" s="152" t="s">
        <v>119</v>
      </c>
      <c r="X72" s="225" t="s">
        <v>166</v>
      </c>
      <c r="Y72" s="67"/>
    </row>
    <row r="73" customFormat="false" ht="13.5" hidden="false" customHeight="true" outlineLevel="0" collapsed="false">
      <c r="A73" s="96" t="n">
        <v>65</v>
      </c>
      <c r="B73" s="96"/>
      <c r="C73" s="96"/>
      <c r="D73" s="96"/>
      <c r="E73" s="96" t="s">
        <v>1438</v>
      </c>
      <c r="F73" s="96"/>
      <c r="G73" s="96"/>
      <c r="H73" s="98" t="s">
        <v>29</v>
      </c>
      <c r="I73" s="98"/>
      <c r="J73" s="228"/>
      <c r="K73" s="98"/>
      <c r="L73" s="98" t="s">
        <v>2173</v>
      </c>
      <c r="M73" s="98" t="s">
        <v>2173</v>
      </c>
      <c r="N73" s="229" t="s">
        <v>1247</v>
      </c>
      <c r="O73" s="229" t="s">
        <v>1247</v>
      </c>
      <c r="P73" s="168" t="s">
        <v>2174</v>
      </c>
      <c r="Q73" s="168" t="s">
        <v>2174</v>
      </c>
      <c r="R73" s="98"/>
      <c r="S73" s="98" t="s">
        <v>119</v>
      </c>
      <c r="T73" s="98" t="s">
        <v>1440</v>
      </c>
      <c r="U73" s="98"/>
      <c r="V73" s="98" t="s">
        <v>119</v>
      </c>
      <c r="W73" s="98" t="s">
        <v>119</v>
      </c>
      <c r="X73" s="225" t="s">
        <v>166</v>
      </c>
      <c r="Y73" s="67"/>
    </row>
    <row r="74" customFormat="false" ht="13.5" hidden="false" customHeight="true" outlineLevel="0" collapsed="false">
      <c r="A74" s="96" t="n">
        <v>66</v>
      </c>
      <c r="B74" s="96"/>
      <c r="C74" s="96"/>
      <c r="D74" s="96"/>
      <c r="E74" s="96"/>
      <c r="F74" s="96" t="s">
        <v>2175</v>
      </c>
      <c r="G74" s="96"/>
      <c r="H74" s="152" t="s">
        <v>2176</v>
      </c>
      <c r="I74" s="152" t="s">
        <v>2177</v>
      </c>
      <c r="J74" s="152" t="s">
        <v>2178</v>
      </c>
      <c r="K74" s="152" t="s">
        <v>119</v>
      </c>
      <c r="L74" s="152" t="s">
        <v>2179</v>
      </c>
      <c r="M74" s="152" t="s">
        <v>2179</v>
      </c>
      <c r="N74" s="224" t="s">
        <v>117</v>
      </c>
      <c r="O74" s="224" t="s">
        <v>117</v>
      </c>
      <c r="P74" s="224" t="s">
        <v>117</v>
      </c>
      <c r="Q74" s="224" t="s">
        <v>117</v>
      </c>
      <c r="R74" s="152"/>
      <c r="S74" s="152"/>
      <c r="T74" s="152" t="s">
        <v>1364</v>
      </c>
      <c r="U74" s="152"/>
      <c r="V74" s="152" t="s">
        <v>119</v>
      </c>
      <c r="W74" s="152" t="s">
        <v>119</v>
      </c>
      <c r="X74" s="225" t="s">
        <v>166</v>
      </c>
      <c r="Y74" s="67"/>
    </row>
    <row r="75" customFormat="false" ht="13.5" hidden="false" customHeight="true" outlineLevel="0" collapsed="false">
      <c r="A75" s="96" t="n">
        <v>67</v>
      </c>
      <c r="B75" s="96"/>
      <c r="C75" s="96"/>
      <c r="D75" s="96"/>
      <c r="E75" s="96"/>
      <c r="F75" s="96" t="s">
        <v>1445</v>
      </c>
      <c r="G75" s="96"/>
      <c r="H75" s="98" t="s">
        <v>2180</v>
      </c>
      <c r="I75" s="98" t="s">
        <v>2181</v>
      </c>
      <c r="J75" s="98" t="s">
        <v>2182</v>
      </c>
      <c r="K75" s="98" t="s">
        <v>119</v>
      </c>
      <c r="L75" s="98" t="s">
        <v>2183</v>
      </c>
      <c r="M75" s="98" t="s">
        <v>2183</v>
      </c>
      <c r="N75" s="224" t="s">
        <v>117</v>
      </c>
      <c r="O75" s="224" t="s">
        <v>117</v>
      </c>
      <c r="P75" s="224" t="s">
        <v>117</v>
      </c>
      <c r="Q75" s="224" t="s">
        <v>117</v>
      </c>
      <c r="R75" s="98"/>
      <c r="S75" s="98"/>
      <c r="T75" s="98" t="s">
        <v>1364</v>
      </c>
      <c r="U75" s="98"/>
      <c r="V75" s="98" t="s">
        <v>119</v>
      </c>
      <c r="W75" s="98" t="s">
        <v>119</v>
      </c>
      <c r="X75" s="230" t="s">
        <v>166</v>
      </c>
      <c r="Y75" s="67"/>
    </row>
    <row r="76" customFormat="false" ht="13.5" hidden="false" customHeight="true" outlineLevel="0" collapsed="false">
      <c r="A76" s="96" t="n">
        <v>68</v>
      </c>
      <c r="B76" s="96"/>
      <c r="C76" s="96"/>
      <c r="D76" s="96"/>
      <c r="E76" s="96"/>
      <c r="F76" s="96" t="s">
        <v>2184</v>
      </c>
      <c r="G76" s="96"/>
      <c r="H76" s="152" t="s">
        <v>2185</v>
      </c>
      <c r="I76" s="152" t="s">
        <v>2186</v>
      </c>
      <c r="J76" s="152" t="n">
        <v>1</v>
      </c>
      <c r="K76" s="152" t="s">
        <v>119</v>
      </c>
      <c r="L76" s="152" t="s">
        <v>2187</v>
      </c>
      <c r="M76" s="152" t="s">
        <v>2187</v>
      </c>
      <c r="N76" s="102" t="s">
        <v>163</v>
      </c>
      <c r="O76" s="102" t="s">
        <v>163</v>
      </c>
      <c r="P76" s="102" t="s">
        <v>163</v>
      </c>
      <c r="Q76" s="102" t="s">
        <v>163</v>
      </c>
      <c r="R76" s="152"/>
      <c r="S76" s="152"/>
      <c r="T76" s="152" t="s">
        <v>1364</v>
      </c>
      <c r="U76" s="152"/>
      <c r="V76" s="152" t="s">
        <v>119</v>
      </c>
      <c r="W76" s="152" t="s">
        <v>119</v>
      </c>
      <c r="X76" s="225" t="s">
        <v>166</v>
      </c>
      <c r="Y76" s="67"/>
    </row>
    <row r="77" customFormat="false" ht="13.5" hidden="false" customHeight="true" outlineLevel="0" collapsed="false">
      <c r="A77" s="96" t="n">
        <v>69</v>
      </c>
      <c r="B77" s="96"/>
      <c r="C77" s="96"/>
      <c r="D77" s="96"/>
      <c r="E77" s="96" t="s">
        <v>1663</v>
      </c>
      <c r="F77" s="96"/>
      <c r="G77" s="96"/>
      <c r="H77" s="98" t="s">
        <v>2188</v>
      </c>
      <c r="I77" s="98" t="s">
        <v>2189</v>
      </c>
      <c r="J77" s="98" t="s">
        <v>2190</v>
      </c>
      <c r="K77" s="98" t="s">
        <v>119</v>
      </c>
      <c r="L77" s="98" t="s">
        <v>2191</v>
      </c>
      <c r="M77" s="98" t="s">
        <v>2191</v>
      </c>
      <c r="N77" s="229" t="s">
        <v>1247</v>
      </c>
      <c r="O77" s="229" t="s">
        <v>1247</v>
      </c>
      <c r="P77" s="229" t="s">
        <v>1247</v>
      </c>
      <c r="Q77" s="229" t="s">
        <v>1247</v>
      </c>
      <c r="R77" s="98"/>
      <c r="S77" s="98"/>
      <c r="T77" s="98" t="s">
        <v>118</v>
      </c>
      <c r="U77" s="98"/>
      <c r="V77" s="98" t="s">
        <v>119</v>
      </c>
      <c r="W77" s="98" t="s">
        <v>119</v>
      </c>
      <c r="X77" s="225" t="s">
        <v>166</v>
      </c>
      <c r="Y77" s="67"/>
    </row>
    <row r="78" customFormat="false" ht="13.5" hidden="false" customHeight="true" outlineLevel="0" collapsed="false">
      <c r="A78" s="96" t="n">
        <v>70</v>
      </c>
      <c r="B78" s="96"/>
      <c r="C78" s="96" t="s">
        <v>2192</v>
      </c>
      <c r="D78" s="96"/>
      <c r="E78" s="96"/>
      <c r="F78" s="96"/>
      <c r="G78" s="96"/>
      <c r="H78" s="152" t="s">
        <v>1931</v>
      </c>
      <c r="I78" s="152" t="s">
        <v>2193</v>
      </c>
      <c r="J78" s="152" t="s">
        <v>2194</v>
      </c>
      <c r="K78" s="152"/>
      <c r="L78" s="152" t="s">
        <v>2195</v>
      </c>
      <c r="M78" s="152" t="s">
        <v>2195</v>
      </c>
      <c r="N78" s="102" t="s">
        <v>163</v>
      </c>
      <c r="O78" s="102" t="s">
        <v>163</v>
      </c>
      <c r="P78" s="227" t="s">
        <v>163</v>
      </c>
      <c r="Q78" s="227" t="s">
        <v>163</v>
      </c>
      <c r="R78" s="152"/>
      <c r="S78" s="152"/>
      <c r="T78" s="152" t="s">
        <v>118</v>
      </c>
      <c r="U78" s="152" t="s">
        <v>2196</v>
      </c>
      <c r="V78" s="152" t="s">
        <v>119</v>
      </c>
      <c r="W78" s="152" t="s">
        <v>119</v>
      </c>
      <c r="X78" s="225" t="s">
        <v>166</v>
      </c>
      <c r="Y78" s="67"/>
    </row>
    <row r="79" customFormat="false" ht="13.5" hidden="false" customHeight="true" outlineLevel="0" collapsed="false">
      <c r="A79" s="96" t="n">
        <v>71</v>
      </c>
      <c r="B79" s="96"/>
      <c r="C79" s="96" t="s">
        <v>1955</v>
      </c>
      <c r="D79" s="96"/>
      <c r="E79" s="96"/>
      <c r="F79" s="96"/>
      <c r="G79" s="96"/>
      <c r="H79" s="98" t="s">
        <v>1931</v>
      </c>
      <c r="I79" s="98" t="s">
        <v>2197</v>
      </c>
      <c r="J79" s="98" t="s">
        <v>2198</v>
      </c>
      <c r="K79" s="98" t="s">
        <v>119</v>
      </c>
      <c r="L79" s="98" t="s">
        <v>1959</v>
      </c>
      <c r="M79" s="98" t="s">
        <v>1959</v>
      </c>
      <c r="N79" s="102" t="s">
        <v>163</v>
      </c>
      <c r="O79" s="102" t="s">
        <v>163</v>
      </c>
      <c r="P79" s="102" t="s">
        <v>163</v>
      </c>
      <c r="Q79" s="102" t="s">
        <v>163</v>
      </c>
      <c r="R79" s="98"/>
      <c r="S79" s="98"/>
      <c r="T79" s="98" t="s">
        <v>118</v>
      </c>
      <c r="U79" s="98"/>
      <c r="V79" s="98" t="s">
        <v>119</v>
      </c>
      <c r="W79" s="98" t="s">
        <v>119</v>
      </c>
      <c r="X79" s="225" t="s">
        <v>166</v>
      </c>
      <c r="Y79" s="67"/>
    </row>
    <row r="80" customFormat="false" ht="13.5" hidden="false" customHeight="true" outlineLevel="0" collapsed="false">
      <c r="A80" s="96" t="n">
        <v>72</v>
      </c>
      <c r="B80" s="96" t="s">
        <v>2199</v>
      </c>
      <c r="C80" s="96"/>
      <c r="D80" s="96"/>
      <c r="E80" s="96"/>
      <c r="F80" s="96"/>
      <c r="G80" s="96"/>
      <c r="H80" s="152" t="s">
        <v>2200</v>
      </c>
      <c r="I80" s="152" t="s">
        <v>2201</v>
      </c>
      <c r="J80" s="228"/>
      <c r="K80" s="152"/>
      <c r="L80" s="152" t="s">
        <v>2202</v>
      </c>
      <c r="M80" s="152" t="s">
        <v>2202</v>
      </c>
      <c r="N80" s="229" t="s">
        <v>1247</v>
      </c>
      <c r="O80" s="229" t="s">
        <v>1247</v>
      </c>
      <c r="P80" s="229" t="s">
        <v>1247</v>
      </c>
      <c r="Q80" s="229" t="s">
        <v>1247</v>
      </c>
      <c r="R80" s="152"/>
      <c r="S80" s="152" t="s">
        <v>119</v>
      </c>
      <c r="T80" s="152" t="s">
        <v>2203</v>
      </c>
      <c r="U80" s="152"/>
      <c r="V80" s="152" t="s">
        <v>119</v>
      </c>
      <c r="W80" s="152" t="s">
        <v>119</v>
      </c>
      <c r="X80" s="230" t="s">
        <v>166</v>
      </c>
      <c r="Y80" s="67"/>
    </row>
    <row r="81" customFormat="false" ht="13.5" hidden="false" customHeight="true" outlineLevel="0" collapsed="false">
      <c r="A81" s="96" t="n">
        <v>73</v>
      </c>
      <c r="B81" s="96"/>
      <c r="C81" s="96" t="s">
        <v>1372</v>
      </c>
      <c r="D81" s="96"/>
      <c r="E81" s="96"/>
      <c r="F81" s="96"/>
      <c r="G81" s="96"/>
      <c r="H81" s="98" t="s">
        <v>2204</v>
      </c>
      <c r="I81" s="98" t="s">
        <v>2205</v>
      </c>
      <c r="J81" s="98" t="s">
        <v>2206</v>
      </c>
      <c r="K81" s="98" t="s">
        <v>119</v>
      </c>
      <c r="L81" s="98" t="s">
        <v>1987</v>
      </c>
      <c r="M81" s="98" t="s">
        <v>1987</v>
      </c>
      <c r="N81" s="224" t="s">
        <v>117</v>
      </c>
      <c r="O81" s="224" t="s">
        <v>117</v>
      </c>
      <c r="P81" s="224" t="s">
        <v>117</v>
      </c>
      <c r="Q81" s="224" t="s">
        <v>117</v>
      </c>
      <c r="R81" s="98"/>
      <c r="S81" s="98"/>
      <c r="T81" s="98" t="s">
        <v>118</v>
      </c>
      <c r="U81" s="98" t="s">
        <v>2207</v>
      </c>
      <c r="V81" s="98" t="s">
        <v>119</v>
      </c>
      <c r="W81" s="98" t="s">
        <v>119</v>
      </c>
      <c r="X81" s="225" t="s">
        <v>166</v>
      </c>
      <c r="Y81" s="67"/>
    </row>
    <row r="82" customFormat="false" ht="13.5" hidden="false" customHeight="true" outlineLevel="0" collapsed="false">
      <c r="A82" s="96" t="n">
        <v>74</v>
      </c>
      <c r="B82" s="96"/>
      <c r="C82" s="96" t="s">
        <v>1955</v>
      </c>
      <c r="D82" s="96"/>
      <c r="E82" s="96"/>
      <c r="F82" s="96"/>
      <c r="G82" s="96"/>
      <c r="H82" s="152" t="s">
        <v>2208</v>
      </c>
      <c r="I82" s="152" t="s">
        <v>2209</v>
      </c>
      <c r="J82" s="152" t="s">
        <v>2210</v>
      </c>
      <c r="K82" s="152" t="s">
        <v>119</v>
      </c>
      <c r="L82" s="152" t="s">
        <v>1959</v>
      </c>
      <c r="M82" s="152" t="s">
        <v>1959</v>
      </c>
      <c r="N82" s="102" t="s">
        <v>163</v>
      </c>
      <c r="O82" s="102" t="s">
        <v>163</v>
      </c>
      <c r="P82" s="102" t="s">
        <v>163</v>
      </c>
      <c r="Q82" s="102" t="s">
        <v>163</v>
      </c>
      <c r="R82" s="152"/>
      <c r="S82" s="152"/>
      <c r="T82" s="152" t="s">
        <v>118</v>
      </c>
      <c r="U82" s="152"/>
      <c r="V82" s="152" t="s">
        <v>119</v>
      </c>
      <c r="W82" s="152" t="s">
        <v>119</v>
      </c>
      <c r="X82" s="225" t="s">
        <v>166</v>
      </c>
      <c r="Y82" s="67"/>
    </row>
    <row r="83" customFormat="false" ht="13.5" hidden="false" customHeight="true" outlineLevel="0" collapsed="false">
      <c r="A83" s="96" t="n">
        <v>75</v>
      </c>
      <c r="B83" s="96"/>
      <c r="C83" s="96" t="s">
        <v>2211</v>
      </c>
      <c r="D83" s="96"/>
      <c r="E83" s="96"/>
      <c r="F83" s="96"/>
      <c r="G83" s="96"/>
      <c r="H83" s="98" t="s">
        <v>2212</v>
      </c>
      <c r="I83" s="98" t="s">
        <v>2213</v>
      </c>
      <c r="J83" s="98" t="s">
        <v>2214</v>
      </c>
      <c r="K83" s="98" t="s">
        <v>119</v>
      </c>
      <c r="L83" s="98" t="s">
        <v>94</v>
      </c>
      <c r="M83" s="98" t="s">
        <v>94</v>
      </c>
      <c r="N83" s="224" t="s">
        <v>117</v>
      </c>
      <c r="O83" s="102" t="s">
        <v>163</v>
      </c>
      <c r="P83" s="226" t="s">
        <v>117</v>
      </c>
      <c r="Q83" s="227" t="s">
        <v>163</v>
      </c>
      <c r="R83" s="98" t="s">
        <v>119</v>
      </c>
      <c r="S83" s="98"/>
      <c r="T83" s="98" t="s">
        <v>118</v>
      </c>
      <c r="U83" s="98"/>
      <c r="V83" s="98" t="s">
        <v>119</v>
      </c>
      <c r="W83" s="98" t="s">
        <v>119</v>
      </c>
      <c r="X83" s="225" t="s">
        <v>166</v>
      </c>
      <c r="Y83" s="67"/>
    </row>
    <row r="84" customFormat="false" ht="13.5" hidden="false" customHeight="true" outlineLevel="0" collapsed="false">
      <c r="A84" s="96" t="n">
        <v>76</v>
      </c>
      <c r="B84" s="96"/>
      <c r="C84" s="96" t="s">
        <v>2215</v>
      </c>
      <c r="D84" s="105"/>
      <c r="E84" s="96"/>
      <c r="F84" s="96"/>
      <c r="G84" s="96"/>
      <c r="H84" s="152" t="s">
        <v>2216</v>
      </c>
      <c r="I84" s="152" t="s">
        <v>2217</v>
      </c>
      <c r="J84" s="152" t="s">
        <v>2218</v>
      </c>
      <c r="K84" s="152" t="s">
        <v>119</v>
      </c>
      <c r="L84" s="152" t="s">
        <v>1966</v>
      </c>
      <c r="M84" s="152" t="s">
        <v>1966</v>
      </c>
      <c r="N84" s="102" t="s">
        <v>163</v>
      </c>
      <c r="O84" s="102" t="s">
        <v>163</v>
      </c>
      <c r="P84" s="102" t="s">
        <v>163</v>
      </c>
      <c r="Q84" s="102" t="s">
        <v>163</v>
      </c>
      <c r="R84" s="152"/>
      <c r="S84" s="152"/>
      <c r="T84" s="152" t="s">
        <v>118</v>
      </c>
      <c r="U84" s="152"/>
      <c r="V84" s="152" t="s">
        <v>119</v>
      </c>
      <c r="W84" s="152" t="s">
        <v>119</v>
      </c>
      <c r="X84" s="225" t="s">
        <v>166</v>
      </c>
      <c r="Y84" s="67"/>
    </row>
    <row r="85" customFormat="false" ht="13.5" hidden="false" customHeight="true" outlineLevel="0" collapsed="false">
      <c r="A85" s="96" t="n">
        <v>77</v>
      </c>
      <c r="B85" s="96"/>
      <c r="C85" s="96" t="s">
        <v>2219</v>
      </c>
      <c r="D85" s="96"/>
      <c r="E85" s="96"/>
      <c r="F85" s="96"/>
      <c r="G85" s="96"/>
      <c r="H85" s="98" t="s">
        <v>2220</v>
      </c>
      <c r="I85" s="98" t="s">
        <v>2221</v>
      </c>
      <c r="J85" s="98" t="s">
        <v>2222</v>
      </c>
      <c r="K85" s="98" t="s">
        <v>119</v>
      </c>
      <c r="L85" s="98" t="s">
        <v>1975</v>
      </c>
      <c r="M85" s="98" t="s">
        <v>1975</v>
      </c>
      <c r="N85" s="224" t="s">
        <v>117</v>
      </c>
      <c r="O85" s="102" t="s">
        <v>163</v>
      </c>
      <c r="P85" s="226" t="s">
        <v>117</v>
      </c>
      <c r="Q85" s="227" t="s">
        <v>163</v>
      </c>
      <c r="R85" s="98" t="s">
        <v>119</v>
      </c>
      <c r="S85" s="98"/>
      <c r="T85" s="98" t="s">
        <v>118</v>
      </c>
      <c r="U85" s="98"/>
      <c r="V85" s="98" t="s">
        <v>119</v>
      </c>
      <c r="W85" s="98" t="s">
        <v>119</v>
      </c>
      <c r="X85" s="230" t="s">
        <v>166</v>
      </c>
      <c r="Y85" s="67"/>
    </row>
    <row r="86" customFormat="false" ht="13.5" hidden="false" customHeight="true" outlineLevel="0" collapsed="false">
      <c r="A86" s="96" t="n">
        <v>78</v>
      </c>
      <c r="B86" s="96"/>
      <c r="C86" s="96" t="s">
        <v>2223</v>
      </c>
      <c r="D86" s="96"/>
      <c r="E86" s="96"/>
      <c r="F86" s="96"/>
      <c r="G86" s="96"/>
      <c r="H86" s="152" t="s">
        <v>2224</v>
      </c>
      <c r="I86" s="152" t="s">
        <v>2225</v>
      </c>
      <c r="J86" s="152" t="s">
        <v>2069</v>
      </c>
      <c r="K86" s="152" t="s">
        <v>119</v>
      </c>
      <c r="L86" s="152" t="s">
        <v>2070</v>
      </c>
      <c r="M86" s="152" t="s">
        <v>2070</v>
      </c>
      <c r="N86" s="224" t="s">
        <v>117</v>
      </c>
      <c r="O86" s="102" t="s">
        <v>163</v>
      </c>
      <c r="P86" s="102" t="s">
        <v>163</v>
      </c>
      <c r="Q86" s="102" t="s">
        <v>163</v>
      </c>
      <c r="R86" s="152"/>
      <c r="S86" s="152"/>
      <c r="T86" s="152" t="s">
        <v>118</v>
      </c>
      <c r="U86" s="152" t="s">
        <v>2226</v>
      </c>
      <c r="V86" s="152" t="s">
        <v>119</v>
      </c>
      <c r="W86" s="152" t="s">
        <v>119</v>
      </c>
      <c r="X86" s="225" t="s">
        <v>166</v>
      </c>
      <c r="Y86" s="67"/>
    </row>
    <row r="87" customFormat="false" ht="13.5" hidden="false" customHeight="true" outlineLevel="0" collapsed="false">
      <c r="A87" s="96" t="n">
        <v>79</v>
      </c>
      <c r="B87" s="96"/>
      <c r="C87" s="96" t="s">
        <v>2227</v>
      </c>
      <c r="D87" s="96"/>
      <c r="E87" s="96"/>
      <c r="F87" s="96"/>
      <c r="G87" s="96"/>
      <c r="H87" s="98" t="s">
        <v>2228</v>
      </c>
      <c r="I87" s="98" t="s">
        <v>2229</v>
      </c>
      <c r="J87" s="98" t="s">
        <v>2230</v>
      </c>
      <c r="K87" s="98" t="s">
        <v>119</v>
      </c>
      <c r="L87" s="98" t="s">
        <v>2231</v>
      </c>
      <c r="M87" s="98" t="s">
        <v>2231</v>
      </c>
      <c r="N87" s="102" t="s">
        <v>163</v>
      </c>
      <c r="O87" s="102" t="s">
        <v>163</v>
      </c>
      <c r="P87" s="226" t="s">
        <v>117</v>
      </c>
      <c r="Q87" s="227" t="s">
        <v>163</v>
      </c>
      <c r="R87" s="98" t="s">
        <v>119</v>
      </c>
      <c r="S87" s="98"/>
      <c r="T87" s="98" t="s">
        <v>134</v>
      </c>
      <c r="U87" s="98"/>
      <c r="V87" s="98" t="s">
        <v>119</v>
      </c>
      <c r="W87" s="98" t="s">
        <v>119</v>
      </c>
      <c r="X87" s="225" t="s">
        <v>166</v>
      </c>
      <c r="Y87" s="67"/>
    </row>
    <row r="88" customFormat="false" ht="13.5" hidden="false" customHeight="true" outlineLevel="0" collapsed="false">
      <c r="A88" s="96" t="n">
        <v>80</v>
      </c>
      <c r="B88" s="96"/>
      <c r="C88" s="96" t="s">
        <v>2232</v>
      </c>
      <c r="D88" s="96"/>
      <c r="E88" s="96"/>
      <c r="F88" s="96"/>
      <c r="G88" s="96"/>
      <c r="H88" s="152" t="s">
        <v>2233</v>
      </c>
      <c r="I88" s="152" t="s">
        <v>2234</v>
      </c>
      <c r="J88" s="152" t="s">
        <v>2235</v>
      </c>
      <c r="K88" s="152" t="s">
        <v>119</v>
      </c>
      <c r="L88" s="152" t="s">
        <v>2236</v>
      </c>
      <c r="M88" s="152" t="s">
        <v>2236</v>
      </c>
      <c r="N88" s="102" t="s">
        <v>163</v>
      </c>
      <c r="O88" s="102" t="s">
        <v>163</v>
      </c>
      <c r="P88" s="227" t="s">
        <v>163</v>
      </c>
      <c r="Q88" s="227" t="s">
        <v>163</v>
      </c>
      <c r="R88" s="152"/>
      <c r="S88" s="152"/>
      <c r="T88" s="152" t="s">
        <v>134</v>
      </c>
      <c r="U88" s="152"/>
      <c r="V88" s="152" t="s">
        <v>119</v>
      </c>
      <c r="W88" s="152" t="s">
        <v>119</v>
      </c>
      <c r="X88" s="225" t="s">
        <v>166</v>
      </c>
      <c r="Y88" s="67"/>
    </row>
    <row r="89" customFormat="false" ht="13.5" hidden="false" customHeight="true" outlineLevel="0" collapsed="false">
      <c r="A89" s="96" t="n">
        <v>81</v>
      </c>
      <c r="B89" s="96"/>
      <c r="C89" s="96" t="s">
        <v>2237</v>
      </c>
      <c r="D89" s="96"/>
      <c r="E89" s="96"/>
      <c r="F89" s="96"/>
      <c r="G89" s="96"/>
      <c r="H89" s="98" t="s">
        <v>2238</v>
      </c>
      <c r="I89" s="98" t="s">
        <v>2239</v>
      </c>
      <c r="J89" s="98" t="s">
        <v>2240</v>
      </c>
      <c r="K89" s="98" t="s">
        <v>119</v>
      </c>
      <c r="L89" s="98" t="s">
        <v>2241</v>
      </c>
      <c r="M89" s="98" t="s">
        <v>2241</v>
      </c>
      <c r="N89" s="229" t="s">
        <v>1247</v>
      </c>
      <c r="O89" s="229" t="s">
        <v>1247</v>
      </c>
      <c r="P89" s="229" t="s">
        <v>1247</v>
      </c>
      <c r="Q89" s="229" t="s">
        <v>1247</v>
      </c>
      <c r="R89" s="98"/>
      <c r="S89" s="98"/>
      <c r="T89" s="98" t="s">
        <v>118</v>
      </c>
      <c r="U89" s="98"/>
      <c r="V89" s="98" t="s">
        <v>119</v>
      </c>
      <c r="W89" s="98" t="s">
        <v>119</v>
      </c>
      <c r="X89" s="225" t="s">
        <v>166</v>
      </c>
      <c r="Y89" s="67"/>
    </row>
    <row r="90" customFormat="false" ht="13.5" hidden="false" customHeight="true" outlineLevel="0" collapsed="false">
      <c r="A90" s="222" t="n">
        <v>82</v>
      </c>
      <c r="B90" s="222"/>
      <c r="C90" s="222" t="s">
        <v>2242</v>
      </c>
      <c r="D90" s="222"/>
      <c r="E90" s="222"/>
      <c r="F90" s="222"/>
      <c r="G90" s="222"/>
      <c r="H90" s="152" t="s">
        <v>2243</v>
      </c>
      <c r="I90" s="152" t="s">
        <v>2244</v>
      </c>
      <c r="J90" s="152"/>
      <c r="K90" s="152" t="s">
        <v>119</v>
      </c>
      <c r="L90" s="152" t="s">
        <v>2245</v>
      </c>
      <c r="M90" s="152" t="s">
        <v>2245</v>
      </c>
      <c r="N90" s="229" t="s">
        <v>1247</v>
      </c>
      <c r="O90" s="229" t="s">
        <v>1247</v>
      </c>
      <c r="P90" s="229" t="s">
        <v>1247</v>
      </c>
      <c r="Q90" s="229" t="s">
        <v>1247</v>
      </c>
      <c r="R90" s="152"/>
      <c r="S90" s="152"/>
      <c r="T90" s="152" t="s">
        <v>118</v>
      </c>
      <c r="U90" s="152"/>
      <c r="V90" s="152" t="s">
        <v>119</v>
      </c>
      <c r="W90" s="152" t="s">
        <v>119</v>
      </c>
      <c r="X90" s="230" t="s">
        <v>166</v>
      </c>
      <c r="Y90" s="67"/>
    </row>
    <row r="91" customFormat="false" ht="13.5" hidden="false" customHeight="true" outlineLevel="0" collapsed="false">
      <c r="A91" s="222" t="n">
        <v>83</v>
      </c>
      <c r="B91" s="222"/>
      <c r="C91" s="222" t="s">
        <v>2246</v>
      </c>
      <c r="D91" s="222"/>
      <c r="E91" s="222"/>
      <c r="F91" s="222"/>
      <c r="G91" s="222"/>
      <c r="H91" s="98" t="s">
        <v>2247</v>
      </c>
      <c r="I91" s="98" t="s">
        <v>2248</v>
      </c>
      <c r="J91" s="98"/>
      <c r="K91" s="98" t="s">
        <v>119</v>
      </c>
      <c r="L91" s="98" t="s">
        <v>2249</v>
      </c>
      <c r="M91" s="98" t="s">
        <v>2249</v>
      </c>
      <c r="N91" s="229" t="s">
        <v>1247</v>
      </c>
      <c r="O91" s="229" t="s">
        <v>1247</v>
      </c>
      <c r="P91" s="229" t="s">
        <v>1247</v>
      </c>
      <c r="Q91" s="229" t="s">
        <v>1247</v>
      </c>
      <c r="R91" s="98"/>
      <c r="S91" s="98"/>
      <c r="T91" s="98" t="s">
        <v>118</v>
      </c>
      <c r="U91" s="98"/>
      <c r="V91" s="98" t="s">
        <v>119</v>
      </c>
      <c r="W91" s="98" t="s">
        <v>119</v>
      </c>
      <c r="X91" s="225" t="s">
        <v>166</v>
      </c>
      <c r="Y91" s="67"/>
    </row>
    <row r="92" customFormat="false" ht="13.5" hidden="false" customHeight="true" outlineLevel="0" collapsed="false">
      <c r="A92" s="222" t="n">
        <v>84</v>
      </c>
      <c r="B92" s="222"/>
      <c r="C92" s="222" t="s">
        <v>2250</v>
      </c>
      <c r="D92" s="222"/>
      <c r="E92" s="222"/>
      <c r="F92" s="222"/>
      <c r="G92" s="222"/>
      <c r="H92" s="152" t="s">
        <v>2251</v>
      </c>
      <c r="I92" s="152" t="s">
        <v>2252</v>
      </c>
      <c r="J92" s="152" t="s">
        <v>2253</v>
      </c>
      <c r="K92" s="152" t="s">
        <v>119</v>
      </c>
      <c r="L92" s="152" t="s">
        <v>2254</v>
      </c>
      <c r="M92" s="152" t="s">
        <v>2254</v>
      </c>
      <c r="N92" s="102" t="s">
        <v>163</v>
      </c>
      <c r="O92" s="102" t="s">
        <v>163</v>
      </c>
      <c r="P92" s="102" t="s">
        <v>163</v>
      </c>
      <c r="Q92" s="102" t="s">
        <v>163</v>
      </c>
      <c r="R92" s="152"/>
      <c r="S92" s="152"/>
      <c r="T92" s="152" t="s">
        <v>118</v>
      </c>
      <c r="U92" s="152"/>
      <c r="V92" s="152" t="s">
        <v>119</v>
      </c>
      <c r="W92" s="152" t="s">
        <v>119</v>
      </c>
      <c r="X92" s="225" t="s">
        <v>166</v>
      </c>
      <c r="Y92" s="67"/>
    </row>
    <row r="93" customFormat="false" ht="13.5" hidden="false" customHeight="true" outlineLevel="0" collapsed="false">
      <c r="A93" s="96" t="n">
        <v>85</v>
      </c>
      <c r="B93" s="96"/>
      <c r="C93" s="96" t="s">
        <v>2255</v>
      </c>
      <c r="D93" s="96" t="s">
        <v>2256</v>
      </c>
      <c r="E93" s="96"/>
      <c r="F93" s="96"/>
      <c r="G93" s="96"/>
      <c r="H93" s="98" t="s">
        <v>2257</v>
      </c>
      <c r="I93" s="98" t="s">
        <v>2154</v>
      </c>
      <c r="J93" s="228"/>
      <c r="K93" s="98" t="s">
        <v>119</v>
      </c>
      <c r="L93" s="98" t="s">
        <v>2155</v>
      </c>
      <c r="M93" s="98" t="s">
        <v>2155</v>
      </c>
      <c r="N93" s="102" t="s">
        <v>163</v>
      </c>
      <c r="O93" s="102" t="s">
        <v>163</v>
      </c>
      <c r="P93" s="227" t="s">
        <v>163</v>
      </c>
      <c r="Q93" s="227" t="s">
        <v>163</v>
      </c>
      <c r="R93" s="98"/>
      <c r="S93" s="98" t="s">
        <v>119</v>
      </c>
      <c r="T93" s="98" t="s">
        <v>2156</v>
      </c>
      <c r="U93" s="98"/>
      <c r="V93" s="98" t="s">
        <v>119</v>
      </c>
      <c r="W93" s="98" t="s">
        <v>119</v>
      </c>
      <c r="X93" s="225" t="s">
        <v>166</v>
      </c>
      <c r="Y93" s="67"/>
    </row>
    <row r="94" customFormat="false" ht="13.5" hidden="false" customHeight="true" outlineLevel="0" collapsed="false">
      <c r="A94" s="96" t="n">
        <v>86</v>
      </c>
      <c r="B94" s="96"/>
      <c r="C94" s="96" t="s">
        <v>2258</v>
      </c>
      <c r="D94" s="96"/>
      <c r="E94" s="96"/>
      <c r="F94" s="96"/>
      <c r="G94" s="96"/>
      <c r="H94" s="152" t="s">
        <v>2259</v>
      </c>
      <c r="I94" s="152" t="s">
        <v>2260</v>
      </c>
      <c r="J94" s="152" t="n">
        <v>5</v>
      </c>
      <c r="K94" s="152" t="s">
        <v>119</v>
      </c>
      <c r="L94" s="152" t="s">
        <v>2261</v>
      </c>
      <c r="M94" s="152" t="s">
        <v>2261</v>
      </c>
      <c r="N94" s="102" t="s">
        <v>163</v>
      </c>
      <c r="O94" s="102" t="s">
        <v>163</v>
      </c>
      <c r="P94" s="102" t="s">
        <v>163</v>
      </c>
      <c r="Q94" s="102" t="s">
        <v>163</v>
      </c>
      <c r="R94" s="152"/>
      <c r="S94" s="152"/>
      <c r="T94" s="152" t="s">
        <v>118</v>
      </c>
      <c r="U94" s="152" t="s">
        <v>2262</v>
      </c>
      <c r="V94" s="152" t="s">
        <v>119</v>
      </c>
      <c r="W94" s="152" t="s">
        <v>119</v>
      </c>
      <c r="X94" s="225" t="s">
        <v>166</v>
      </c>
      <c r="Y94" s="67"/>
    </row>
    <row r="95" customFormat="false" ht="13.5" hidden="false" customHeight="true" outlineLevel="0" collapsed="false">
      <c r="A95" s="100" t="n">
        <v>87</v>
      </c>
      <c r="B95" s="100" t="s">
        <v>2263</v>
      </c>
      <c r="C95" s="233"/>
      <c r="D95" s="233"/>
      <c r="E95" s="233"/>
      <c r="F95" s="233"/>
      <c r="G95" s="233"/>
      <c r="H95" s="98" t="s">
        <v>2264</v>
      </c>
      <c r="I95" s="98" t="s">
        <v>2265</v>
      </c>
      <c r="J95" s="228"/>
      <c r="K95" s="98"/>
      <c r="L95" s="98" t="s">
        <v>2266</v>
      </c>
      <c r="M95" s="98" t="s">
        <v>2266</v>
      </c>
      <c r="N95" s="229" t="s">
        <v>1247</v>
      </c>
      <c r="O95" s="229" t="s">
        <v>1247</v>
      </c>
      <c r="P95" s="98"/>
      <c r="Q95" s="236" t="s">
        <v>1247</v>
      </c>
      <c r="R95" s="98"/>
      <c r="S95" s="98" t="s">
        <v>119</v>
      </c>
      <c r="T95" s="98" t="s">
        <v>2267</v>
      </c>
      <c r="U95" s="98"/>
      <c r="V95" s="98" t="s">
        <v>119</v>
      </c>
      <c r="W95" s="98" t="s">
        <v>119</v>
      </c>
      <c r="X95" s="230" t="s">
        <v>166</v>
      </c>
      <c r="Y95" s="67"/>
    </row>
    <row r="96" customFormat="false" ht="13.5" hidden="false" customHeight="true" outlineLevel="0" collapsed="false">
      <c r="A96" s="237" t="n">
        <v>88</v>
      </c>
      <c r="B96" s="237"/>
      <c r="C96" s="237" t="s">
        <v>2268</v>
      </c>
      <c r="D96" s="237"/>
      <c r="E96" s="237"/>
      <c r="F96" s="237"/>
      <c r="G96" s="237"/>
      <c r="H96" s="152" t="s">
        <v>2269</v>
      </c>
      <c r="I96" s="152" t="s">
        <v>2270</v>
      </c>
      <c r="J96" s="228"/>
      <c r="K96" s="152" t="s">
        <v>119</v>
      </c>
      <c r="L96" s="152" t="s">
        <v>2271</v>
      </c>
      <c r="M96" s="152" t="s">
        <v>2271</v>
      </c>
      <c r="N96" s="224" t="s">
        <v>117</v>
      </c>
      <c r="O96" s="224" t="s">
        <v>117</v>
      </c>
      <c r="P96" s="152"/>
      <c r="Q96" s="238" t="s">
        <v>117</v>
      </c>
      <c r="R96" s="152"/>
      <c r="S96" s="152" t="s">
        <v>119</v>
      </c>
      <c r="T96" s="152" t="s">
        <v>2272</v>
      </c>
      <c r="U96" s="152"/>
      <c r="V96" s="152" t="s">
        <v>119</v>
      </c>
      <c r="W96" s="152" t="s">
        <v>119</v>
      </c>
      <c r="X96" s="225" t="s">
        <v>166</v>
      </c>
      <c r="Y96" s="67"/>
    </row>
    <row r="97" customFormat="false" ht="13.5" hidden="false" customHeight="true" outlineLevel="0" collapsed="false">
      <c r="A97" s="237" t="n">
        <v>89</v>
      </c>
      <c r="B97" s="237"/>
      <c r="C97" s="237"/>
      <c r="D97" s="237" t="s">
        <v>2273</v>
      </c>
      <c r="E97" s="239"/>
      <c r="F97" s="237"/>
      <c r="G97" s="237"/>
      <c r="H97" s="98" t="s">
        <v>2274</v>
      </c>
      <c r="I97" s="98" t="s">
        <v>2275</v>
      </c>
      <c r="J97" s="98" t="s">
        <v>2276</v>
      </c>
      <c r="K97" s="98"/>
      <c r="L97" s="98" t="s">
        <v>2277</v>
      </c>
      <c r="M97" s="98" t="s">
        <v>2277</v>
      </c>
      <c r="N97" s="98" t="s">
        <v>148</v>
      </c>
      <c r="O97" s="98" t="s">
        <v>148</v>
      </c>
      <c r="P97" s="98"/>
      <c r="Q97" s="240" t="s">
        <v>148</v>
      </c>
      <c r="R97" s="98"/>
      <c r="S97" s="98"/>
      <c r="T97" s="98" t="s">
        <v>118</v>
      </c>
      <c r="U97" s="98" t="s">
        <v>2278</v>
      </c>
      <c r="V97" s="98" t="s">
        <v>119</v>
      </c>
      <c r="W97" s="98" t="s">
        <v>119</v>
      </c>
      <c r="X97" s="225" t="s">
        <v>166</v>
      </c>
      <c r="Y97" s="67"/>
    </row>
    <row r="98" customFormat="false" ht="13.5" hidden="false" customHeight="true" outlineLevel="0" collapsed="false">
      <c r="A98" s="103" t="n">
        <v>90</v>
      </c>
      <c r="B98" s="103"/>
      <c r="C98" s="103"/>
      <c r="D98" s="103" t="s">
        <v>2279</v>
      </c>
      <c r="E98" s="103"/>
      <c r="F98" s="103"/>
      <c r="G98" s="103"/>
      <c r="H98" s="152" t="s">
        <v>2280</v>
      </c>
      <c r="I98" s="152" t="s">
        <v>2281</v>
      </c>
      <c r="J98" s="152"/>
      <c r="K98" s="152"/>
      <c r="L98" s="152" t="s">
        <v>2282</v>
      </c>
      <c r="M98" s="152" t="s">
        <v>2282</v>
      </c>
      <c r="N98" s="229" t="s">
        <v>1247</v>
      </c>
      <c r="O98" s="229" t="s">
        <v>1247</v>
      </c>
      <c r="P98" s="232"/>
      <c r="Q98" s="236" t="s">
        <v>1247</v>
      </c>
      <c r="R98" s="152"/>
      <c r="S98" s="152"/>
      <c r="T98" s="152" t="s">
        <v>118</v>
      </c>
      <c r="U98" s="152" t="s">
        <v>2283</v>
      </c>
      <c r="V98" s="152" t="s">
        <v>119</v>
      </c>
      <c r="W98" s="152" t="s">
        <v>119</v>
      </c>
      <c r="X98" s="225" t="s">
        <v>166</v>
      </c>
      <c r="Y98" s="67"/>
    </row>
    <row r="99" customFormat="false" ht="13.5" hidden="false" customHeight="true" outlineLevel="0" collapsed="false">
      <c r="A99" s="100" t="n">
        <v>91</v>
      </c>
      <c r="B99" s="100"/>
      <c r="C99" s="100"/>
      <c r="D99" s="100" t="s">
        <v>2284</v>
      </c>
      <c r="E99" s="100"/>
      <c r="F99" s="100"/>
      <c r="G99" s="100"/>
      <c r="H99" s="98" t="s">
        <v>2285</v>
      </c>
      <c r="I99" s="98" t="s">
        <v>2286</v>
      </c>
      <c r="J99" s="98"/>
      <c r="K99" s="98"/>
      <c r="L99" s="98" t="s">
        <v>2287</v>
      </c>
      <c r="M99" s="98" t="s">
        <v>2287</v>
      </c>
      <c r="N99" s="229" t="s">
        <v>1247</v>
      </c>
      <c r="O99" s="229" t="s">
        <v>1247</v>
      </c>
      <c r="P99" s="98"/>
      <c r="Q99" s="236" t="s">
        <v>1247</v>
      </c>
      <c r="R99" s="98"/>
      <c r="S99" s="98"/>
      <c r="T99" s="98" t="s">
        <v>118</v>
      </c>
      <c r="U99" s="98"/>
      <c r="V99" s="98" t="s">
        <v>119</v>
      </c>
      <c r="W99" s="98" t="s">
        <v>119</v>
      </c>
      <c r="X99" s="225" t="s">
        <v>166</v>
      </c>
      <c r="Y99" s="67"/>
    </row>
    <row r="100" customFormat="false" ht="13.5" hidden="false" customHeight="true" outlineLevel="0" collapsed="false">
      <c r="A100" s="237" t="n">
        <v>92</v>
      </c>
      <c r="B100" s="237"/>
      <c r="C100" s="237" t="s">
        <v>2288</v>
      </c>
      <c r="D100" s="237"/>
      <c r="E100" s="237"/>
      <c r="F100" s="237"/>
      <c r="G100" s="237"/>
      <c r="H100" s="152" t="s">
        <v>2289</v>
      </c>
      <c r="I100" s="152" t="s">
        <v>2290</v>
      </c>
      <c r="J100" s="152" t="s">
        <v>2240</v>
      </c>
      <c r="K100" s="152" t="s">
        <v>119</v>
      </c>
      <c r="L100" s="152" t="s">
        <v>94</v>
      </c>
      <c r="M100" s="152" t="s">
        <v>94</v>
      </c>
      <c r="N100" s="224" t="s">
        <v>117</v>
      </c>
      <c r="O100" s="102" t="s">
        <v>163</v>
      </c>
      <c r="P100" s="152"/>
      <c r="Q100" s="241" t="s">
        <v>163</v>
      </c>
      <c r="R100" s="152"/>
      <c r="S100" s="152"/>
      <c r="T100" s="152" t="s">
        <v>118</v>
      </c>
      <c r="U100" s="152" t="s">
        <v>2291</v>
      </c>
      <c r="V100" s="152" t="s">
        <v>119</v>
      </c>
      <c r="W100" s="152" t="s">
        <v>119</v>
      </c>
      <c r="X100" s="230" t="s">
        <v>166</v>
      </c>
      <c r="Y100" s="67"/>
    </row>
    <row r="101" customFormat="false" ht="13.5" hidden="false" customHeight="true" outlineLevel="0" collapsed="false">
      <c r="A101" s="237" t="n">
        <v>93</v>
      </c>
      <c r="B101" s="237"/>
      <c r="C101" s="237" t="s">
        <v>2215</v>
      </c>
      <c r="D101" s="239"/>
      <c r="E101" s="237"/>
      <c r="F101" s="237"/>
      <c r="G101" s="237"/>
      <c r="H101" s="98" t="s">
        <v>2292</v>
      </c>
      <c r="I101" s="98" t="s">
        <v>2293</v>
      </c>
      <c r="J101" s="98" t="s">
        <v>2218</v>
      </c>
      <c r="K101" s="98" t="s">
        <v>119</v>
      </c>
      <c r="L101" s="98" t="s">
        <v>1966</v>
      </c>
      <c r="M101" s="98" t="s">
        <v>1966</v>
      </c>
      <c r="N101" s="102" t="s">
        <v>163</v>
      </c>
      <c r="O101" s="102" t="s">
        <v>163</v>
      </c>
      <c r="P101" s="98"/>
      <c r="Q101" s="241" t="s">
        <v>163</v>
      </c>
      <c r="R101" s="98"/>
      <c r="S101" s="98"/>
      <c r="T101" s="98" t="s">
        <v>118</v>
      </c>
      <c r="U101" s="98"/>
      <c r="V101" s="98" t="s">
        <v>119</v>
      </c>
      <c r="W101" s="98" t="s">
        <v>119</v>
      </c>
      <c r="X101" s="225" t="s">
        <v>166</v>
      </c>
      <c r="Y101" s="67"/>
    </row>
    <row r="102" customFormat="false" ht="13.5" hidden="false" customHeight="true" outlineLevel="0" collapsed="false">
      <c r="A102" s="237" t="n">
        <v>94</v>
      </c>
      <c r="B102" s="237"/>
      <c r="C102" s="237" t="s">
        <v>2294</v>
      </c>
      <c r="D102" s="237"/>
      <c r="E102" s="237"/>
      <c r="F102" s="237"/>
      <c r="G102" s="237"/>
      <c r="H102" s="152" t="s">
        <v>2295</v>
      </c>
      <c r="I102" s="152" t="s">
        <v>2296</v>
      </c>
      <c r="J102" s="152" t="s">
        <v>2297</v>
      </c>
      <c r="K102" s="152" t="s">
        <v>119</v>
      </c>
      <c r="L102" s="152" t="s">
        <v>1975</v>
      </c>
      <c r="M102" s="152" t="s">
        <v>1975</v>
      </c>
      <c r="N102" s="224" t="s">
        <v>117</v>
      </c>
      <c r="O102" s="102" t="s">
        <v>163</v>
      </c>
      <c r="P102" s="152"/>
      <c r="Q102" s="241" t="s">
        <v>163</v>
      </c>
      <c r="R102" s="152"/>
      <c r="S102" s="152"/>
      <c r="T102" s="152" t="s">
        <v>118</v>
      </c>
      <c r="U102" s="152"/>
      <c r="V102" s="152" t="s">
        <v>119</v>
      </c>
      <c r="W102" s="152" t="s">
        <v>119</v>
      </c>
      <c r="X102" s="225" t="s">
        <v>166</v>
      </c>
      <c r="Y102" s="67"/>
    </row>
    <row r="103" customFormat="false" ht="13.5" hidden="false" customHeight="true" outlineLevel="0" collapsed="false">
      <c r="A103" s="237" t="n">
        <v>95</v>
      </c>
      <c r="B103" s="237"/>
      <c r="C103" s="237" t="s">
        <v>2298</v>
      </c>
      <c r="D103" s="237"/>
      <c r="E103" s="237"/>
      <c r="F103" s="237"/>
      <c r="G103" s="237"/>
      <c r="H103" s="98" t="s">
        <v>2299</v>
      </c>
      <c r="I103" s="98"/>
      <c r="J103" s="98"/>
      <c r="K103" s="98" t="s">
        <v>119</v>
      </c>
      <c r="L103" s="98" t="s">
        <v>1959</v>
      </c>
      <c r="M103" s="98" t="s">
        <v>1959</v>
      </c>
      <c r="N103" s="102" t="s">
        <v>163</v>
      </c>
      <c r="O103" s="102" t="s">
        <v>163</v>
      </c>
      <c r="P103" s="168"/>
      <c r="Q103" s="241" t="s">
        <v>163</v>
      </c>
      <c r="R103" s="98"/>
      <c r="S103" s="98"/>
      <c r="T103" s="98" t="s">
        <v>118</v>
      </c>
      <c r="U103" s="98"/>
      <c r="V103" s="98" t="s">
        <v>119</v>
      </c>
      <c r="W103" s="98" t="s">
        <v>119</v>
      </c>
      <c r="X103" s="225" t="s">
        <v>166</v>
      </c>
      <c r="Y103" s="67"/>
    </row>
    <row r="104" customFormat="false" ht="13.5" hidden="false" customHeight="true" outlineLevel="0" collapsed="false">
      <c r="A104" s="237" t="n">
        <v>96</v>
      </c>
      <c r="B104" s="237"/>
      <c r="C104" s="237" t="s">
        <v>2300</v>
      </c>
      <c r="D104" s="237"/>
      <c r="E104" s="237"/>
      <c r="F104" s="237"/>
      <c r="G104" s="237"/>
      <c r="H104" s="152" t="s">
        <v>2301</v>
      </c>
      <c r="I104" s="152" t="s">
        <v>2302</v>
      </c>
      <c r="J104" s="228"/>
      <c r="K104" s="152" t="s">
        <v>119</v>
      </c>
      <c r="L104" s="152" t="s">
        <v>2303</v>
      </c>
      <c r="M104" s="152" t="s">
        <v>2303</v>
      </c>
      <c r="N104" s="229" t="s">
        <v>1247</v>
      </c>
      <c r="O104" s="229" t="s">
        <v>1247</v>
      </c>
      <c r="P104" s="152"/>
      <c r="Q104" s="236" t="s">
        <v>1247</v>
      </c>
      <c r="R104" s="152"/>
      <c r="S104" s="152" t="s">
        <v>119</v>
      </c>
      <c r="T104" s="152" t="s">
        <v>2304</v>
      </c>
      <c r="U104" s="152"/>
      <c r="V104" s="152" t="s">
        <v>119</v>
      </c>
      <c r="W104" s="152" t="s">
        <v>119</v>
      </c>
      <c r="X104" s="225" t="s">
        <v>166</v>
      </c>
      <c r="Y104" s="67"/>
    </row>
    <row r="105" customFormat="false" ht="13.5" hidden="false" customHeight="true" outlineLevel="0" collapsed="false">
      <c r="A105" s="237" t="n">
        <v>97</v>
      </c>
      <c r="B105" s="237"/>
      <c r="C105" s="237"/>
      <c r="D105" s="237" t="s">
        <v>2305</v>
      </c>
      <c r="E105" s="239"/>
      <c r="F105" s="237"/>
      <c r="G105" s="237"/>
      <c r="H105" s="98" t="s">
        <v>2306</v>
      </c>
      <c r="I105" s="98" t="s">
        <v>2307</v>
      </c>
      <c r="J105" s="98" t="s">
        <v>2308</v>
      </c>
      <c r="K105" s="98" t="s">
        <v>119</v>
      </c>
      <c r="L105" s="98" t="s">
        <v>2100</v>
      </c>
      <c r="M105" s="98" t="s">
        <v>2100</v>
      </c>
      <c r="N105" s="102" t="s">
        <v>163</v>
      </c>
      <c r="O105" s="102" t="s">
        <v>163</v>
      </c>
      <c r="P105" s="98"/>
      <c r="Q105" s="241" t="s">
        <v>163</v>
      </c>
      <c r="R105" s="98"/>
      <c r="S105" s="98"/>
      <c r="T105" s="98" t="s">
        <v>134</v>
      </c>
      <c r="U105" s="98"/>
      <c r="V105" s="98" t="s">
        <v>119</v>
      </c>
      <c r="W105" s="98" t="s">
        <v>119</v>
      </c>
      <c r="X105" s="230" t="s">
        <v>166</v>
      </c>
      <c r="Y105" s="67"/>
    </row>
    <row r="106" customFormat="false" ht="13.5" hidden="false" customHeight="true" outlineLevel="0" collapsed="false">
      <c r="A106" s="237" t="n">
        <v>98</v>
      </c>
      <c r="B106" s="237"/>
      <c r="C106" s="237"/>
      <c r="D106" s="237" t="s">
        <v>2027</v>
      </c>
      <c r="E106" s="237"/>
      <c r="F106" s="237"/>
      <c r="G106" s="237"/>
      <c r="H106" s="152" t="s">
        <v>2309</v>
      </c>
      <c r="I106" s="152" t="s">
        <v>2310</v>
      </c>
      <c r="J106" s="152" t="s">
        <v>2311</v>
      </c>
      <c r="K106" s="152" t="s">
        <v>119</v>
      </c>
      <c r="L106" s="152" t="s">
        <v>1987</v>
      </c>
      <c r="M106" s="152" t="s">
        <v>1987</v>
      </c>
      <c r="N106" s="224" t="s">
        <v>117</v>
      </c>
      <c r="O106" s="224" t="s">
        <v>117</v>
      </c>
      <c r="P106" s="152"/>
      <c r="Q106" s="238" t="s">
        <v>117</v>
      </c>
      <c r="R106" s="152"/>
      <c r="S106" s="152"/>
      <c r="T106" s="152" t="s">
        <v>118</v>
      </c>
      <c r="U106" s="152" t="s">
        <v>2312</v>
      </c>
      <c r="V106" s="152" t="s">
        <v>119</v>
      </c>
      <c r="W106" s="152" t="s">
        <v>119</v>
      </c>
      <c r="X106" s="225" t="s">
        <v>166</v>
      </c>
      <c r="Y106" s="169"/>
    </row>
    <row r="107" customFormat="false" ht="13.5" hidden="false" customHeight="true" outlineLevel="0" collapsed="false">
      <c r="A107" s="237" t="n">
        <v>99</v>
      </c>
      <c r="B107" s="237"/>
      <c r="C107" s="237"/>
      <c r="D107" s="237" t="s">
        <v>1980</v>
      </c>
      <c r="E107" s="237"/>
      <c r="F107" s="237"/>
      <c r="G107" s="237"/>
      <c r="H107" s="98" t="s">
        <v>2313</v>
      </c>
      <c r="I107" s="98"/>
      <c r="J107" s="98" t="s">
        <v>2314</v>
      </c>
      <c r="K107" s="98" t="s">
        <v>119</v>
      </c>
      <c r="L107" s="98" t="s">
        <v>1959</v>
      </c>
      <c r="M107" s="98" t="s">
        <v>1959</v>
      </c>
      <c r="N107" s="102" t="s">
        <v>163</v>
      </c>
      <c r="O107" s="102" t="s">
        <v>163</v>
      </c>
      <c r="P107" s="98"/>
      <c r="Q107" s="241" t="s">
        <v>163</v>
      </c>
      <c r="R107" s="98"/>
      <c r="S107" s="98"/>
      <c r="T107" s="98" t="s">
        <v>118</v>
      </c>
      <c r="U107" s="98"/>
      <c r="V107" s="98" t="s">
        <v>119</v>
      </c>
      <c r="W107" s="98" t="s">
        <v>119</v>
      </c>
      <c r="X107" s="225" t="s">
        <v>166</v>
      </c>
      <c r="Y107" s="67"/>
    </row>
    <row r="108" customFormat="false" ht="13.5" hidden="false" customHeight="true" outlineLevel="0" collapsed="false">
      <c r="A108" s="237" t="n">
        <v>100</v>
      </c>
      <c r="B108" s="237"/>
      <c r="C108" s="237"/>
      <c r="D108" s="237" t="s">
        <v>2315</v>
      </c>
      <c r="E108" s="237"/>
      <c r="F108" s="237"/>
      <c r="G108" s="237"/>
      <c r="H108" s="152" t="s">
        <v>2316</v>
      </c>
      <c r="I108" s="152" t="s">
        <v>2317</v>
      </c>
      <c r="J108" s="152"/>
      <c r="K108" s="152"/>
      <c r="L108" s="152" t="s">
        <v>94</v>
      </c>
      <c r="M108" s="152" t="s">
        <v>94</v>
      </c>
      <c r="N108" s="102" t="s">
        <v>163</v>
      </c>
      <c r="O108" s="102" t="s">
        <v>163</v>
      </c>
      <c r="P108" s="232"/>
      <c r="Q108" s="241" t="s">
        <v>163</v>
      </c>
      <c r="R108" s="152"/>
      <c r="S108" s="152"/>
      <c r="T108" s="152" t="s">
        <v>118</v>
      </c>
      <c r="U108" s="152"/>
      <c r="V108" s="152" t="s">
        <v>119</v>
      </c>
      <c r="W108" s="152" t="s">
        <v>119</v>
      </c>
      <c r="X108" s="225" t="s">
        <v>166</v>
      </c>
      <c r="Y108" s="67"/>
    </row>
    <row r="109" customFormat="false" ht="13.5" hidden="false" customHeight="true" outlineLevel="0" collapsed="false">
      <c r="A109" s="237" t="n">
        <v>101</v>
      </c>
      <c r="B109" s="237"/>
      <c r="C109" s="237"/>
      <c r="D109" s="237" t="s">
        <v>2318</v>
      </c>
      <c r="E109" s="239" t="s">
        <v>2256</v>
      </c>
      <c r="F109" s="237"/>
      <c r="G109" s="237"/>
      <c r="H109" s="98" t="s">
        <v>2319</v>
      </c>
      <c r="I109" s="98" t="s">
        <v>2320</v>
      </c>
      <c r="J109" s="228"/>
      <c r="K109" s="98" t="s">
        <v>119</v>
      </c>
      <c r="L109" s="98" t="s">
        <v>2155</v>
      </c>
      <c r="M109" s="98" t="s">
        <v>2155</v>
      </c>
      <c r="N109" s="229" t="s">
        <v>1247</v>
      </c>
      <c r="O109" s="229" t="s">
        <v>1247</v>
      </c>
      <c r="P109" s="98"/>
      <c r="Q109" s="236" t="s">
        <v>1247</v>
      </c>
      <c r="R109" s="98"/>
      <c r="S109" s="98" t="s">
        <v>119</v>
      </c>
      <c r="T109" s="98" t="s">
        <v>2156</v>
      </c>
      <c r="U109" s="98"/>
      <c r="V109" s="98" t="s">
        <v>119</v>
      </c>
      <c r="W109" s="98" t="s">
        <v>119</v>
      </c>
      <c r="X109" s="225" t="s">
        <v>166</v>
      </c>
      <c r="Y109" s="67"/>
    </row>
    <row r="110" customFormat="false" ht="13.5" hidden="false" customHeight="true" outlineLevel="0" collapsed="false">
      <c r="A110" s="103" t="n">
        <v>102</v>
      </c>
      <c r="B110" s="103"/>
      <c r="C110" s="103" t="s">
        <v>2321</v>
      </c>
      <c r="D110" s="103"/>
      <c r="E110" s="103"/>
      <c r="F110" s="103"/>
      <c r="G110" s="103"/>
      <c r="H110" s="152" t="s">
        <v>2322</v>
      </c>
      <c r="I110" s="152" t="s">
        <v>2323</v>
      </c>
      <c r="J110" s="152" t="n">
        <v>1</v>
      </c>
      <c r="K110" s="152"/>
      <c r="L110" s="152" t="s">
        <v>2324</v>
      </c>
      <c r="M110" s="152" t="s">
        <v>2324</v>
      </c>
      <c r="N110" s="102" t="s">
        <v>163</v>
      </c>
      <c r="O110" s="102" t="s">
        <v>163</v>
      </c>
      <c r="P110" s="152"/>
      <c r="Q110" s="241" t="s">
        <v>163</v>
      </c>
      <c r="R110" s="152"/>
      <c r="S110" s="152"/>
      <c r="T110" s="152" t="s">
        <v>1364</v>
      </c>
      <c r="U110" s="152"/>
      <c r="V110" s="152" t="s">
        <v>119</v>
      </c>
      <c r="W110" s="152" t="s">
        <v>119</v>
      </c>
      <c r="X110" s="230" t="s">
        <v>166</v>
      </c>
      <c r="Y110" s="67"/>
    </row>
    <row r="111" customFormat="false" ht="13.5" hidden="false" customHeight="true" outlineLevel="0" collapsed="false">
      <c r="A111" s="100" t="n">
        <v>103</v>
      </c>
      <c r="B111" s="100"/>
      <c r="C111" s="100" t="s">
        <v>2325</v>
      </c>
      <c r="D111" s="234"/>
      <c r="E111" s="100"/>
      <c r="F111" s="100"/>
      <c r="G111" s="100"/>
      <c r="H111" s="98" t="s">
        <v>2326</v>
      </c>
      <c r="I111" s="98" t="s">
        <v>2327</v>
      </c>
      <c r="J111" s="98"/>
      <c r="K111" s="98"/>
      <c r="L111" s="98" t="s">
        <v>2328</v>
      </c>
      <c r="M111" s="98" t="s">
        <v>2328</v>
      </c>
      <c r="N111" s="102" t="s">
        <v>163</v>
      </c>
      <c r="O111" s="102" t="s">
        <v>163</v>
      </c>
      <c r="P111" s="98"/>
      <c r="Q111" s="241" t="s">
        <v>163</v>
      </c>
      <c r="R111" s="98"/>
      <c r="S111" s="98"/>
      <c r="T111" s="98" t="s">
        <v>118</v>
      </c>
      <c r="U111" s="98" t="s">
        <v>2329</v>
      </c>
      <c r="V111" s="98" t="s">
        <v>119</v>
      </c>
      <c r="W111" s="98" t="s">
        <v>119</v>
      </c>
      <c r="X111" s="225" t="s">
        <v>166</v>
      </c>
      <c r="Y111" s="67"/>
    </row>
    <row r="112" customFormat="false" ht="13.5" hidden="false" customHeight="true" outlineLevel="0" collapsed="false">
      <c r="A112" s="237" t="n">
        <v>104</v>
      </c>
      <c r="B112" s="237"/>
      <c r="C112" s="237" t="s">
        <v>2330</v>
      </c>
      <c r="D112" s="237"/>
      <c r="E112" s="237"/>
      <c r="F112" s="237"/>
      <c r="G112" s="237"/>
      <c r="H112" s="152" t="s">
        <v>2331</v>
      </c>
      <c r="I112" s="152" t="s">
        <v>2332</v>
      </c>
      <c r="J112" s="152" t="s">
        <v>2333</v>
      </c>
      <c r="K112" s="152" t="s">
        <v>119</v>
      </c>
      <c r="L112" s="152" t="s">
        <v>2070</v>
      </c>
      <c r="M112" s="152" t="s">
        <v>2070</v>
      </c>
      <c r="N112" s="224" t="s">
        <v>117</v>
      </c>
      <c r="O112" s="102" t="s">
        <v>163</v>
      </c>
      <c r="P112" s="152"/>
      <c r="Q112" s="241" t="s">
        <v>163</v>
      </c>
      <c r="R112" s="152"/>
      <c r="S112" s="152"/>
      <c r="T112" s="152" t="s">
        <v>118</v>
      </c>
      <c r="U112" s="152" t="s">
        <v>2334</v>
      </c>
      <c r="V112" s="152" t="s">
        <v>119</v>
      </c>
      <c r="W112" s="152" t="s">
        <v>119</v>
      </c>
      <c r="X112" s="225" t="s">
        <v>166</v>
      </c>
      <c r="Y112" s="67"/>
    </row>
    <row r="113" customFormat="false" ht="13.5" hidden="false" customHeight="true" outlineLevel="0" collapsed="false">
      <c r="A113" s="100" t="n">
        <v>105</v>
      </c>
      <c r="B113" s="100"/>
      <c r="C113" s="100" t="s">
        <v>2335</v>
      </c>
      <c r="D113" s="100"/>
      <c r="E113" s="100"/>
      <c r="F113" s="100"/>
      <c r="G113" s="100"/>
      <c r="H113" s="98" t="s">
        <v>2336</v>
      </c>
      <c r="I113" s="98" t="s">
        <v>2337</v>
      </c>
      <c r="J113" s="98" t="s">
        <v>1545</v>
      </c>
      <c r="K113" s="98"/>
      <c r="L113" s="98" t="s">
        <v>2338</v>
      </c>
      <c r="M113" s="98" t="s">
        <v>2338</v>
      </c>
      <c r="N113" s="102" t="s">
        <v>163</v>
      </c>
      <c r="O113" s="102" t="s">
        <v>163</v>
      </c>
      <c r="P113" s="168"/>
      <c r="Q113" s="241" t="s">
        <v>163</v>
      </c>
      <c r="R113" s="98"/>
      <c r="S113" s="98"/>
      <c r="T113" s="98" t="s">
        <v>118</v>
      </c>
      <c r="U113" s="98"/>
      <c r="V113" s="98" t="s">
        <v>119</v>
      </c>
      <c r="W113" s="98" t="s">
        <v>119</v>
      </c>
      <c r="X113" s="225" t="s">
        <v>166</v>
      </c>
      <c r="Y113" s="67"/>
    </row>
    <row r="114" customFormat="false" ht="13.5" hidden="false" customHeight="true" outlineLevel="0" collapsed="false">
      <c r="A114" s="103" t="n">
        <v>106</v>
      </c>
      <c r="B114" s="103"/>
      <c r="C114" s="103" t="s">
        <v>2339</v>
      </c>
      <c r="D114" s="233"/>
      <c r="E114" s="233"/>
      <c r="F114" s="233"/>
      <c r="G114" s="233"/>
      <c r="H114" s="152" t="s">
        <v>2340</v>
      </c>
      <c r="I114" s="152" t="s">
        <v>2341</v>
      </c>
      <c r="J114" s="228"/>
      <c r="K114" s="152" t="s">
        <v>119</v>
      </c>
      <c r="L114" s="152" t="s">
        <v>2342</v>
      </c>
      <c r="M114" s="152" t="s">
        <v>2342</v>
      </c>
      <c r="N114" s="229" t="s">
        <v>1247</v>
      </c>
      <c r="O114" s="229" t="s">
        <v>1247</v>
      </c>
      <c r="P114" s="152"/>
      <c r="Q114" s="236" t="s">
        <v>1247</v>
      </c>
      <c r="R114" s="152"/>
      <c r="S114" s="152" t="s">
        <v>119</v>
      </c>
      <c r="T114" s="152" t="s">
        <v>1526</v>
      </c>
      <c r="U114" s="152"/>
      <c r="V114" s="152" t="s">
        <v>119</v>
      </c>
      <c r="W114" s="152" t="s">
        <v>119</v>
      </c>
      <c r="X114" s="225" t="s">
        <v>166</v>
      </c>
      <c r="Y114" s="67"/>
    </row>
    <row r="115" customFormat="false" ht="13.5" hidden="false" customHeight="true" outlineLevel="0" collapsed="false">
      <c r="A115" s="100" t="n">
        <v>107</v>
      </c>
      <c r="B115" s="100"/>
      <c r="C115" s="100"/>
      <c r="D115" s="100" t="s">
        <v>1532</v>
      </c>
      <c r="E115" s="100"/>
      <c r="F115" s="100"/>
      <c r="G115" s="100"/>
      <c r="H115" s="98" t="s">
        <v>2343</v>
      </c>
      <c r="I115" s="98" t="s">
        <v>2344</v>
      </c>
      <c r="J115" s="98" t="s">
        <v>2345</v>
      </c>
      <c r="K115" s="98" t="s">
        <v>119</v>
      </c>
      <c r="L115" s="98" t="s">
        <v>1987</v>
      </c>
      <c r="M115" s="98" t="s">
        <v>1987</v>
      </c>
      <c r="N115" s="224" t="s">
        <v>117</v>
      </c>
      <c r="O115" s="224" t="s">
        <v>117</v>
      </c>
      <c r="P115" s="98"/>
      <c r="Q115" s="238" t="s">
        <v>117</v>
      </c>
      <c r="R115" s="98"/>
      <c r="S115" s="98"/>
      <c r="T115" s="98" t="s">
        <v>118</v>
      </c>
      <c r="U115" s="98" t="s">
        <v>2346</v>
      </c>
      <c r="V115" s="98" t="s">
        <v>119</v>
      </c>
      <c r="W115" s="98" t="s">
        <v>119</v>
      </c>
      <c r="X115" s="230" t="s">
        <v>166</v>
      </c>
      <c r="Y115" s="67"/>
    </row>
    <row r="116" customFormat="false" ht="13.5" hidden="false" customHeight="true" outlineLevel="0" collapsed="false">
      <c r="A116" s="103" t="n">
        <v>108</v>
      </c>
      <c r="B116" s="103"/>
      <c r="C116" s="103"/>
      <c r="D116" s="103" t="s">
        <v>2347</v>
      </c>
      <c r="E116" s="103"/>
      <c r="F116" s="103"/>
      <c r="G116" s="103"/>
      <c r="H116" s="152" t="s">
        <v>2348</v>
      </c>
      <c r="I116" s="152" t="s">
        <v>2349</v>
      </c>
      <c r="J116" s="242" t="n">
        <v>606070707</v>
      </c>
      <c r="K116" s="152" t="s">
        <v>119</v>
      </c>
      <c r="L116" s="152" t="s">
        <v>2350</v>
      </c>
      <c r="M116" s="152" t="s">
        <v>2350</v>
      </c>
      <c r="N116" s="224" t="s">
        <v>117</v>
      </c>
      <c r="O116" s="224" t="s">
        <v>117</v>
      </c>
      <c r="P116" s="152"/>
      <c r="Q116" s="238" t="s">
        <v>117</v>
      </c>
      <c r="R116" s="152"/>
      <c r="S116" s="152"/>
      <c r="T116" s="152" t="s">
        <v>118</v>
      </c>
      <c r="U116" s="152"/>
      <c r="V116" s="152" t="s">
        <v>119</v>
      </c>
      <c r="W116" s="152" t="s">
        <v>119</v>
      </c>
      <c r="X116" s="225" t="s">
        <v>166</v>
      </c>
      <c r="Y116" s="67"/>
    </row>
  </sheetData>
  <autoFilter ref="A8:X117"/>
  <conditionalFormatting sqref="E3">
    <cfRule type="dataBar" priority="2">
      <dataBar showValue="1" minLength="10" maxLength="90">
        <cfvo type="num" val="0"/>
        <cfvo type="num" val="1"/>
        <color rgb="FF63C384"/>
      </dataBar>
      <extLst>
        <ext xmlns:x14="http://schemas.microsoft.com/office/spreadsheetml/2009/9/main" uri="{B025F937-C7B1-47D3-B67F-A62EFF666E3E}">
          <x14:id>{30E8B890-4C8E-444B-BD10-C0A9E03EA03D}</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30E8B890-4C8E-444B-BD10-C0A9E03EA03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89"/>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Q36" activeCellId="0" sqref="Q36"/>
    </sheetView>
  </sheetViews>
  <sheetFormatPr defaultColWidth="9.515625" defaultRowHeight="12" zeroHeight="false" outlineLevelRow="0" outlineLevelCol="0"/>
  <cols>
    <col collapsed="false" customWidth="true" hidden="false" outlineLevel="0" max="1" min="1" style="30" width="10.25"/>
    <col collapsed="false" customWidth="true" hidden="false" outlineLevel="0" max="2" min="2" style="30" width="12.87"/>
    <col collapsed="false" customWidth="true" hidden="false" outlineLevel="0" max="3" min="3" style="30" width="29.38"/>
    <col collapsed="false" customWidth="true" hidden="false" outlineLevel="0" max="4" min="4" style="30" width="18.62"/>
    <col collapsed="false" customWidth="true" hidden="false" outlineLevel="0" max="5" min="5" style="30" width="9.13"/>
    <col collapsed="false" customWidth="true" hidden="false" outlineLevel="0" max="6" min="6" style="30" width="8.64"/>
    <col collapsed="false" customWidth="true" hidden="false" outlineLevel="0" max="7" min="7" style="31" width="9.13"/>
    <col collapsed="false" customWidth="true" hidden="false" outlineLevel="0" max="8" min="8" style="31" width="63.87"/>
    <col collapsed="false" customWidth="true" hidden="false" outlineLevel="0" max="9" min="9" style="60" width="32.38"/>
    <col collapsed="false" customWidth="true" hidden="false" outlineLevel="0" max="10" min="10" style="31" width="17"/>
    <col collapsed="false" customWidth="true" hidden="false" outlineLevel="0" max="11" min="11" style="55" width="9.87"/>
    <col collapsed="false" customWidth="true" hidden="false" outlineLevel="0" max="12" min="12" style="33" width="10.13"/>
    <col collapsed="false" customWidth="true" hidden="false" outlineLevel="0" max="13" min="13" style="33" width="12.63"/>
    <col collapsed="false" customWidth="true" hidden="false" outlineLevel="0" max="14" min="14" style="31" width="51.13"/>
    <col collapsed="false" customWidth="true" hidden="false" outlineLevel="0" max="17" min="15" style="0" width="10.63"/>
    <col collapsed="false" customWidth="true" hidden="false" outlineLevel="0" max="18" min="18" style="180" width="4"/>
    <col collapsed="false" customWidth="false" hidden="false" outlineLevel="0" max="998" min="19" style="30" width="9.51"/>
    <col collapsed="false" customWidth="true" hidden="false" outlineLevel="0" max="999" min="999" style="30" width="9"/>
    <col collapsed="false" customWidth="true" hidden="false" outlineLevel="0" max="1001" min="1000" style="0" width="9"/>
  </cols>
  <sheetData>
    <row r="1" customFormat="false" ht="13.5" hidden="false" customHeight="true" outlineLevel="0" collapsed="false">
      <c r="A1" s="71" t="s">
        <v>2351</v>
      </c>
      <c r="C1" s="35"/>
      <c r="F1" s="37"/>
      <c r="G1" s="30"/>
      <c r="H1" s="243"/>
      <c r="I1" s="243"/>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R2" s="77"/>
    </row>
    <row r="3" s="76" customFormat="true" ht="13.5" hidden="false" customHeight="true" outlineLevel="0" collapsed="false">
      <c r="A3" s="75" t="s">
        <v>2352</v>
      </c>
      <c r="B3" s="75" t="s">
        <v>85</v>
      </c>
      <c r="C3" s="80" t="s">
        <v>2353</v>
      </c>
      <c r="D3" s="75" t="s">
        <v>2354</v>
      </c>
      <c r="E3" s="75"/>
      <c r="F3" s="75"/>
      <c r="G3" s="75" t="s">
        <v>90</v>
      </c>
      <c r="H3" s="75" t="s">
        <v>91</v>
      </c>
      <c r="I3" s="75" t="s">
        <v>90</v>
      </c>
      <c r="J3" s="81" t="s">
        <v>2355</v>
      </c>
      <c r="K3" s="77"/>
      <c r="L3" s="78"/>
      <c r="M3" s="77"/>
      <c r="N3" s="77"/>
      <c r="O3" s="77"/>
      <c r="P3" s="77"/>
      <c r="Q3" s="77"/>
      <c r="R3" s="77"/>
    </row>
    <row r="4" s="76" customFormat="true" ht="13.5" hidden="false" customHeight="true" outlineLevel="0" collapsed="false">
      <c r="A4" s="75" t="s">
        <v>2356</v>
      </c>
      <c r="B4" s="75" t="s">
        <v>110</v>
      </c>
      <c r="C4" s="75" t="s">
        <v>2357</v>
      </c>
      <c r="D4" s="75" t="s">
        <v>2358</v>
      </c>
      <c r="E4" s="75"/>
      <c r="F4" s="75"/>
      <c r="G4" s="75" t="s">
        <v>90</v>
      </c>
      <c r="H4" s="75" t="s">
        <v>91</v>
      </c>
      <c r="I4" s="75" t="s">
        <v>90</v>
      </c>
      <c r="J4" s="81" t="s">
        <v>2359</v>
      </c>
      <c r="K4" s="77"/>
      <c r="L4" s="78"/>
      <c r="M4" s="77"/>
      <c r="N4" s="77"/>
      <c r="O4" s="77"/>
      <c r="P4" s="77"/>
      <c r="Q4" s="77"/>
      <c r="R4" s="77"/>
    </row>
    <row r="5" s="76" customFormat="true" ht="13.5" hidden="false" customHeight="true" outlineLevel="0" collapsed="false">
      <c r="A5" s="75" t="s">
        <v>2360</v>
      </c>
      <c r="B5" s="75" t="s">
        <v>2361</v>
      </c>
      <c r="C5" s="75" t="s">
        <v>2362</v>
      </c>
      <c r="D5" s="75" t="s">
        <v>2354</v>
      </c>
      <c r="E5" s="75"/>
      <c r="F5" s="75"/>
      <c r="G5" s="75" t="s">
        <v>90</v>
      </c>
      <c r="H5" s="75" t="s">
        <v>90</v>
      </c>
      <c r="I5" s="75" t="s">
        <v>90</v>
      </c>
      <c r="J5" s="76" t="s">
        <v>2363</v>
      </c>
      <c r="K5" s="77"/>
      <c r="L5" s="78"/>
      <c r="M5" s="77"/>
      <c r="N5" s="77"/>
      <c r="O5" s="77"/>
      <c r="P5" s="77"/>
      <c r="Q5" s="77"/>
      <c r="R5" s="77"/>
    </row>
    <row r="6" customFormat="false" ht="13.5" hidden="false" customHeight="true" outlineLevel="0" collapsed="false">
      <c r="D6" s="51"/>
      <c r="E6" s="45"/>
      <c r="F6" s="51"/>
    </row>
    <row r="7" customFormat="false" ht="13.5" hidden="false" customHeight="true" outlineLevel="0" collapsed="false">
      <c r="C7" s="51"/>
      <c r="D7" s="118"/>
      <c r="E7" s="51"/>
      <c r="F7" s="51"/>
      <c r="O7" s="52" t="s">
        <v>93</v>
      </c>
      <c r="P7" s="52" t="s">
        <v>93</v>
      </c>
      <c r="Q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123" t="s">
        <v>110</v>
      </c>
      <c r="Q8" s="123" t="s">
        <v>2361</v>
      </c>
      <c r="R8" s="18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5" t="s">
        <v>119</v>
      </c>
      <c r="Q9" s="64" t="s">
        <v>119</v>
      </c>
      <c r="R9" s="66"/>
    </row>
    <row r="10" s="67" customFormat="true" ht="14.25" hidden="false" customHeight="true" outlineLevel="0" collapsed="false">
      <c r="A10" s="60" t="n">
        <v>2</v>
      </c>
      <c r="B10" s="127" t="s">
        <v>2263</v>
      </c>
      <c r="C10" s="128"/>
      <c r="D10" s="129"/>
      <c r="E10" s="129"/>
      <c r="F10" s="129"/>
      <c r="G10" s="129"/>
      <c r="H10" s="62" t="s">
        <v>2365</v>
      </c>
      <c r="I10" s="63"/>
      <c r="J10" s="63" t="s">
        <v>2267</v>
      </c>
      <c r="K10" s="244" t="s">
        <v>148</v>
      </c>
      <c r="L10" s="130" t="s">
        <v>119</v>
      </c>
      <c r="M10" s="140" t="s">
        <v>2267</v>
      </c>
      <c r="N10" s="62"/>
      <c r="O10" s="65" t="s">
        <v>119</v>
      </c>
      <c r="P10" s="65" t="s">
        <v>1247</v>
      </c>
      <c r="Q10" s="64" t="s">
        <v>119</v>
      </c>
      <c r="R10" s="66"/>
    </row>
    <row r="11" s="67" customFormat="true" ht="14.25" hidden="false" customHeight="true" outlineLevel="0" collapsed="false">
      <c r="A11" s="60" t="n">
        <v>3</v>
      </c>
      <c r="B11" s="127"/>
      <c r="C11" s="129" t="s">
        <v>2366</v>
      </c>
      <c r="D11" s="129"/>
      <c r="E11" s="129"/>
      <c r="F11" s="129"/>
      <c r="G11" s="129"/>
      <c r="H11" s="62" t="s">
        <v>2367</v>
      </c>
      <c r="I11" s="63" t="s">
        <v>1214</v>
      </c>
      <c r="J11" s="63" t="s">
        <v>134</v>
      </c>
      <c r="K11" s="62" t="s">
        <v>117</v>
      </c>
      <c r="L11" s="130"/>
      <c r="M11" s="62" t="s">
        <v>134</v>
      </c>
      <c r="N11" s="62" t="s">
        <v>1929</v>
      </c>
      <c r="O11" s="65" t="s">
        <v>119</v>
      </c>
      <c r="P11" s="65" t="s">
        <v>119</v>
      </c>
      <c r="Q11" s="62"/>
      <c r="R11" s="66"/>
    </row>
    <row r="12" s="169" customFormat="true" ht="13.5" hidden="false" customHeight="true" outlineLevel="0" collapsed="false">
      <c r="A12" s="60" t="n">
        <v>4</v>
      </c>
      <c r="B12" s="141"/>
      <c r="C12" s="141" t="s">
        <v>2368</v>
      </c>
      <c r="D12" s="141"/>
      <c r="E12" s="141"/>
      <c r="F12" s="141"/>
      <c r="G12" s="141"/>
      <c r="H12" s="136" t="s">
        <v>2369</v>
      </c>
      <c r="I12" s="137" t="s">
        <v>2370</v>
      </c>
      <c r="J12" s="137" t="s">
        <v>2371</v>
      </c>
      <c r="K12" s="136" t="s">
        <v>117</v>
      </c>
      <c r="L12" s="138"/>
      <c r="M12" s="136" t="s">
        <v>118</v>
      </c>
      <c r="N12" s="62" t="s">
        <v>2372</v>
      </c>
      <c r="O12" s="143" t="s">
        <v>119</v>
      </c>
      <c r="P12" s="65" t="s">
        <v>119</v>
      </c>
      <c r="Q12" s="62"/>
      <c r="R12" s="66"/>
    </row>
    <row r="13" s="67" customFormat="true" ht="13.5" hidden="false" customHeight="true" outlineLevel="0" collapsed="false">
      <c r="A13" s="60" t="n">
        <v>5</v>
      </c>
      <c r="B13" s="127"/>
      <c r="C13" s="127" t="s">
        <v>2373</v>
      </c>
      <c r="D13" s="129"/>
      <c r="E13" s="129"/>
      <c r="F13" s="129"/>
      <c r="G13" s="129"/>
      <c r="H13" s="62" t="s">
        <v>2374</v>
      </c>
      <c r="I13" s="98" t="s">
        <v>2375</v>
      </c>
      <c r="J13" s="63" t="s">
        <v>2376</v>
      </c>
      <c r="K13" s="62" t="s">
        <v>163</v>
      </c>
      <c r="L13" s="130"/>
      <c r="M13" s="62" t="s">
        <v>118</v>
      </c>
      <c r="N13" s="62" t="s">
        <v>2377</v>
      </c>
      <c r="O13" s="65" t="s">
        <v>119</v>
      </c>
      <c r="P13" s="65" t="s">
        <v>119</v>
      </c>
      <c r="Q13" s="64"/>
      <c r="R13" s="66"/>
    </row>
    <row r="14" s="169" customFormat="true" ht="13.5" hidden="false" customHeight="true" outlineLevel="0" collapsed="false">
      <c r="A14" s="60" t="n">
        <v>6</v>
      </c>
      <c r="B14" s="141"/>
      <c r="C14" s="141" t="s">
        <v>2378</v>
      </c>
      <c r="D14" s="141"/>
      <c r="E14" s="141"/>
      <c r="F14" s="141"/>
      <c r="G14" s="141"/>
      <c r="H14" s="136" t="s">
        <v>2379</v>
      </c>
      <c r="I14" s="141" t="s">
        <v>2380</v>
      </c>
      <c r="J14" s="137" t="s">
        <v>2381</v>
      </c>
      <c r="K14" s="136" t="s">
        <v>163</v>
      </c>
      <c r="L14" s="138"/>
      <c r="M14" s="136" t="s">
        <v>118</v>
      </c>
      <c r="N14" s="62"/>
      <c r="O14" s="143" t="s">
        <v>119</v>
      </c>
      <c r="P14" s="65" t="s">
        <v>119</v>
      </c>
      <c r="Q14" s="147"/>
      <c r="R14" s="187"/>
    </row>
    <row r="15" s="169" customFormat="true" ht="13.5" hidden="false" customHeight="true" outlineLevel="0" collapsed="false">
      <c r="A15" s="60" t="n">
        <v>7</v>
      </c>
      <c r="B15" s="141"/>
      <c r="C15" s="141" t="s">
        <v>2382</v>
      </c>
      <c r="D15" s="141"/>
      <c r="E15" s="141"/>
      <c r="F15" s="141"/>
      <c r="G15" s="141"/>
      <c r="H15" s="136" t="s">
        <v>2383</v>
      </c>
      <c r="I15" s="137" t="s">
        <v>1583</v>
      </c>
      <c r="J15" s="137" t="s">
        <v>2384</v>
      </c>
      <c r="K15" s="136" t="s">
        <v>163</v>
      </c>
      <c r="L15" s="138"/>
      <c r="M15" s="136" t="s">
        <v>118</v>
      </c>
      <c r="N15" s="62"/>
      <c r="O15" s="143" t="s">
        <v>119</v>
      </c>
      <c r="P15" s="65" t="s">
        <v>119</v>
      </c>
      <c r="Q15" s="147"/>
      <c r="R15" s="187"/>
    </row>
    <row r="16" s="169" customFormat="true" ht="13.5" hidden="false" customHeight="true" outlineLevel="0" collapsed="false">
      <c r="A16" s="60" t="n">
        <v>8</v>
      </c>
      <c r="B16" s="127"/>
      <c r="C16" s="141" t="s">
        <v>2385</v>
      </c>
      <c r="D16" s="129"/>
      <c r="E16" s="129"/>
      <c r="F16" s="129"/>
      <c r="G16" s="129"/>
      <c r="H16" s="62" t="s">
        <v>2386</v>
      </c>
      <c r="I16" s="63" t="s">
        <v>2387</v>
      </c>
      <c r="J16" s="63" t="s">
        <v>1634</v>
      </c>
      <c r="K16" s="136" t="s">
        <v>163</v>
      </c>
      <c r="L16" s="130"/>
      <c r="M16" s="136" t="s">
        <v>118</v>
      </c>
      <c r="N16" s="62"/>
      <c r="O16" s="65" t="s">
        <v>119</v>
      </c>
      <c r="P16" s="245"/>
      <c r="Q16" s="64"/>
      <c r="R16" s="187"/>
    </row>
    <row r="17" s="67" customFormat="true" ht="13.5" hidden="false" customHeight="true" outlineLevel="0" collapsed="false">
      <c r="A17" s="60" t="n">
        <v>9</v>
      </c>
      <c r="B17" s="127"/>
      <c r="C17" s="129" t="s">
        <v>2388</v>
      </c>
      <c r="D17" s="129"/>
      <c r="E17" s="129"/>
      <c r="F17" s="129"/>
      <c r="G17" s="129"/>
      <c r="H17" s="62" t="s">
        <v>2389</v>
      </c>
      <c r="I17" s="63" t="s">
        <v>2390</v>
      </c>
      <c r="J17" s="63" t="s">
        <v>2391</v>
      </c>
      <c r="K17" s="62" t="s">
        <v>163</v>
      </c>
      <c r="L17" s="130"/>
      <c r="M17" s="62" t="s">
        <v>118</v>
      </c>
      <c r="N17" s="62"/>
      <c r="O17" s="65" t="s">
        <v>119</v>
      </c>
      <c r="P17" s="65" t="s">
        <v>119</v>
      </c>
      <c r="Q17" s="64"/>
      <c r="R17" s="66"/>
    </row>
    <row r="18" s="67" customFormat="true" ht="13.5" hidden="false" customHeight="true" outlineLevel="0" collapsed="false">
      <c r="A18" s="60" t="n">
        <v>10</v>
      </c>
      <c r="B18" s="127"/>
      <c r="C18" s="129" t="s">
        <v>1799</v>
      </c>
      <c r="D18" s="129"/>
      <c r="E18" s="129"/>
      <c r="F18" s="129"/>
      <c r="G18" s="129"/>
      <c r="H18" s="62" t="s">
        <v>2392</v>
      </c>
      <c r="I18" s="63" t="s">
        <v>2393</v>
      </c>
      <c r="J18" s="63" t="s">
        <v>1802</v>
      </c>
      <c r="K18" s="62" t="s">
        <v>117</v>
      </c>
      <c r="L18" s="130"/>
      <c r="M18" s="62" t="s">
        <v>118</v>
      </c>
      <c r="N18" s="62"/>
      <c r="O18" s="65"/>
      <c r="P18" s="245"/>
      <c r="Q18" s="64"/>
      <c r="R18" s="66"/>
    </row>
    <row r="19" s="67" customFormat="true" ht="13.5" hidden="false" customHeight="true" outlineLevel="0" collapsed="false">
      <c r="A19" s="60" t="n">
        <v>11</v>
      </c>
      <c r="B19" s="127"/>
      <c r="C19" s="127" t="s">
        <v>1804</v>
      </c>
      <c r="D19" s="129"/>
      <c r="E19" s="129"/>
      <c r="F19" s="129"/>
      <c r="G19" s="129"/>
      <c r="H19" s="62" t="s">
        <v>2394</v>
      </c>
      <c r="I19" s="63" t="s">
        <v>2395</v>
      </c>
      <c r="J19" s="63" t="s">
        <v>1807</v>
      </c>
      <c r="K19" s="62" t="s">
        <v>117</v>
      </c>
      <c r="L19" s="130"/>
      <c r="M19" s="62" t="s">
        <v>118</v>
      </c>
      <c r="N19" s="62" t="s">
        <v>1808</v>
      </c>
      <c r="O19" s="65" t="s">
        <v>119</v>
      </c>
      <c r="P19" s="245"/>
      <c r="Q19" s="64" t="s">
        <v>119</v>
      </c>
      <c r="R19" s="66"/>
    </row>
    <row r="20" s="67" customFormat="true" ht="13.5" hidden="false" customHeight="true" outlineLevel="0" collapsed="false">
      <c r="A20" s="60"/>
      <c r="B20" s="127"/>
      <c r="C20" s="127" t="s">
        <v>1804</v>
      </c>
      <c r="D20" s="129"/>
      <c r="E20" s="129"/>
      <c r="F20" s="129"/>
      <c r="G20" s="129"/>
      <c r="H20" s="62" t="s">
        <v>2394</v>
      </c>
      <c r="I20" s="63" t="s">
        <v>2393</v>
      </c>
      <c r="J20" s="63" t="s">
        <v>1807</v>
      </c>
      <c r="K20" s="62" t="s">
        <v>117</v>
      </c>
      <c r="L20" s="130"/>
      <c r="M20" s="62" t="s">
        <v>118</v>
      </c>
      <c r="N20" s="62" t="s">
        <v>2396</v>
      </c>
      <c r="O20" s="65"/>
      <c r="P20" s="65" t="s">
        <v>119</v>
      </c>
      <c r="Q20" s="64"/>
      <c r="R20" s="66"/>
    </row>
    <row r="21" s="67" customFormat="true" ht="13.5" hidden="false" customHeight="true" outlineLevel="0" collapsed="false">
      <c r="A21" s="60" t="n">
        <v>12</v>
      </c>
      <c r="B21" s="127"/>
      <c r="C21" s="129" t="s">
        <v>2397</v>
      </c>
      <c r="D21" s="129"/>
      <c r="E21" s="129"/>
      <c r="F21" s="129"/>
      <c r="G21" s="129"/>
      <c r="H21" s="62" t="s">
        <v>2398</v>
      </c>
      <c r="I21" s="63" t="s">
        <v>2399</v>
      </c>
      <c r="J21" s="63" t="s">
        <v>2400</v>
      </c>
      <c r="K21" s="62" t="s">
        <v>163</v>
      </c>
      <c r="L21" s="130"/>
      <c r="M21" s="62" t="s">
        <v>118</v>
      </c>
      <c r="N21" s="62"/>
      <c r="O21" s="65"/>
      <c r="P21" s="245"/>
      <c r="Q21" s="64"/>
      <c r="R21" s="66"/>
    </row>
    <row r="22" s="67" customFormat="true" ht="13.5" hidden="false" customHeight="true" outlineLevel="0" collapsed="false">
      <c r="A22" s="60" t="n">
        <v>13</v>
      </c>
      <c r="B22" s="127"/>
      <c r="C22" s="129" t="s">
        <v>2401</v>
      </c>
      <c r="D22" s="129"/>
      <c r="E22" s="129"/>
      <c r="F22" s="129"/>
      <c r="G22" s="129"/>
      <c r="H22" s="136" t="s">
        <v>2402</v>
      </c>
      <c r="I22" s="63" t="s">
        <v>2403</v>
      </c>
      <c r="J22" s="63" t="s">
        <v>126</v>
      </c>
      <c r="K22" s="62" t="s">
        <v>163</v>
      </c>
      <c r="L22" s="130"/>
      <c r="M22" s="62" t="s">
        <v>118</v>
      </c>
      <c r="N22" s="62"/>
      <c r="O22" s="65" t="s">
        <v>119</v>
      </c>
      <c r="P22" s="65" t="s">
        <v>119</v>
      </c>
      <c r="Q22" s="64" t="s">
        <v>119</v>
      </c>
      <c r="R22" s="66"/>
    </row>
    <row r="23" s="67" customFormat="true" ht="13.5" hidden="false" customHeight="true" outlineLevel="0" collapsed="false">
      <c r="A23" s="60" t="n">
        <v>14</v>
      </c>
      <c r="B23" s="127"/>
      <c r="C23" s="127" t="s">
        <v>2404</v>
      </c>
      <c r="D23" s="129"/>
      <c r="E23" s="129"/>
      <c r="F23" s="129"/>
      <c r="G23" s="129"/>
      <c r="H23" s="62"/>
      <c r="I23" s="63"/>
      <c r="J23" s="63" t="s">
        <v>2405</v>
      </c>
      <c r="K23" s="62" t="s">
        <v>163</v>
      </c>
      <c r="L23" s="130"/>
      <c r="M23" s="62" t="s">
        <v>118</v>
      </c>
      <c r="N23" s="62"/>
      <c r="O23" s="65"/>
      <c r="P23" s="245"/>
      <c r="Q23" s="64"/>
      <c r="R23" s="66"/>
    </row>
    <row r="24" s="67" customFormat="true" ht="13.5" hidden="false" customHeight="true" outlineLevel="0" collapsed="false">
      <c r="A24" s="60" t="n">
        <v>15</v>
      </c>
      <c r="B24" s="127"/>
      <c r="C24" s="129" t="s">
        <v>2406</v>
      </c>
      <c r="D24" s="129"/>
      <c r="E24" s="129"/>
      <c r="F24" s="129"/>
      <c r="G24" s="129"/>
      <c r="H24" s="62" t="s">
        <v>2407</v>
      </c>
      <c r="I24" s="63" t="n">
        <v>44109</v>
      </c>
      <c r="J24" s="137" t="s">
        <v>2408</v>
      </c>
      <c r="K24" s="62" t="s">
        <v>163</v>
      </c>
      <c r="L24" s="130"/>
      <c r="M24" s="62" t="s">
        <v>118</v>
      </c>
      <c r="N24" s="62" t="s">
        <v>1386</v>
      </c>
      <c r="O24" s="65" t="s">
        <v>119</v>
      </c>
      <c r="P24" s="65" t="s">
        <v>119</v>
      </c>
      <c r="Q24" s="64"/>
      <c r="R24" s="66"/>
    </row>
    <row r="25" s="67" customFormat="true" ht="13.5" hidden="false" customHeight="true" outlineLevel="0" collapsed="false">
      <c r="A25" s="60" t="n">
        <v>16</v>
      </c>
      <c r="B25" s="127"/>
      <c r="C25" s="129" t="s">
        <v>2409</v>
      </c>
      <c r="D25" s="129"/>
      <c r="E25" s="129"/>
      <c r="F25" s="129"/>
      <c r="G25" s="129"/>
      <c r="H25" s="62" t="s">
        <v>2409</v>
      </c>
      <c r="I25" s="63"/>
      <c r="J25" s="137" t="s">
        <v>2410</v>
      </c>
      <c r="K25" s="62" t="s">
        <v>163</v>
      </c>
      <c r="L25" s="130"/>
      <c r="M25" s="62" t="s">
        <v>118</v>
      </c>
      <c r="N25" s="62"/>
      <c r="O25" s="65"/>
      <c r="P25" s="245"/>
      <c r="Q25" s="64"/>
      <c r="R25" s="66"/>
    </row>
    <row r="26" s="67" customFormat="true" ht="13.5" hidden="false" customHeight="true" outlineLevel="0" collapsed="false">
      <c r="A26" s="60" t="n">
        <v>17</v>
      </c>
      <c r="B26" s="127"/>
      <c r="C26" s="129" t="s">
        <v>2411</v>
      </c>
      <c r="D26" s="129"/>
      <c r="E26" s="129"/>
      <c r="F26" s="129"/>
      <c r="G26" s="129"/>
      <c r="H26" s="62" t="s">
        <v>2411</v>
      </c>
      <c r="I26" s="63"/>
      <c r="J26" s="137" t="s">
        <v>2412</v>
      </c>
      <c r="K26" s="62" t="s">
        <v>163</v>
      </c>
      <c r="L26" s="130"/>
      <c r="M26" s="62" t="s">
        <v>118</v>
      </c>
      <c r="N26" s="62"/>
      <c r="O26" s="65"/>
      <c r="P26" s="245"/>
      <c r="Q26" s="64"/>
      <c r="R26" s="66"/>
    </row>
    <row r="27" s="67" customFormat="true" ht="13.5" hidden="false" customHeight="true" outlineLevel="0" collapsed="false">
      <c r="A27" s="60" t="n">
        <v>18</v>
      </c>
      <c r="B27" s="127"/>
      <c r="C27" s="129" t="s">
        <v>2413</v>
      </c>
      <c r="D27" s="129"/>
      <c r="E27" s="129"/>
      <c r="F27" s="129"/>
      <c r="G27" s="129"/>
      <c r="H27" s="62" t="s">
        <v>2414</v>
      </c>
      <c r="I27" s="63"/>
      <c r="J27" s="137" t="s">
        <v>2415</v>
      </c>
      <c r="K27" s="136" t="s">
        <v>163</v>
      </c>
      <c r="L27" s="138" t="s">
        <v>119</v>
      </c>
      <c r="M27" s="246" t="s">
        <v>2415</v>
      </c>
      <c r="N27" s="62"/>
      <c r="O27" s="143" t="s">
        <v>119</v>
      </c>
      <c r="P27" s="65" t="s">
        <v>119</v>
      </c>
      <c r="Q27" s="147" t="s">
        <v>119</v>
      </c>
      <c r="R27" s="66"/>
    </row>
    <row r="28" s="67" customFormat="true" ht="13.5" hidden="false" customHeight="true" outlineLevel="0" collapsed="false">
      <c r="A28" s="60" t="n">
        <v>19</v>
      </c>
      <c r="B28" s="127"/>
      <c r="C28" s="129"/>
      <c r="D28" s="129" t="s">
        <v>1372</v>
      </c>
      <c r="E28" s="129"/>
      <c r="F28" s="129"/>
      <c r="G28" s="129"/>
      <c r="H28" s="62" t="s">
        <v>2416</v>
      </c>
      <c r="I28" s="63" t="s">
        <v>2417</v>
      </c>
      <c r="J28" s="137" t="s">
        <v>2418</v>
      </c>
      <c r="K28" s="136" t="s">
        <v>163</v>
      </c>
      <c r="L28" s="138"/>
      <c r="M28" s="136" t="s">
        <v>118</v>
      </c>
      <c r="N28" s="62" t="s">
        <v>2419</v>
      </c>
      <c r="O28" s="143" t="s">
        <v>119</v>
      </c>
      <c r="P28" s="65" t="s">
        <v>119</v>
      </c>
      <c r="Q28" s="147" t="s">
        <v>119</v>
      </c>
      <c r="R28" s="66"/>
    </row>
    <row r="29" s="67" customFormat="true" ht="13.5" hidden="false" customHeight="true" outlineLevel="0" collapsed="false">
      <c r="A29" s="60" t="n">
        <v>20</v>
      </c>
      <c r="B29" s="127"/>
      <c r="C29" s="129"/>
      <c r="D29" s="129" t="s">
        <v>1345</v>
      </c>
      <c r="E29" s="129"/>
      <c r="F29" s="129"/>
      <c r="G29" s="129"/>
      <c r="H29" s="62" t="s">
        <v>2420</v>
      </c>
      <c r="I29" s="63" t="s">
        <v>2421</v>
      </c>
      <c r="J29" s="137" t="s">
        <v>126</v>
      </c>
      <c r="K29" s="136" t="s">
        <v>163</v>
      </c>
      <c r="L29" s="138"/>
      <c r="M29" s="136" t="s">
        <v>118</v>
      </c>
      <c r="N29" s="62"/>
      <c r="O29" s="143" t="s">
        <v>119</v>
      </c>
      <c r="P29" s="65" t="s">
        <v>119</v>
      </c>
      <c r="Q29" s="147" t="s">
        <v>119</v>
      </c>
      <c r="R29" s="66"/>
    </row>
    <row r="30" s="145" customFormat="true" ht="13.5" hidden="false" customHeight="true" outlineLevel="0" collapsed="false">
      <c r="A30" s="60" t="n">
        <v>21</v>
      </c>
      <c r="B30" s="156"/>
      <c r="C30" s="129" t="s">
        <v>2422</v>
      </c>
      <c r="D30" s="156"/>
      <c r="E30" s="156"/>
      <c r="F30" s="156"/>
      <c r="G30" s="156"/>
      <c r="H30" s="62" t="s">
        <v>2423</v>
      </c>
      <c r="I30" s="175"/>
      <c r="J30" s="137" t="s">
        <v>2424</v>
      </c>
      <c r="K30" s="136" t="s">
        <v>1247</v>
      </c>
      <c r="L30" s="138" t="s">
        <v>119</v>
      </c>
      <c r="M30" s="246" t="s">
        <v>2424</v>
      </c>
      <c r="N30" s="62"/>
      <c r="O30" s="143" t="s">
        <v>119</v>
      </c>
      <c r="P30" s="65" t="s">
        <v>117</v>
      </c>
      <c r="Q30" s="147"/>
      <c r="R30" s="189"/>
    </row>
    <row r="31" s="67" customFormat="true" ht="13.5" hidden="false" customHeight="true" outlineLevel="0" collapsed="false">
      <c r="A31" s="60" t="n">
        <v>22</v>
      </c>
      <c r="B31" s="127"/>
      <c r="C31" s="129"/>
      <c r="D31" s="129" t="s">
        <v>2425</v>
      </c>
      <c r="E31" s="129"/>
      <c r="F31" s="129"/>
      <c r="G31" s="129"/>
      <c r="H31" s="62" t="s">
        <v>2426</v>
      </c>
      <c r="I31" s="63" t="s">
        <v>1214</v>
      </c>
      <c r="J31" s="137" t="s">
        <v>134</v>
      </c>
      <c r="K31" s="136" t="s">
        <v>117</v>
      </c>
      <c r="L31" s="138"/>
      <c r="M31" s="136" t="s">
        <v>134</v>
      </c>
      <c r="N31" s="62" t="s">
        <v>1929</v>
      </c>
      <c r="O31" s="143" t="s">
        <v>119</v>
      </c>
      <c r="P31" s="65" t="s">
        <v>119</v>
      </c>
      <c r="Q31" s="147"/>
      <c r="R31" s="66"/>
    </row>
    <row r="32" s="67" customFormat="true" ht="13.5" hidden="false" customHeight="true" outlineLevel="0" collapsed="false">
      <c r="A32" s="60" t="n">
        <v>23</v>
      </c>
      <c r="B32" s="127"/>
      <c r="C32" s="129"/>
      <c r="D32" s="129" t="s">
        <v>2427</v>
      </c>
      <c r="E32" s="129"/>
      <c r="F32" s="129"/>
      <c r="G32" s="129"/>
      <c r="H32" s="62" t="s">
        <v>2428</v>
      </c>
      <c r="I32" s="247" t="s">
        <v>2429</v>
      </c>
      <c r="J32" s="137" t="s">
        <v>143</v>
      </c>
      <c r="K32" s="136" t="s">
        <v>117</v>
      </c>
      <c r="L32" s="138"/>
      <c r="M32" s="136" t="s">
        <v>118</v>
      </c>
      <c r="N32" s="62" t="s">
        <v>2430</v>
      </c>
      <c r="O32" s="65" t="s">
        <v>119</v>
      </c>
      <c r="P32" s="65" t="s">
        <v>119</v>
      </c>
      <c r="Q32" s="64"/>
      <c r="R32" s="66"/>
    </row>
    <row r="33" s="67" customFormat="true" ht="13.5" hidden="false" customHeight="true" outlineLevel="0" collapsed="false">
      <c r="A33" s="60" t="n">
        <v>24</v>
      </c>
      <c r="B33" s="127"/>
      <c r="C33" s="129"/>
      <c r="D33" s="129" t="s">
        <v>2431</v>
      </c>
      <c r="E33" s="129"/>
      <c r="F33" s="129"/>
      <c r="G33" s="129"/>
      <c r="H33" s="62" t="s">
        <v>2432</v>
      </c>
      <c r="I33" s="63" t="s">
        <v>2433</v>
      </c>
      <c r="J33" s="137" t="s">
        <v>2434</v>
      </c>
      <c r="K33" s="136" t="s">
        <v>163</v>
      </c>
      <c r="L33" s="138"/>
      <c r="M33" s="136" t="s">
        <v>184</v>
      </c>
      <c r="N33" s="62"/>
      <c r="O33" s="65" t="s">
        <v>119</v>
      </c>
      <c r="P33" s="65" t="s">
        <v>119</v>
      </c>
      <c r="Q33" s="64"/>
      <c r="R33" s="66"/>
    </row>
    <row r="34" s="145" customFormat="true" ht="13.5" hidden="false" customHeight="true" outlineLevel="0" collapsed="false">
      <c r="A34" s="60" t="n">
        <v>25</v>
      </c>
      <c r="B34" s="156"/>
      <c r="C34" s="129" t="s">
        <v>2435</v>
      </c>
      <c r="D34" s="156"/>
      <c r="E34" s="156"/>
      <c r="F34" s="156"/>
      <c r="G34" s="156"/>
      <c r="H34" s="136" t="s">
        <v>2436</v>
      </c>
      <c r="I34" s="175"/>
      <c r="J34" s="137" t="s">
        <v>1440</v>
      </c>
      <c r="K34" s="136" t="s">
        <v>163</v>
      </c>
      <c r="L34" s="138" t="s">
        <v>119</v>
      </c>
      <c r="M34" s="146" t="s">
        <v>1440</v>
      </c>
      <c r="N34" s="142"/>
      <c r="O34" s="65"/>
      <c r="P34" s="245"/>
      <c r="Q34" s="64"/>
      <c r="R34" s="189"/>
    </row>
    <row r="35" s="67" customFormat="true" ht="13.5" hidden="false" customHeight="true" outlineLevel="0" collapsed="false">
      <c r="A35" s="60" t="n">
        <v>26</v>
      </c>
      <c r="B35" s="127"/>
      <c r="C35" s="127"/>
      <c r="D35" s="127" t="s">
        <v>1441</v>
      </c>
      <c r="E35" s="129"/>
      <c r="F35" s="129"/>
      <c r="G35" s="129"/>
      <c r="H35" s="62" t="s">
        <v>2437</v>
      </c>
      <c r="I35" s="63" t="s">
        <v>1443</v>
      </c>
      <c r="J35" s="137" t="s">
        <v>1444</v>
      </c>
      <c r="K35" s="136" t="s">
        <v>117</v>
      </c>
      <c r="L35" s="138"/>
      <c r="M35" s="136" t="s">
        <v>1364</v>
      </c>
      <c r="N35" s="62"/>
      <c r="O35" s="65"/>
      <c r="P35" s="245"/>
      <c r="Q35" s="64"/>
      <c r="R35" s="66"/>
    </row>
    <row r="36" s="67" customFormat="true" ht="13.5" hidden="false" customHeight="true" outlineLevel="0" collapsed="false">
      <c r="A36" s="60" t="n">
        <v>27</v>
      </c>
      <c r="B36" s="127"/>
      <c r="C36" s="127"/>
      <c r="D36" s="127" t="s">
        <v>1445</v>
      </c>
      <c r="E36" s="129"/>
      <c r="F36" s="129"/>
      <c r="G36" s="129"/>
      <c r="H36" s="62" t="s">
        <v>2438</v>
      </c>
      <c r="I36" s="63" t="s">
        <v>1447</v>
      </c>
      <c r="J36" s="63" t="s">
        <v>1448</v>
      </c>
      <c r="K36" s="62" t="s">
        <v>117</v>
      </c>
      <c r="L36" s="130"/>
      <c r="M36" s="62" t="s">
        <v>1364</v>
      </c>
      <c r="N36" s="62"/>
      <c r="O36" s="65"/>
      <c r="P36" s="245"/>
      <c r="Q36" s="64"/>
      <c r="R36" s="66"/>
    </row>
    <row r="37" s="67" customFormat="true" ht="13.5" hidden="false" customHeight="true" outlineLevel="0" collapsed="false">
      <c r="A37" s="60" t="n">
        <v>28</v>
      </c>
      <c r="B37" s="127"/>
      <c r="C37" s="127"/>
      <c r="D37" s="141" t="s">
        <v>1449</v>
      </c>
      <c r="E37" s="129"/>
      <c r="F37" s="129"/>
      <c r="G37" s="129"/>
      <c r="H37" s="62" t="s">
        <v>2439</v>
      </c>
      <c r="I37" s="63" t="n">
        <v>120</v>
      </c>
      <c r="J37" s="62" t="s">
        <v>1451</v>
      </c>
      <c r="K37" s="62" t="s">
        <v>163</v>
      </c>
      <c r="L37" s="130"/>
      <c r="M37" s="62" t="s">
        <v>1364</v>
      </c>
      <c r="N37" s="62"/>
      <c r="O37" s="65"/>
      <c r="P37" s="245"/>
      <c r="Q37" s="64"/>
      <c r="R37" s="66"/>
    </row>
    <row r="38" s="67" customFormat="true" ht="13.5" hidden="false" customHeight="true" outlineLevel="0" collapsed="false">
      <c r="A38" s="60" t="n">
        <v>29</v>
      </c>
      <c r="B38" s="127"/>
      <c r="C38" s="127"/>
      <c r="D38" s="129" t="s">
        <v>1452</v>
      </c>
      <c r="E38" s="129"/>
      <c r="F38" s="129"/>
      <c r="G38" s="129"/>
      <c r="H38" s="62" t="s">
        <v>2440</v>
      </c>
      <c r="I38" s="63" t="n">
        <v>96</v>
      </c>
      <c r="J38" s="62" t="s">
        <v>1454</v>
      </c>
      <c r="K38" s="62" t="s">
        <v>163</v>
      </c>
      <c r="L38" s="130"/>
      <c r="M38" s="62" t="s">
        <v>1364</v>
      </c>
      <c r="N38" s="62"/>
      <c r="O38" s="65"/>
      <c r="P38" s="245"/>
      <c r="Q38" s="64"/>
      <c r="R38" s="66"/>
    </row>
    <row r="39" s="67" customFormat="true" ht="13.5" hidden="false" customHeight="true" outlineLevel="0" collapsed="false">
      <c r="A39" s="60" t="n">
        <v>30</v>
      </c>
      <c r="B39" s="127"/>
      <c r="C39" s="127"/>
      <c r="D39" s="129" t="s">
        <v>1455</v>
      </c>
      <c r="E39" s="129"/>
      <c r="F39" s="129"/>
      <c r="G39" s="129"/>
      <c r="H39" s="62" t="s">
        <v>2441</v>
      </c>
      <c r="I39" s="63" t="n">
        <v>34</v>
      </c>
      <c r="J39" s="62" t="s">
        <v>1457</v>
      </c>
      <c r="K39" s="62" t="s">
        <v>163</v>
      </c>
      <c r="L39" s="130"/>
      <c r="M39" s="62" t="s">
        <v>1364</v>
      </c>
      <c r="N39" s="62"/>
      <c r="O39" s="65"/>
      <c r="P39" s="245"/>
      <c r="Q39" s="64"/>
      <c r="R39" s="66"/>
    </row>
    <row r="40" s="67" customFormat="true" ht="13.5" hidden="false" customHeight="true" outlineLevel="0" collapsed="false">
      <c r="A40" s="60" t="n">
        <v>31</v>
      </c>
      <c r="B40" s="127"/>
      <c r="C40" s="127"/>
      <c r="D40" s="129" t="s">
        <v>1458</v>
      </c>
      <c r="E40" s="129"/>
      <c r="F40" s="129"/>
      <c r="G40" s="129"/>
      <c r="H40" s="62" t="s">
        <v>2442</v>
      </c>
      <c r="I40" s="63" t="s">
        <v>2443</v>
      </c>
      <c r="J40" s="63" t="s">
        <v>1461</v>
      </c>
      <c r="K40" s="62" t="s">
        <v>117</v>
      </c>
      <c r="L40" s="130"/>
      <c r="M40" s="62" t="s">
        <v>118</v>
      </c>
      <c r="N40" s="136" t="s">
        <v>1462</v>
      </c>
      <c r="O40" s="65"/>
      <c r="P40" s="245"/>
      <c r="Q40" s="64"/>
      <c r="R40" s="66"/>
    </row>
    <row r="41" s="67" customFormat="true" ht="13.5" hidden="false" customHeight="true" outlineLevel="0" collapsed="false">
      <c r="A41" s="60" t="n">
        <v>32</v>
      </c>
      <c r="B41" s="127"/>
      <c r="C41" s="129" t="s">
        <v>1523</v>
      </c>
      <c r="D41" s="129"/>
      <c r="E41" s="129"/>
      <c r="F41" s="129"/>
      <c r="G41" s="129"/>
      <c r="H41" s="62" t="s">
        <v>2444</v>
      </c>
      <c r="I41" s="63"/>
      <c r="J41" s="63" t="s">
        <v>1526</v>
      </c>
      <c r="K41" s="62" t="s">
        <v>163</v>
      </c>
      <c r="L41" s="130" t="s">
        <v>119</v>
      </c>
      <c r="M41" s="62" t="s">
        <v>1526</v>
      </c>
      <c r="N41" s="136"/>
      <c r="O41" s="65" t="s">
        <v>119</v>
      </c>
      <c r="P41" s="245" t="s">
        <v>119</v>
      </c>
      <c r="Q41" s="64"/>
      <c r="R41" s="66"/>
    </row>
    <row r="42" s="67" customFormat="true" ht="13.5" hidden="false" customHeight="true" outlineLevel="0" collapsed="false">
      <c r="A42" s="60" t="n">
        <v>33</v>
      </c>
      <c r="B42" s="127"/>
      <c r="C42" s="129"/>
      <c r="D42" s="129" t="s">
        <v>2445</v>
      </c>
      <c r="E42" s="129"/>
      <c r="F42" s="129"/>
      <c r="G42" s="129"/>
      <c r="H42" s="62" t="s">
        <v>2446</v>
      </c>
      <c r="I42" s="63" t="s">
        <v>2345</v>
      </c>
      <c r="J42" s="63" t="s">
        <v>1281</v>
      </c>
      <c r="K42" s="62" t="s">
        <v>163</v>
      </c>
      <c r="L42" s="130"/>
      <c r="M42" s="62" t="s">
        <v>118</v>
      </c>
      <c r="N42" s="136" t="s">
        <v>1535</v>
      </c>
      <c r="O42" s="65" t="s">
        <v>119</v>
      </c>
      <c r="P42" s="245"/>
      <c r="Q42" s="64"/>
      <c r="R42" s="66"/>
    </row>
    <row r="43" s="67" customFormat="true" ht="13.5" hidden="false" customHeight="true" outlineLevel="0" collapsed="false">
      <c r="A43" s="60" t="n">
        <v>34</v>
      </c>
      <c r="B43" s="127"/>
      <c r="D43" s="67" t="s">
        <v>1536</v>
      </c>
      <c r="F43" s="60"/>
      <c r="G43" s="129"/>
      <c r="H43" s="60" t="s">
        <v>2447</v>
      </c>
      <c r="I43" s="60" t="s">
        <v>1538</v>
      </c>
      <c r="J43" s="63" t="s">
        <v>1272</v>
      </c>
      <c r="K43" s="62" t="s">
        <v>163</v>
      </c>
      <c r="L43" s="130"/>
      <c r="M43" s="62" t="s">
        <v>118</v>
      </c>
      <c r="N43" s="136"/>
      <c r="O43" s="65" t="s">
        <v>119</v>
      </c>
      <c r="P43" s="245"/>
      <c r="Q43" s="64"/>
      <c r="R43" s="66"/>
    </row>
    <row r="44" s="67" customFormat="true" ht="13.5" hidden="false" customHeight="true" outlineLevel="0" collapsed="false">
      <c r="A44" s="60" t="n">
        <v>35</v>
      </c>
      <c r="B44" s="127"/>
      <c r="C44" s="129" t="s">
        <v>2448</v>
      </c>
      <c r="D44" s="129"/>
      <c r="E44" s="129"/>
      <c r="F44" s="129"/>
      <c r="G44" s="129"/>
      <c r="H44" s="62" t="s">
        <v>2449</v>
      </c>
      <c r="I44" s="63" t="s">
        <v>2450</v>
      </c>
      <c r="J44" s="63" t="s">
        <v>1313</v>
      </c>
      <c r="K44" s="62" t="s">
        <v>1247</v>
      </c>
      <c r="L44" s="130"/>
      <c r="M44" s="62" t="s">
        <v>118</v>
      </c>
      <c r="N44" s="136"/>
      <c r="O44" s="64" t="s">
        <v>119</v>
      </c>
      <c r="P44" s="64"/>
      <c r="Q44" s="64" t="s">
        <v>119</v>
      </c>
      <c r="R44" s="66"/>
    </row>
    <row r="45" s="67" customFormat="true" ht="13.5" hidden="false" customHeight="true" outlineLevel="0" collapsed="false">
      <c r="A45" s="60" t="n">
        <v>36</v>
      </c>
      <c r="B45" s="127"/>
      <c r="C45" s="127" t="s">
        <v>2451</v>
      </c>
      <c r="D45" s="129"/>
      <c r="E45" s="129"/>
      <c r="F45" s="129"/>
      <c r="G45" s="127"/>
      <c r="H45" s="136" t="s">
        <v>2452</v>
      </c>
      <c r="I45" s="63"/>
      <c r="J45" s="136" t="s">
        <v>2453</v>
      </c>
      <c r="K45" s="62" t="s">
        <v>163</v>
      </c>
      <c r="L45" s="64" t="s">
        <v>119</v>
      </c>
      <c r="M45" s="140" t="s">
        <v>1316</v>
      </c>
      <c r="N45" s="136"/>
      <c r="O45" s="64"/>
      <c r="P45" s="64"/>
      <c r="Q45" s="64"/>
      <c r="R45" s="66"/>
    </row>
    <row r="46" s="67" customFormat="true" ht="13.5" hidden="false" customHeight="true" outlineLevel="0" collapsed="false">
      <c r="A46" s="60" t="n">
        <v>37</v>
      </c>
      <c r="B46" s="127"/>
      <c r="C46" s="127"/>
      <c r="D46" s="127" t="s">
        <v>2454</v>
      </c>
      <c r="E46" s="129"/>
      <c r="F46" s="129"/>
      <c r="G46" s="129"/>
      <c r="H46" s="62"/>
      <c r="I46" s="172" t="s">
        <v>2455</v>
      </c>
      <c r="J46" s="63" t="s">
        <v>1281</v>
      </c>
      <c r="K46" s="62" t="s">
        <v>163</v>
      </c>
      <c r="L46" s="130"/>
      <c r="M46" s="62" t="s">
        <v>118</v>
      </c>
      <c r="N46" s="136" t="s">
        <v>1334</v>
      </c>
      <c r="O46" s="64"/>
      <c r="P46" s="64"/>
      <c r="Q46" s="64"/>
      <c r="R46" s="66"/>
    </row>
    <row r="47" s="145" customFormat="true" ht="13.5" hidden="false" customHeight="true" outlineLevel="0" collapsed="false">
      <c r="A47" s="60" t="n">
        <v>38</v>
      </c>
      <c r="B47" s="127"/>
      <c r="C47" s="127"/>
      <c r="D47" s="129" t="s">
        <v>1321</v>
      </c>
      <c r="E47" s="129"/>
      <c r="F47" s="129"/>
      <c r="G47" s="144"/>
      <c r="H47" s="62" t="s">
        <v>1322</v>
      </c>
      <c r="I47" s="63" t="s">
        <v>1323</v>
      </c>
      <c r="J47" s="62" t="s">
        <v>1324</v>
      </c>
      <c r="K47" s="62" t="s">
        <v>163</v>
      </c>
      <c r="L47" s="64"/>
      <c r="M47" s="62" t="s">
        <v>118</v>
      </c>
      <c r="N47" s="136"/>
      <c r="O47" s="64"/>
      <c r="P47" s="64"/>
      <c r="Q47" s="64"/>
      <c r="R47" s="189"/>
    </row>
    <row r="48" s="67" customFormat="true" ht="13.5" hidden="false" customHeight="true" outlineLevel="0" collapsed="false">
      <c r="A48" s="60" t="n">
        <v>39</v>
      </c>
      <c r="B48" s="127"/>
      <c r="C48" s="127"/>
      <c r="D48" s="129" t="s">
        <v>1325</v>
      </c>
      <c r="E48" s="129"/>
      <c r="F48" s="129"/>
      <c r="G48" s="127"/>
      <c r="H48" s="136" t="s">
        <v>2456</v>
      </c>
      <c r="I48" s="63" t="s">
        <v>1327</v>
      </c>
      <c r="J48" s="62" t="s">
        <v>126</v>
      </c>
      <c r="K48" s="62" t="s">
        <v>163</v>
      </c>
      <c r="L48" s="64"/>
      <c r="M48" s="62" t="s">
        <v>118</v>
      </c>
      <c r="N48" s="136"/>
      <c r="O48" s="64"/>
      <c r="P48" s="64"/>
      <c r="Q48" s="64"/>
      <c r="R48" s="66"/>
    </row>
    <row r="49" s="169" customFormat="true" ht="13.5" hidden="false" customHeight="true" outlineLevel="0" collapsed="false">
      <c r="A49" s="60" t="n">
        <v>40</v>
      </c>
      <c r="B49" s="127"/>
      <c r="C49" s="141"/>
      <c r="D49" s="129" t="s">
        <v>1328</v>
      </c>
      <c r="E49" s="129"/>
      <c r="F49" s="129"/>
      <c r="G49" s="176"/>
      <c r="H49" s="136" t="s">
        <v>2457</v>
      </c>
      <c r="I49" s="137"/>
      <c r="J49" s="137" t="s">
        <v>1330</v>
      </c>
      <c r="K49" s="136" t="s">
        <v>1247</v>
      </c>
      <c r="L49" s="147" t="s">
        <v>119</v>
      </c>
      <c r="M49" s="146" t="s">
        <v>1330</v>
      </c>
      <c r="N49" s="147"/>
      <c r="O49" s="147"/>
      <c r="P49" s="147"/>
      <c r="Q49" s="147"/>
      <c r="R49" s="187"/>
    </row>
    <row r="50" s="67" customFormat="true" ht="13.5" hidden="false" customHeight="true" outlineLevel="0" collapsed="false">
      <c r="A50" s="60" t="n">
        <v>41</v>
      </c>
      <c r="B50" s="127"/>
      <c r="C50" s="127"/>
      <c r="D50" s="129"/>
      <c r="E50" s="129" t="s">
        <v>1331</v>
      </c>
      <c r="F50" s="129"/>
      <c r="G50" s="129"/>
      <c r="H50" s="62" t="s">
        <v>1642</v>
      </c>
      <c r="I50" s="63" t="s">
        <v>1333</v>
      </c>
      <c r="J50" s="63" t="s">
        <v>162</v>
      </c>
      <c r="K50" s="62" t="s">
        <v>117</v>
      </c>
      <c r="L50" s="64"/>
      <c r="M50" s="62" t="s">
        <v>118</v>
      </c>
      <c r="N50" s="137" t="s">
        <v>1334</v>
      </c>
      <c r="O50" s="64"/>
      <c r="P50" s="64"/>
      <c r="Q50" s="64"/>
      <c r="R50" s="66"/>
    </row>
    <row r="51" s="67" customFormat="true" ht="13.5" hidden="false" customHeight="true" outlineLevel="0" collapsed="false">
      <c r="A51" s="60" t="n">
        <v>42</v>
      </c>
      <c r="B51" s="127"/>
      <c r="C51" s="127"/>
      <c r="D51" s="129"/>
      <c r="E51" s="129" t="s">
        <v>1335</v>
      </c>
      <c r="F51" s="129"/>
      <c r="G51" s="129"/>
      <c r="H51" s="62" t="s">
        <v>1645</v>
      </c>
      <c r="I51" s="63" t="s">
        <v>1337</v>
      </c>
      <c r="J51" s="63" t="s">
        <v>1338</v>
      </c>
      <c r="K51" s="62" t="s">
        <v>117</v>
      </c>
      <c r="L51" s="64"/>
      <c r="M51" s="62" t="s">
        <v>118</v>
      </c>
      <c r="N51" s="64"/>
      <c r="O51" s="64"/>
      <c r="P51" s="64"/>
      <c r="Q51" s="64"/>
      <c r="R51" s="66"/>
    </row>
    <row r="52" s="67" customFormat="true" ht="13.5" hidden="false" customHeight="true" outlineLevel="0" collapsed="false">
      <c r="A52" s="60" t="n">
        <v>43</v>
      </c>
      <c r="B52" s="127"/>
      <c r="C52" s="127"/>
      <c r="D52" s="129" t="s">
        <v>1340</v>
      </c>
      <c r="E52" s="129"/>
      <c r="F52" s="129"/>
      <c r="G52" s="133"/>
      <c r="H52" s="62"/>
      <c r="I52" s="63"/>
      <c r="J52" s="63" t="s">
        <v>1341</v>
      </c>
      <c r="K52" s="62" t="s">
        <v>163</v>
      </c>
      <c r="L52" s="64" t="s">
        <v>119</v>
      </c>
      <c r="M52" s="140" t="s">
        <v>1341</v>
      </c>
      <c r="N52" s="62"/>
      <c r="O52" s="64"/>
      <c r="P52" s="64"/>
      <c r="Q52" s="64"/>
      <c r="R52" s="66"/>
    </row>
    <row r="53" s="67" customFormat="true" ht="13.5" hidden="false" customHeight="true" outlineLevel="0" collapsed="false">
      <c r="A53" s="60" t="n">
        <v>44</v>
      </c>
      <c r="B53" s="127"/>
      <c r="C53" s="127"/>
      <c r="D53" s="129"/>
      <c r="E53" s="129" t="s">
        <v>1356</v>
      </c>
      <c r="F53" s="129"/>
      <c r="G53" s="69"/>
      <c r="H53" s="62" t="s">
        <v>2458</v>
      </c>
      <c r="I53" s="63" t="s">
        <v>1358</v>
      </c>
      <c r="J53" s="63" t="s">
        <v>1359</v>
      </c>
      <c r="K53" s="62" t="s">
        <v>117</v>
      </c>
      <c r="L53" s="64"/>
      <c r="M53" s="62" t="s">
        <v>118</v>
      </c>
      <c r="N53" s="62" t="s">
        <v>1360</v>
      </c>
      <c r="O53" s="64"/>
      <c r="P53" s="64"/>
      <c r="Q53" s="64"/>
      <c r="R53" s="66"/>
    </row>
    <row r="54" s="151" customFormat="true" ht="13.5" hidden="false" customHeight="true" outlineLevel="0" collapsed="false">
      <c r="A54" s="60" t="n">
        <v>45</v>
      </c>
      <c r="B54" s="127"/>
      <c r="C54" s="127"/>
      <c r="D54" s="129"/>
      <c r="E54" s="129" t="s">
        <v>1361</v>
      </c>
      <c r="F54" s="129"/>
      <c r="G54" s="133"/>
      <c r="H54" s="62" t="s">
        <v>2459</v>
      </c>
      <c r="I54" s="63" t="s">
        <v>1363</v>
      </c>
      <c r="J54" s="63" t="s">
        <v>1364</v>
      </c>
      <c r="K54" s="62" t="s">
        <v>163</v>
      </c>
      <c r="L54" s="64"/>
      <c r="M54" s="62" t="s">
        <v>118</v>
      </c>
      <c r="N54" s="62"/>
      <c r="O54" s="64"/>
      <c r="P54" s="64"/>
      <c r="Q54" s="64"/>
      <c r="R54" s="190"/>
    </row>
    <row r="55" s="151" customFormat="true" ht="13.5" hidden="false" customHeight="true" outlineLevel="0" collapsed="false">
      <c r="A55" s="60" t="n">
        <v>46</v>
      </c>
      <c r="B55" s="127"/>
      <c r="C55" s="127"/>
      <c r="D55" s="129"/>
      <c r="E55" s="129" t="s">
        <v>1365</v>
      </c>
      <c r="F55" s="129"/>
      <c r="G55" s="133"/>
      <c r="H55" s="62"/>
      <c r="I55" s="63"/>
      <c r="J55" s="63" t="s">
        <v>1367</v>
      </c>
      <c r="K55" s="62" t="s">
        <v>163</v>
      </c>
      <c r="L55" s="64" t="s">
        <v>119</v>
      </c>
      <c r="M55" s="140" t="s">
        <v>1367</v>
      </c>
      <c r="N55" s="62"/>
      <c r="O55" s="64"/>
      <c r="P55" s="64"/>
      <c r="Q55" s="64"/>
      <c r="R55" s="190"/>
    </row>
    <row r="56" s="151" customFormat="true" ht="13.5" hidden="false" customHeight="true" outlineLevel="0" collapsed="false">
      <c r="A56" s="60" t="n">
        <v>47</v>
      </c>
      <c r="B56" s="127"/>
      <c r="C56" s="127"/>
      <c r="D56" s="129"/>
      <c r="E56" s="129"/>
      <c r="F56" s="129" t="s">
        <v>1368</v>
      </c>
      <c r="G56" s="129"/>
      <c r="H56" s="62" t="s">
        <v>2460</v>
      </c>
      <c r="I56" s="63" t="s">
        <v>1370</v>
      </c>
      <c r="J56" s="63" t="s">
        <v>1359</v>
      </c>
      <c r="K56" s="62" t="s">
        <v>117</v>
      </c>
      <c r="L56" s="64"/>
      <c r="M56" s="62" t="s">
        <v>118</v>
      </c>
      <c r="N56" s="62" t="s">
        <v>1371</v>
      </c>
      <c r="O56" s="64"/>
      <c r="P56" s="64"/>
      <c r="Q56" s="64"/>
      <c r="R56" s="190"/>
    </row>
    <row r="57" s="67" customFormat="true" ht="13.5" hidden="false" customHeight="true" outlineLevel="0" collapsed="false">
      <c r="A57" s="60" t="n">
        <v>48</v>
      </c>
      <c r="B57" s="127"/>
      <c r="C57" s="127"/>
      <c r="D57" s="129"/>
      <c r="E57" s="129"/>
      <c r="F57" s="129" t="s">
        <v>1372</v>
      </c>
      <c r="G57" s="129"/>
      <c r="H57" s="62" t="s">
        <v>2461</v>
      </c>
      <c r="I57" s="63" t="s">
        <v>1374</v>
      </c>
      <c r="J57" s="63" t="s">
        <v>1281</v>
      </c>
      <c r="K57" s="62" t="s">
        <v>163</v>
      </c>
      <c r="L57" s="64"/>
      <c r="M57" s="62" t="s">
        <v>118</v>
      </c>
      <c r="N57" s="62"/>
      <c r="O57" s="64"/>
      <c r="P57" s="64"/>
      <c r="Q57" s="64"/>
      <c r="R57" s="66"/>
    </row>
    <row r="58" s="67" customFormat="true" ht="13.5" hidden="false" customHeight="true" outlineLevel="0" collapsed="false">
      <c r="A58" s="60" t="n">
        <v>49</v>
      </c>
      <c r="B58" s="127"/>
      <c r="C58" s="127"/>
      <c r="D58" s="129"/>
      <c r="E58" s="129"/>
      <c r="F58" s="129" t="s">
        <v>1345</v>
      </c>
      <c r="G58" s="129"/>
      <c r="H58" s="62" t="s">
        <v>2462</v>
      </c>
      <c r="I58" s="63" t="s">
        <v>1376</v>
      </c>
      <c r="J58" s="63" t="s">
        <v>126</v>
      </c>
      <c r="K58" s="62" t="s">
        <v>163</v>
      </c>
      <c r="L58" s="64"/>
      <c r="M58" s="62" t="s">
        <v>118</v>
      </c>
      <c r="N58" s="62"/>
      <c r="O58" s="64"/>
      <c r="P58" s="64"/>
      <c r="Q58" s="64"/>
      <c r="R58" s="66"/>
    </row>
    <row r="59" s="67" customFormat="true" ht="13.5" hidden="false" customHeight="true" outlineLevel="0" collapsed="false">
      <c r="A59" s="60" t="n">
        <v>50</v>
      </c>
      <c r="B59" s="127"/>
      <c r="C59" s="127"/>
      <c r="D59" s="129" t="s">
        <v>1377</v>
      </c>
      <c r="E59" s="129"/>
      <c r="F59" s="129"/>
      <c r="G59" s="133"/>
      <c r="H59" s="62"/>
      <c r="I59" s="63"/>
      <c r="J59" s="63" t="s">
        <v>1379</v>
      </c>
      <c r="K59" s="62" t="s">
        <v>163</v>
      </c>
      <c r="L59" s="64" t="s">
        <v>119</v>
      </c>
      <c r="M59" s="140" t="s">
        <v>1379</v>
      </c>
      <c r="N59" s="62"/>
      <c r="O59" s="64"/>
      <c r="P59" s="64"/>
      <c r="Q59" s="64"/>
      <c r="R59" s="66"/>
    </row>
    <row r="60" s="61" customFormat="true" ht="13.5" hidden="false" customHeight="true" outlineLevel="0" collapsed="false">
      <c r="A60" s="60" t="n">
        <v>51</v>
      </c>
      <c r="B60" s="127"/>
      <c r="C60" s="127"/>
      <c r="D60" s="129"/>
      <c r="E60" s="129" t="s">
        <v>1380</v>
      </c>
      <c r="F60" s="129"/>
      <c r="G60" s="127"/>
      <c r="H60" s="62" t="s">
        <v>2463</v>
      </c>
      <c r="I60" s="63" t="s">
        <v>1382</v>
      </c>
      <c r="J60" s="63" t="s">
        <v>126</v>
      </c>
      <c r="K60" s="62" t="s">
        <v>163</v>
      </c>
      <c r="L60" s="64"/>
      <c r="M60" s="62" t="s">
        <v>118</v>
      </c>
      <c r="N60" s="62"/>
      <c r="O60" s="64"/>
      <c r="P60" s="64"/>
      <c r="Q60" s="64"/>
      <c r="R60" s="191"/>
    </row>
    <row r="61" s="67" customFormat="true" ht="13.5" hidden="false" customHeight="true" outlineLevel="0" collapsed="false">
      <c r="A61" s="60" t="n">
        <v>52</v>
      </c>
      <c r="B61" s="127"/>
      <c r="C61" s="127"/>
      <c r="D61" s="129"/>
      <c r="E61" s="129" t="s">
        <v>1383</v>
      </c>
      <c r="F61" s="129"/>
      <c r="G61" s="127"/>
      <c r="H61" s="62" t="s">
        <v>2464</v>
      </c>
      <c r="I61" s="63" t="n">
        <v>59350</v>
      </c>
      <c r="J61" s="63" t="s">
        <v>1385</v>
      </c>
      <c r="K61" s="62" t="s">
        <v>163</v>
      </c>
      <c r="L61" s="64"/>
      <c r="M61" s="62" t="s">
        <v>118</v>
      </c>
      <c r="N61" s="62" t="s">
        <v>1386</v>
      </c>
      <c r="O61" s="64"/>
      <c r="P61" s="64"/>
      <c r="Q61" s="64"/>
      <c r="R61" s="66"/>
    </row>
    <row r="62" s="67" customFormat="true" ht="13.5" hidden="false" customHeight="true" outlineLevel="0" collapsed="false">
      <c r="A62" s="60" t="n">
        <v>53</v>
      </c>
      <c r="B62" s="127"/>
      <c r="C62" s="127"/>
      <c r="D62" s="129"/>
      <c r="E62" s="129" t="s">
        <v>1387</v>
      </c>
      <c r="F62" s="129"/>
      <c r="G62" s="129"/>
      <c r="H62" s="136" t="s">
        <v>1388</v>
      </c>
      <c r="I62" s="63" t="s">
        <v>1389</v>
      </c>
      <c r="J62" s="63" t="s">
        <v>1390</v>
      </c>
      <c r="K62" s="62" t="s">
        <v>163</v>
      </c>
      <c r="L62" s="64"/>
      <c r="M62" s="152" t="s">
        <v>118</v>
      </c>
      <c r="N62" s="62"/>
      <c r="O62" s="64"/>
      <c r="P62" s="64"/>
      <c r="Q62" s="64"/>
      <c r="R62" s="66"/>
    </row>
    <row r="63" s="153" customFormat="true" ht="13.5" hidden="false" customHeight="true" outlineLevel="0" collapsed="false">
      <c r="A63" s="60" t="n">
        <v>54</v>
      </c>
      <c r="B63" s="127"/>
      <c r="C63" s="127"/>
      <c r="D63" s="129" t="s">
        <v>1391</v>
      </c>
      <c r="E63" s="129"/>
      <c r="F63" s="129"/>
      <c r="G63" s="133"/>
      <c r="H63" s="62" t="s">
        <v>2465</v>
      </c>
      <c r="I63" s="63"/>
      <c r="J63" s="63" t="s">
        <v>1393</v>
      </c>
      <c r="K63" s="62" t="s">
        <v>163</v>
      </c>
      <c r="L63" s="64" t="s">
        <v>119</v>
      </c>
      <c r="M63" s="140" t="s">
        <v>1393</v>
      </c>
      <c r="N63" s="62"/>
      <c r="O63" s="64"/>
      <c r="P63" s="64"/>
      <c r="Q63" s="64"/>
      <c r="R63" s="192"/>
    </row>
    <row r="64" s="153" customFormat="true" ht="13.5" hidden="false" customHeight="true" outlineLevel="0" collapsed="false">
      <c r="A64" s="60" t="n">
        <v>55</v>
      </c>
      <c r="B64" s="127"/>
      <c r="C64" s="127"/>
      <c r="D64" s="129"/>
      <c r="E64" s="129" t="s">
        <v>1394</v>
      </c>
      <c r="F64" s="129"/>
      <c r="G64" s="133"/>
      <c r="H64" s="62" t="s">
        <v>2466</v>
      </c>
      <c r="I64" s="63" t="s">
        <v>1396</v>
      </c>
      <c r="J64" s="63" t="s">
        <v>1397</v>
      </c>
      <c r="K64" s="62" t="s">
        <v>163</v>
      </c>
      <c r="L64" s="64"/>
      <c r="M64" s="152" t="s">
        <v>118</v>
      </c>
      <c r="N64" s="62"/>
      <c r="O64" s="64"/>
      <c r="P64" s="64"/>
      <c r="Q64" s="64"/>
      <c r="R64" s="192"/>
    </row>
    <row r="65" s="153" customFormat="true" ht="13.5" hidden="false" customHeight="true" outlineLevel="0" collapsed="false">
      <c r="A65" s="60" t="n">
        <v>56</v>
      </c>
      <c r="B65" s="127"/>
      <c r="C65" s="127"/>
      <c r="D65" s="129"/>
      <c r="E65" s="129" t="s">
        <v>1398</v>
      </c>
      <c r="F65" s="129"/>
      <c r="G65" s="133"/>
      <c r="H65" s="62" t="s">
        <v>2467</v>
      </c>
      <c r="I65" s="63" t="s">
        <v>1400</v>
      </c>
      <c r="J65" s="63" t="s">
        <v>1401</v>
      </c>
      <c r="K65" s="62" t="s">
        <v>163</v>
      </c>
      <c r="L65" s="64"/>
      <c r="M65" s="152" t="s">
        <v>118</v>
      </c>
      <c r="N65" s="62"/>
      <c r="O65" s="64"/>
      <c r="P65" s="64"/>
      <c r="Q65" s="64"/>
      <c r="R65" s="192"/>
    </row>
    <row r="66" s="154" customFormat="true" ht="13.5" hidden="false" customHeight="true" outlineLevel="0" collapsed="false">
      <c r="A66" s="60" t="n">
        <v>57</v>
      </c>
      <c r="B66" s="127"/>
      <c r="C66" s="127"/>
      <c r="D66" s="129"/>
      <c r="E66" s="129" t="s">
        <v>1402</v>
      </c>
      <c r="F66" s="129"/>
      <c r="G66" s="133"/>
      <c r="H66" s="62" t="s">
        <v>2468</v>
      </c>
      <c r="I66" s="63" t="s">
        <v>1404</v>
      </c>
      <c r="J66" s="63" t="s">
        <v>1405</v>
      </c>
      <c r="K66" s="62" t="s">
        <v>163</v>
      </c>
      <c r="L66" s="64"/>
      <c r="M66" s="152" t="s">
        <v>118</v>
      </c>
      <c r="N66" s="62"/>
      <c r="O66" s="64"/>
      <c r="P66" s="64"/>
      <c r="Q66" s="64"/>
      <c r="R66" s="193"/>
    </row>
    <row r="67" s="154" customFormat="true" ht="13.5" hidden="false" customHeight="true" outlineLevel="0" collapsed="false">
      <c r="A67" s="60" t="n">
        <v>58</v>
      </c>
      <c r="B67" s="127"/>
      <c r="C67" s="127"/>
      <c r="D67" s="129"/>
      <c r="E67" s="129" t="s">
        <v>1406</v>
      </c>
      <c r="F67" s="129"/>
      <c r="G67" s="133"/>
      <c r="H67" s="62" t="s">
        <v>2469</v>
      </c>
      <c r="I67" s="63" t="s">
        <v>1408</v>
      </c>
      <c r="J67" s="63" t="s">
        <v>1409</v>
      </c>
      <c r="K67" s="62" t="s">
        <v>1247</v>
      </c>
      <c r="L67" s="64"/>
      <c r="M67" s="152" t="s">
        <v>118</v>
      </c>
      <c r="N67" s="62"/>
      <c r="O67" s="64"/>
      <c r="P67" s="64"/>
      <c r="Q67" s="64"/>
      <c r="R67" s="193"/>
    </row>
    <row r="68" s="154" customFormat="true" ht="13.5" hidden="false" customHeight="true" outlineLevel="0" collapsed="false">
      <c r="A68" s="60" t="n">
        <v>59</v>
      </c>
      <c r="B68" s="127"/>
      <c r="C68" s="127"/>
      <c r="D68" s="129"/>
      <c r="E68" s="129" t="s">
        <v>1410</v>
      </c>
      <c r="F68" s="129"/>
      <c r="G68" s="133"/>
      <c r="H68" s="62" t="s">
        <v>2470</v>
      </c>
      <c r="I68" s="63" t="s">
        <v>1412</v>
      </c>
      <c r="J68" s="63" t="s">
        <v>1413</v>
      </c>
      <c r="K68" s="62" t="s">
        <v>163</v>
      </c>
      <c r="L68" s="64"/>
      <c r="M68" s="152" t="s">
        <v>118</v>
      </c>
      <c r="N68" s="62"/>
      <c r="O68" s="64"/>
      <c r="P68" s="64"/>
      <c r="Q68" s="64"/>
      <c r="R68" s="193"/>
    </row>
    <row r="69" s="155" customFormat="true" ht="13.5" hidden="false" customHeight="true" outlineLevel="0" collapsed="false">
      <c r="A69" s="60" t="n">
        <v>60</v>
      </c>
      <c r="B69" s="127"/>
      <c r="C69" s="127"/>
      <c r="D69" s="129"/>
      <c r="E69" s="129" t="s">
        <v>1414</v>
      </c>
      <c r="F69" s="129"/>
      <c r="G69" s="133"/>
      <c r="H69" s="62" t="s">
        <v>2471</v>
      </c>
      <c r="I69" s="63" t="s">
        <v>1416</v>
      </c>
      <c r="J69" s="63" t="s">
        <v>1417</v>
      </c>
      <c r="K69" s="62" t="s">
        <v>163</v>
      </c>
      <c r="L69" s="64"/>
      <c r="M69" s="152" t="s">
        <v>118</v>
      </c>
      <c r="N69" s="62"/>
      <c r="O69" s="64"/>
      <c r="P69" s="64"/>
      <c r="Q69" s="64"/>
      <c r="R69" s="194"/>
    </row>
    <row r="70" s="157" customFormat="true" ht="13.5" hidden="false" customHeight="true" outlineLevel="0" collapsed="false">
      <c r="A70" s="60" t="n">
        <v>61</v>
      </c>
      <c r="B70" s="127"/>
      <c r="C70" s="127"/>
      <c r="D70" s="129"/>
      <c r="E70" s="129" t="s">
        <v>1418</v>
      </c>
      <c r="F70" s="129"/>
      <c r="G70" s="133"/>
      <c r="H70" s="62"/>
      <c r="I70" s="63" t="s">
        <v>2472</v>
      </c>
      <c r="J70" s="63" t="s">
        <v>1420</v>
      </c>
      <c r="K70" s="62" t="s">
        <v>163</v>
      </c>
      <c r="L70" s="64"/>
      <c r="M70" s="152" t="s">
        <v>118</v>
      </c>
      <c r="N70" s="62"/>
      <c r="O70" s="64"/>
      <c r="P70" s="64"/>
      <c r="Q70" s="64"/>
      <c r="R70" s="195"/>
    </row>
    <row r="71" s="153" customFormat="true" ht="13.5" hidden="false" customHeight="true" outlineLevel="0" collapsed="false">
      <c r="A71" s="60" t="n">
        <v>62</v>
      </c>
      <c r="B71" s="127"/>
      <c r="C71" s="127"/>
      <c r="D71" s="129"/>
      <c r="E71" s="129" t="s">
        <v>1421</v>
      </c>
      <c r="F71" s="129"/>
      <c r="G71" s="133"/>
      <c r="H71" s="62" t="s">
        <v>2473</v>
      </c>
      <c r="I71" s="63" t="s">
        <v>1423</v>
      </c>
      <c r="J71" s="63" t="s">
        <v>1424</v>
      </c>
      <c r="K71" s="62" t="s">
        <v>163</v>
      </c>
      <c r="L71" s="64"/>
      <c r="M71" s="152" t="s">
        <v>118</v>
      </c>
      <c r="N71" s="62"/>
      <c r="O71" s="64"/>
      <c r="P71" s="64"/>
      <c r="Q71" s="64"/>
      <c r="R71" s="192"/>
    </row>
    <row r="72" s="153" customFormat="true" ht="13.5" hidden="false" customHeight="true" outlineLevel="0" collapsed="false">
      <c r="A72" s="60" t="n">
        <v>63</v>
      </c>
      <c r="B72" s="127"/>
      <c r="C72" s="127"/>
      <c r="D72" s="129"/>
      <c r="E72" s="129" t="s">
        <v>1425</v>
      </c>
      <c r="F72" s="129"/>
      <c r="G72" s="129"/>
      <c r="H72" s="62" t="s">
        <v>2474</v>
      </c>
      <c r="I72" s="63" t="n">
        <v>33123452323</v>
      </c>
      <c r="J72" s="63" t="s">
        <v>1428</v>
      </c>
      <c r="K72" s="62" t="s">
        <v>163</v>
      </c>
      <c r="L72" s="64"/>
      <c r="M72" s="62" t="s">
        <v>1364</v>
      </c>
      <c r="N72" s="62"/>
      <c r="O72" s="64"/>
      <c r="P72" s="64"/>
      <c r="Q72" s="64"/>
      <c r="R72" s="192"/>
    </row>
    <row r="73" s="67" customFormat="true" ht="13.5" hidden="false" customHeight="true" outlineLevel="0" collapsed="false">
      <c r="A73" s="60" t="n">
        <v>64</v>
      </c>
      <c r="B73" s="127"/>
      <c r="C73" s="127"/>
      <c r="D73" s="129" t="s">
        <v>1430</v>
      </c>
      <c r="E73" s="129"/>
      <c r="F73" s="129"/>
      <c r="G73" s="127"/>
      <c r="H73" s="62"/>
      <c r="I73" s="63"/>
      <c r="J73" s="63" t="s">
        <v>1432</v>
      </c>
      <c r="K73" s="62" t="s">
        <v>163</v>
      </c>
      <c r="L73" s="64" t="s">
        <v>119</v>
      </c>
      <c r="M73" s="140" t="s">
        <v>1432</v>
      </c>
      <c r="N73" s="62"/>
      <c r="O73" s="64"/>
      <c r="P73" s="64"/>
      <c r="Q73" s="64"/>
      <c r="R73" s="66"/>
    </row>
    <row r="74" s="67" customFormat="true" ht="13.5" hidden="false" customHeight="true" outlineLevel="0" collapsed="false">
      <c r="A74" s="60" t="n">
        <v>65</v>
      </c>
      <c r="B74" s="127"/>
      <c r="C74" s="127"/>
      <c r="D74" s="129"/>
      <c r="E74" s="129" t="s">
        <v>1433</v>
      </c>
      <c r="F74" s="129"/>
      <c r="G74" s="129"/>
      <c r="H74" s="62" t="s">
        <v>2475</v>
      </c>
      <c r="I74" s="63" t="s">
        <v>1214</v>
      </c>
      <c r="J74" s="63" t="s">
        <v>2476</v>
      </c>
      <c r="K74" s="62" t="s">
        <v>117</v>
      </c>
      <c r="L74" s="64"/>
      <c r="M74" s="62" t="s">
        <v>134</v>
      </c>
      <c r="N74" s="62"/>
      <c r="O74" s="64"/>
      <c r="P74" s="64"/>
      <c r="Q74" s="64"/>
      <c r="R74" s="66"/>
    </row>
    <row r="75" s="67" customFormat="true" ht="13.5" hidden="false" customHeight="true" outlineLevel="0" collapsed="false">
      <c r="A75" s="60" t="n">
        <v>66</v>
      </c>
      <c r="B75" s="127"/>
      <c r="C75" s="127"/>
      <c r="D75" s="129"/>
      <c r="E75" s="129" t="s">
        <v>1435</v>
      </c>
      <c r="F75" s="129"/>
      <c r="G75" s="127"/>
      <c r="H75" s="62" t="s">
        <v>2477</v>
      </c>
      <c r="I75" s="63"/>
      <c r="J75" s="63" t="s">
        <v>1437</v>
      </c>
      <c r="K75" s="62" t="s">
        <v>163</v>
      </c>
      <c r="L75" s="64" t="s">
        <v>119</v>
      </c>
      <c r="M75" s="140" t="s">
        <v>1437</v>
      </c>
      <c r="N75" s="62"/>
      <c r="O75" s="64"/>
      <c r="P75" s="64"/>
      <c r="Q75" s="64"/>
      <c r="R75" s="66"/>
    </row>
    <row r="76" s="67" customFormat="true" ht="13.5" hidden="false" customHeight="true" outlineLevel="0" collapsed="false">
      <c r="A76" s="60" t="n">
        <v>67</v>
      </c>
      <c r="B76" s="127"/>
      <c r="C76" s="127"/>
      <c r="D76" s="129"/>
      <c r="E76" s="129"/>
      <c r="F76" s="129" t="s">
        <v>1438</v>
      </c>
      <c r="G76" s="127"/>
      <c r="H76" s="62" t="s">
        <v>2478</v>
      </c>
      <c r="I76" s="63"/>
      <c r="J76" s="63" t="s">
        <v>1440</v>
      </c>
      <c r="K76" s="62" t="s">
        <v>117</v>
      </c>
      <c r="L76" s="64" t="s">
        <v>119</v>
      </c>
      <c r="M76" s="140" t="s">
        <v>1440</v>
      </c>
      <c r="N76" s="62"/>
      <c r="O76" s="64"/>
      <c r="P76" s="64"/>
      <c r="Q76" s="64"/>
      <c r="R76" s="66"/>
    </row>
    <row r="77" s="67" customFormat="true" ht="13.5" hidden="false" customHeight="true" outlineLevel="0" collapsed="false">
      <c r="A77" s="60" t="n">
        <v>68</v>
      </c>
      <c r="B77" s="127"/>
      <c r="C77" s="127"/>
      <c r="D77" s="129"/>
      <c r="E77" s="129"/>
      <c r="F77" s="129"/>
      <c r="G77" s="127" t="s">
        <v>1441</v>
      </c>
      <c r="H77" s="62" t="s">
        <v>2479</v>
      </c>
      <c r="I77" s="63" t="s">
        <v>1443</v>
      </c>
      <c r="J77" s="63" t="s">
        <v>1444</v>
      </c>
      <c r="K77" s="62" t="s">
        <v>117</v>
      </c>
      <c r="L77" s="64"/>
      <c r="M77" s="62" t="s">
        <v>1364</v>
      </c>
      <c r="N77" s="62"/>
      <c r="O77" s="64"/>
      <c r="P77" s="64"/>
      <c r="Q77" s="64"/>
      <c r="R77" s="66"/>
    </row>
    <row r="78" s="153" customFormat="true" ht="13.5" hidden="false" customHeight="true" outlineLevel="0" collapsed="false">
      <c r="A78" s="60" t="n">
        <v>69</v>
      </c>
      <c r="B78" s="127"/>
      <c r="C78" s="127"/>
      <c r="D78" s="129"/>
      <c r="E78" s="129"/>
      <c r="F78" s="129"/>
      <c r="G78" s="127" t="s">
        <v>1445</v>
      </c>
      <c r="H78" s="62" t="s">
        <v>2480</v>
      </c>
      <c r="I78" s="63" t="s">
        <v>1447</v>
      </c>
      <c r="J78" s="63" t="s">
        <v>1448</v>
      </c>
      <c r="K78" s="62" t="s">
        <v>117</v>
      </c>
      <c r="L78" s="64"/>
      <c r="M78" s="62" t="s">
        <v>1364</v>
      </c>
      <c r="N78" s="62"/>
      <c r="O78" s="64"/>
      <c r="P78" s="64"/>
      <c r="Q78" s="64"/>
      <c r="R78" s="192"/>
    </row>
    <row r="79" s="154" customFormat="true" ht="13.5" hidden="false" customHeight="true" outlineLevel="0" collapsed="false">
      <c r="A79" s="60" t="n">
        <v>70</v>
      </c>
      <c r="B79" s="127"/>
      <c r="C79" s="127"/>
      <c r="D79" s="129"/>
      <c r="E79" s="129"/>
      <c r="F79" s="129"/>
      <c r="G79" s="248" t="s">
        <v>1449</v>
      </c>
      <c r="H79" s="62" t="s">
        <v>2481</v>
      </c>
      <c r="I79" s="63" t="n">
        <v>120</v>
      </c>
      <c r="J79" s="62" t="s">
        <v>1451</v>
      </c>
      <c r="K79" s="62" t="s">
        <v>163</v>
      </c>
      <c r="L79" s="64"/>
      <c r="M79" s="62" t="s">
        <v>1364</v>
      </c>
      <c r="N79" s="62"/>
      <c r="O79" s="64"/>
      <c r="P79" s="64"/>
      <c r="Q79" s="64"/>
      <c r="R79" s="193"/>
    </row>
    <row r="80" s="154" customFormat="true" ht="13.5" hidden="false" customHeight="true" outlineLevel="0" collapsed="false">
      <c r="A80" s="60" t="n">
        <v>71</v>
      </c>
      <c r="B80" s="127"/>
      <c r="C80" s="127"/>
      <c r="D80" s="129"/>
      <c r="E80" s="129"/>
      <c r="F80" s="129"/>
      <c r="G80" s="129" t="s">
        <v>1458</v>
      </c>
      <c r="H80" s="62" t="s">
        <v>2482</v>
      </c>
      <c r="I80" s="63" t="s">
        <v>2191</v>
      </c>
      <c r="J80" s="63" t="s">
        <v>1461</v>
      </c>
      <c r="K80" s="62" t="s">
        <v>117</v>
      </c>
      <c r="L80" s="64"/>
      <c r="M80" s="62" t="s">
        <v>118</v>
      </c>
      <c r="N80" s="137" t="s">
        <v>1462</v>
      </c>
      <c r="O80" s="64"/>
      <c r="P80" s="64"/>
      <c r="Q80" s="64"/>
      <c r="R80" s="193"/>
    </row>
    <row r="81" s="153" customFormat="true" ht="13.5" hidden="false" customHeight="true" outlineLevel="0" collapsed="false">
      <c r="A81" s="60" t="n">
        <v>72</v>
      </c>
      <c r="B81" s="127"/>
      <c r="C81" s="127"/>
      <c r="D81" s="129"/>
      <c r="E81" s="129"/>
      <c r="F81" s="129" t="s">
        <v>1467</v>
      </c>
      <c r="G81" s="127"/>
      <c r="H81" s="62" t="s">
        <v>2483</v>
      </c>
      <c r="I81" s="63" t="s">
        <v>1469</v>
      </c>
      <c r="J81" s="63" t="s">
        <v>1470</v>
      </c>
      <c r="K81" s="62" t="s">
        <v>163</v>
      </c>
      <c r="L81" s="64"/>
      <c r="M81" s="62" t="s">
        <v>118</v>
      </c>
      <c r="N81" s="137"/>
      <c r="O81" s="64"/>
      <c r="P81" s="64"/>
      <c r="Q81" s="64"/>
      <c r="R81" s="192"/>
    </row>
    <row r="82" s="153" customFormat="true" ht="13.5" hidden="false" customHeight="true" outlineLevel="0" collapsed="false">
      <c r="A82" s="60" t="n">
        <v>73</v>
      </c>
      <c r="B82" s="127"/>
      <c r="C82" s="127"/>
      <c r="D82" s="129"/>
      <c r="E82" s="129" t="s">
        <v>1471</v>
      </c>
      <c r="F82" s="129"/>
      <c r="G82" s="127"/>
      <c r="H82" s="62" t="s">
        <v>1472</v>
      </c>
      <c r="I82" s="63"/>
      <c r="J82" s="63" t="s">
        <v>1473</v>
      </c>
      <c r="K82" s="62" t="s">
        <v>163</v>
      </c>
      <c r="L82" s="64"/>
      <c r="M82" s="62" t="s">
        <v>118</v>
      </c>
      <c r="N82" s="137"/>
      <c r="O82" s="64"/>
      <c r="P82" s="64"/>
      <c r="Q82" s="64"/>
      <c r="R82" s="192"/>
    </row>
    <row r="83" s="67" customFormat="true" ht="13.5" hidden="false" customHeight="true" outlineLevel="0" collapsed="false">
      <c r="A83" s="60" t="n">
        <v>74</v>
      </c>
      <c r="B83" s="127"/>
      <c r="C83" s="127"/>
      <c r="D83" s="129" t="s">
        <v>1474</v>
      </c>
      <c r="E83" s="129"/>
      <c r="F83" s="129"/>
      <c r="G83" s="127"/>
      <c r="H83" s="62" t="s">
        <v>2484</v>
      </c>
      <c r="I83" s="63"/>
      <c r="J83" s="63" t="s">
        <v>1476</v>
      </c>
      <c r="K83" s="62" t="s">
        <v>1247</v>
      </c>
      <c r="L83" s="64" t="s">
        <v>119</v>
      </c>
      <c r="M83" s="140" t="s">
        <v>1476</v>
      </c>
      <c r="N83" s="137"/>
      <c r="O83" s="64"/>
      <c r="P83" s="64"/>
      <c r="Q83" s="64"/>
      <c r="R83" s="66"/>
    </row>
    <row r="84" s="67" customFormat="true" ht="13.5" hidden="false" customHeight="true" outlineLevel="0" collapsed="false">
      <c r="A84" s="60" t="n">
        <v>75</v>
      </c>
      <c r="B84" s="127"/>
      <c r="C84" s="127"/>
      <c r="D84" s="129"/>
      <c r="E84" s="129" t="s">
        <v>1477</v>
      </c>
      <c r="F84" s="129"/>
      <c r="G84" s="127"/>
      <c r="H84" s="62" t="s">
        <v>2485</v>
      </c>
      <c r="I84" s="63" t="s">
        <v>2486</v>
      </c>
      <c r="J84" s="63" t="s">
        <v>1313</v>
      </c>
      <c r="K84" s="62" t="s">
        <v>117</v>
      </c>
      <c r="L84" s="64"/>
      <c r="M84" s="62" t="s">
        <v>118</v>
      </c>
      <c r="N84" s="137" t="s">
        <v>1480</v>
      </c>
      <c r="O84" s="64"/>
      <c r="P84" s="64"/>
      <c r="Q84" s="64"/>
      <c r="R84" s="66"/>
    </row>
    <row r="85" s="67" customFormat="true" ht="13.5" hidden="false" customHeight="true" outlineLevel="0" collapsed="false">
      <c r="A85" s="60" t="n">
        <v>76</v>
      </c>
      <c r="B85" s="127"/>
      <c r="C85" s="127"/>
      <c r="D85" s="129"/>
      <c r="E85" s="129" t="s">
        <v>1481</v>
      </c>
      <c r="F85" s="129"/>
      <c r="G85" s="127"/>
      <c r="H85" s="62" t="s">
        <v>2487</v>
      </c>
      <c r="I85" s="63" t="s">
        <v>2488</v>
      </c>
      <c r="J85" s="63" t="s">
        <v>1281</v>
      </c>
      <c r="K85" s="62" t="s">
        <v>117</v>
      </c>
      <c r="L85" s="64"/>
      <c r="M85" s="62" t="s">
        <v>118</v>
      </c>
      <c r="N85" s="137" t="s">
        <v>1484</v>
      </c>
      <c r="O85" s="64"/>
      <c r="P85" s="64"/>
      <c r="Q85" s="64"/>
      <c r="R85" s="66"/>
    </row>
    <row r="86" s="61" customFormat="true" ht="13.5" hidden="false" customHeight="true" outlineLevel="0" collapsed="false">
      <c r="A86" s="60" t="n">
        <v>77</v>
      </c>
      <c r="B86" s="127"/>
      <c r="C86" s="127"/>
      <c r="D86" s="129"/>
      <c r="E86" s="129" t="s">
        <v>1335</v>
      </c>
      <c r="F86" s="129"/>
      <c r="G86" s="127"/>
      <c r="H86" s="62" t="s">
        <v>2489</v>
      </c>
      <c r="I86" s="63" t="s">
        <v>2490</v>
      </c>
      <c r="J86" s="63" t="s">
        <v>1487</v>
      </c>
      <c r="K86" s="62" t="s">
        <v>117</v>
      </c>
      <c r="L86" s="64"/>
      <c r="M86" s="152" t="s">
        <v>118</v>
      </c>
      <c r="N86" s="62"/>
      <c r="O86" s="64"/>
      <c r="P86" s="64"/>
      <c r="Q86" s="64"/>
      <c r="R86" s="191"/>
    </row>
    <row r="87" s="67" customFormat="true" ht="13.5" hidden="false" customHeight="true" outlineLevel="0" collapsed="false">
      <c r="A87" s="60" t="n">
        <v>78</v>
      </c>
      <c r="B87" s="127"/>
      <c r="C87" s="127"/>
      <c r="D87" s="129" t="s">
        <v>1488</v>
      </c>
      <c r="E87" s="129"/>
      <c r="F87" s="129"/>
      <c r="G87" s="127"/>
      <c r="H87" s="62"/>
      <c r="I87" s="63" t="s">
        <v>1489</v>
      </c>
      <c r="J87" s="62" t="s">
        <v>1490</v>
      </c>
      <c r="K87" s="62" t="s">
        <v>117</v>
      </c>
      <c r="L87" s="64"/>
      <c r="M87" s="152" t="s">
        <v>118</v>
      </c>
      <c r="N87" s="62" t="s">
        <v>1491</v>
      </c>
      <c r="O87" s="64"/>
      <c r="P87" s="64"/>
      <c r="Q87" s="64"/>
      <c r="R87" s="66"/>
    </row>
    <row r="88" s="67" customFormat="true" ht="13.5" hidden="false" customHeight="true" outlineLevel="0" collapsed="false">
      <c r="A88" s="60" t="n">
        <v>79</v>
      </c>
      <c r="B88" s="127"/>
      <c r="C88" s="127"/>
      <c r="D88" s="129" t="s">
        <v>1492</v>
      </c>
      <c r="E88" s="129"/>
      <c r="F88" s="129"/>
      <c r="G88" s="127"/>
      <c r="H88" s="62" t="s">
        <v>2491</v>
      </c>
      <c r="I88" s="63" t="s">
        <v>1494</v>
      </c>
      <c r="J88" s="63" t="s">
        <v>1313</v>
      </c>
      <c r="K88" s="62" t="s">
        <v>163</v>
      </c>
      <c r="L88" s="64"/>
      <c r="M88" s="62" t="s">
        <v>118</v>
      </c>
      <c r="N88" s="62"/>
      <c r="O88" s="64"/>
      <c r="P88" s="64"/>
      <c r="Q88" s="64"/>
      <c r="R88" s="66"/>
    </row>
    <row r="89" s="67" customFormat="true" ht="13.5" hidden="false" customHeight="true" outlineLevel="0" collapsed="false">
      <c r="A89" s="60" t="n">
        <v>80</v>
      </c>
      <c r="B89" s="127"/>
      <c r="C89" s="127" t="s">
        <v>2492</v>
      </c>
      <c r="D89" s="129" t="s">
        <v>2493</v>
      </c>
      <c r="E89" s="129"/>
      <c r="F89" s="129"/>
      <c r="G89" s="127"/>
      <c r="H89" s="136" t="s">
        <v>2494</v>
      </c>
      <c r="I89" s="63"/>
      <c r="J89" s="63" t="s">
        <v>2495</v>
      </c>
      <c r="K89" s="62" t="s">
        <v>163</v>
      </c>
      <c r="L89" s="64" t="s">
        <v>119</v>
      </c>
      <c r="M89" s="140" t="s">
        <v>1316</v>
      </c>
      <c r="N89" s="62"/>
      <c r="O89" s="64"/>
      <c r="P89" s="64"/>
      <c r="Q89" s="64"/>
      <c r="R89" s="66"/>
    </row>
  </sheetData>
  <conditionalFormatting sqref="A90:F91 A94 C94:F94 A95:F96 A143:F912">
    <cfRule type="expression" priority="2" aboveAverage="0" equalAverage="0" bottom="0" percent="0" rank="0" text="" dxfId="3964">
      <formula>OR(#ref!="X",#ref!="X")</formula>
    </cfRule>
    <cfRule type="expression" priority="3" aboveAverage="0" equalAverage="0" bottom="0" percent="0" rank="0" text="" dxfId="3965">
      <formula>AND(#ref!=1,#ref!=1)</formula>
    </cfRule>
    <cfRule type="expression" priority="4" aboveAverage="0" equalAverage="0" bottom="0" percent="0" rank="0" text="" dxfId="3966">
      <formula>#ref!=1</formula>
    </cfRule>
    <cfRule type="expression" priority="5" aboveAverage="0" equalAverage="0" bottom="0" percent="0" rank="0" text="" dxfId="3967">
      <formula>#ref!=1</formula>
    </cfRule>
  </conditionalFormatting>
  <conditionalFormatting sqref="C9:C12 C14:C40 D22 C44">
    <cfRule type="expression" priority="6" aboveAverage="0" equalAverage="0" bottom="0" percent="0" rank="0" text="" dxfId="3968">
      <formula>AND($L9="X",$B9&lt;&gt;"")</formula>
    </cfRule>
  </conditionalFormatting>
  <conditionalFormatting sqref="C41:C43">
    <cfRule type="expression" priority="7" aboveAverage="0" equalAverage="0" bottom="0" percent="0" rank="0" text="" dxfId="3969">
      <formula>AND($R41="X",OR($B41&lt;&gt;"",$C41&lt;&gt;""))</formula>
    </cfRule>
  </conditionalFormatting>
  <conditionalFormatting sqref="D9:D12 D14 D18:D21 D27:D32 D34 D41 D44">
    <cfRule type="expression" priority="8" aboveAverage="0" equalAverage="0" bottom="0" percent="0" rank="0" text="" dxfId="3970">
      <formula>AND($L9="X",OR($B9&lt;&gt;"",$C9&lt;&gt;""))</formula>
    </cfRule>
  </conditionalFormatting>
  <conditionalFormatting sqref="D13 D49 E49:E51">
    <cfRule type="expression" priority="9" aboveAverage="0" equalAverage="0" bottom="0" percent="0" rank="0" text="" dxfId="3971">
      <formula>AND($L13="X",OR($C13&lt;&gt;"",#ref!&lt;&gt;""))</formula>
    </cfRule>
  </conditionalFormatting>
  <conditionalFormatting sqref="D28">
    <cfRule type="expression" priority="10" aboveAverage="0" equalAverage="0" bottom="0" percent="0" rank="0" text="" dxfId="3972">
      <formula>AND($L28="X",$B28&lt;&gt;"")</formula>
    </cfRule>
  </conditionalFormatting>
  <conditionalFormatting sqref="D33">
    <cfRule type="expression" priority="11" aboveAverage="0" equalAverage="0" bottom="0" percent="0" rank="0" text="" dxfId="3973">
      <formula>AND($L33="X",$B33&lt;&gt;"")</formula>
    </cfRule>
  </conditionalFormatting>
  <conditionalFormatting sqref="D35:D40 E42:E43">
    <cfRule type="expression" priority="12" aboveAverage="0" equalAverage="0" bottom="0" percent="0" rank="0" text="" dxfId="3974">
      <formula>AND($R35="X",OR($B35&lt;&gt;"",$C35&lt;&gt;"",$D35&lt;&gt;"",$E35&lt;&gt;""))</formula>
    </cfRule>
  </conditionalFormatting>
  <conditionalFormatting sqref="D42:D43">
    <cfRule type="expression" priority="13" aboveAverage="0" equalAverage="0" bottom="0" percent="0" rank="0" text="" dxfId="3975">
      <formula>AND($R42="X",OR($B42&lt;&gt;"",$C42&lt;&gt;"",$D42&lt;&gt;""))</formula>
    </cfRule>
  </conditionalFormatting>
  <conditionalFormatting sqref="D45:D48 D52:D89">
    <cfRule type="expression" priority="14" aboveAverage="0" equalAverage="0" bottom="0" percent="0" rank="0" text="" dxfId="3976">
      <formula>AND($L45="X",$C45&lt;&gt;"")</formula>
    </cfRule>
  </conditionalFormatting>
  <conditionalFormatting sqref="D50:D51">
    <cfRule type="expression" priority="15" aboveAverage="0" equalAverage="0" bottom="0" percent="0" rank="0" text="" dxfId="3977">
      <formula>AND($L50="X",OR(#ref!&lt;&gt;"",$C50&lt;&gt;""))</formula>
    </cfRule>
  </conditionalFormatting>
  <conditionalFormatting sqref="E3:E4">
    <cfRule type="dataBar" priority="16">
      <dataBar showValue="1" minLength="10" maxLength="90">
        <cfvo type="num" val="0"/>
        <cfvo type="num" val="1"/>
        <color rgb="FF63C384"/>
      </dataBar>
      <extLst>
        <ext xmlns:x14="http://schemas.microsoft.com/office/spreadsheetml/2009/9/main" uri="{B025F937-C7B1-47D3-B67F-A62EFF666E3E}">
          <x14:id>{9E2CB0F3-BC1E-4B70-A1D4-16E5C01B3F4C}</x14:id>
        </ext>
      </extLst>
    </cfRule>
  </conditionalFormatting>
  <conditionalFormatting sqref="E9:E12 E14 E18:E21 E27:E41 E44">
    <cfRule type="expression" priority="17" aboveAverage="0" equalAverage="0" bottom="0" percent="0" rank="0" text="" dxfId="3978">
      <formula>AND($L9="X",OR($B9&lt;&gt;"",$C9&lt;&gt;"",$D9&lt;&gt;""))</formula>
    </cfRule>
  </conditionalFormatting>
  <conditionalFormatting sqref="E13">
    <cfRule type="expression" priority="18" aboveAverage="0" equalAverage="0" bottom="0" percent="0" rank="0" text="" dxfId="3979">
      <formula>AND($L13="X",OR($C13&lt;&gt;"",#ref!&lt;&gt;"",$D13&lt;&gt;""))</formula>
    </cfRule>
  </conditionalFormatting>
  <conditionalFormatting sqref="E15:E17 E23:E26">
    <cfRule type="expression" priority="19" aboveAverage="0" equalAverage="0" bottom="0" percent="0" rank="0" text="" dxfId="3980">
      <formula>AND($L15="X",OR($B15&lt;&gt;"",$C15&lt;&gt;"",#ref!&lt;&gt;""))</formula>
    </cfRule>
  </conditionalFormatting>
  <conditionalFormatting sqref="E22">
    <cfRule type="expression" priority="20" aboveAverage="0" equalAverage="0" bottom="0" percent="0" rank="0" text="" dxfId="3981">
      <formula>AND($L22="X",OR($B22&lt;&gt;"",$D22&lt;&gt;"",#ref!&lt;&gt;""))</formula>
    </cfRule>
  </conditionalFormatting>
  <conditionalFormatting sqref="E45:E48 E52:E89">
    <cfRule type="expression" priority="21" aboveAverage="0" equalAverage="0" bottom="0" percent="0" rank="0" text="" dxfId="3982">
      <formula>AND($L45="X",OR($C45&lt;&gt;"",$D45&lt;&gt;""))</formula>
    </cfRule>
  </conditionalFormatting>
  <conditionalFormatting sqref="E49">
    <cfRule type="expression" priority="22" aboveAverage="0" equalAverage="0" bottom="0" percent="0" rank="0" text="" dxfId="3983">
      <formula>AND($L49="X",OR($C49&lt;&gt;"",#ref!&lt;&gt;"",$D49&lt;&gt;""))</formula>
    </cfRule>
    <cfRule type="expression" priority="23" aboveAverage="0" equalAverage="0" bottom="0" percent="0" rank="0" text="" dxfId="3984">
      <formula>AND($L49="X",OR($C49&lt;&gt;"",#ref!&lt;&gt;"",$D49&lt;&gt;"",$E49&lt;&gt;""))</formula>
    </cfRule>
    <cfRule type="expression" priority="24" aboveAverage="0" equalAverage="0" bottom="0" percent="0" rank="0" text="" dxfId="3985">
      <formula>AND($L49="X",OR($C49&lt;&gt;"",#ref!&lt;&gt;"",$E49&lt;&gt;"",#ref!&lt;&gt;""))</formula>
    </cfRule>
    <cfRule type="expression" priority="25" aboveAverage="0" equalAverage="0" bottom="0" percent="0" rank="0" text="" dxfId="3986">
      <formula>AND($L49="X",$C49&lt;&gt;"")</formula>
    </cfRule>
  </conditionalFormatting>
  <conditionalFormatting sqref="E49:G49">
    <cfRule type="expression" priority="26" aboveAverage="0" equalAverage="0" bottom="0" percent="0" rank="0" text="" dxfId="3987">
      <formula>AND($L49="X",OR($C49&lt;&gt;"",$D49&lt;&gt;"",$E49&lt;&gt;"",$F49&lt;&gt;"",$G49&lt;&gt;""))</formula>
    </cfRule>
  </conditionalFormatting>
  <conditionalFormatting sqref="F1">
    <cfRule type="dataBar" priority="27">
      <dataBar showValue="1" minLength="10" maxLength="90">
        <cfvo type="num" val="0"/>
        <cfvo type="num" val="1"/>
        <color rgb="FF63C384"/>
      </dataBar>
      <extLst>
        <ext xmlns:x14="http://schemas.microsoft.com/office/spreadsheetml/2009/9/main" uri="{B025F937-C7B1-47D3-B67F-A62EFF666E3E}">
          <x14:id>{60552A53-DF25-4F31-8650-D98BA03B77EE}</x14:id>
        </ext>
      </extLst>
    </cfRule>
  </conditionalFormatting>
  <conditionalFormatting sqref="F9:F12 F14 F18:F21 F27:F41 F44">
    <cfRule type="expression" priority="28" aboveAverage="0" equalAverage="0" bottom="0" percent="0" rank="0" text="" dxfId="3988">
      <formula>AND($L9="X",OR($B9&lt;&gt;"",$C9&lt;&gt;"",$D9&lt;&gt;"",$E9&lt;&gt;""))</formula>
    </cfRule>
  </conditionalFormatting>
  <conditionalFormatting sqref="F13">
    <cfRule type="expression" priority="29" aboveAverage="0" equalAverage="0" bottom="0" percent="0" rank="0" text="" dxfId="3989">
      <formula>AND($L13="X",OR($C13&lt;&gt;"",#ref!&lt;&gt;"",$D13&lt;&gt;"",$E13&lt;&gt;""))</formula>
    </cfRule>
  </conditionalFormatting>
  <conditionalFormatting sqref="F15:F17 F23:F26">
    <cfRule type="expression" priority="30" aboveAverage="0" equalAverage="0" bottom="0" percent="0" rank="0" text="" dxfId="3990">
      <formula>AND($L15="X",OR($B15&lt;&gt;"",$C15&lt;&gt;"",#ref!&lt;&gt;"",$E15&lt;&gt;""))</formula>
    </cfRule>
  </conditionalFormatting>
  <conditionalFormatting sqref="F22">
    <cfRule type="expression" priority="31" aboveAverage="0" equalAverage="0" bottom="0" percent="0" rank="0" text="" dxfId="3991">
      <formula>AND($L22="X",OR($B22&lt;&gt;"",$D22&lt;&gt;"",#ref!&lt;&gt;"",$E22&lt;&gt;""))</formula>
    </cfRule>
  </conditionalFormatting>
  <conditionalFormatting sqref="F42:F43">
    <cfRule type="expression" priority="32" aboveAverage="0" equalAverage="0" bottom="0" percent="0" rank="0" text="" dxfId="3992">
      <formula>AND($R42="X",OR($B42&lt;&gt;"",$C42&lt;&gt;"",$D42&lt;&gt;"",$E42&lt;&gt;"",$F42&lt;&gt;""))</formula>
    </cfRule>
  </conditionalFormatting>
  <conditionalFormatting sqref="F45:F48 F52:F89">
    <cfRule type="expression" priority="33" aboveAverage="0" equalAverage="0" bottom="0" percent="0" rank="0" text="" dxfId="3993">
      <formula>AND($L45="X",OR($C45&lt;&gt;"",$D45&lt;&gt;"",$E45&lt;&gt;""))</formula>
    </cfRule>
  </conditionalFormatting>
  <conditionalFormatting sqref="F50:F51">
    <cfRule type="expression" priority="34" aboveAverage="0" equalAverage="0" bottom="0" percent="0" rank="0" text="" dxfId="3994">
      <formula>AND($L50="X",OR($C50&lt;&gt;"",#ref!&lt;&gt;"",$E50&lt;&gt;"",#ref!&lt;&gt;""))</formula>
    </cfRule>
  </conditionalFormatting>
  <conditionalFormatting sqref="G9:G12 G14 G18:G21 G27:G41 G44">
    <cfRule type="expression" priority="35" aboveAverage="0" equalAverage="0" bottom="0" percent="0" rank="0" text="" dxfId="3995">
      <formula>AND($L9="X",OR($B9&lt;&gt;"",$C9&lt;&gt;"",$D9&lt;&gt;"",$E9&lt;&gt;"",$F9&lt;&gt;""))</formula>
    </cfRule>
  </conditionalFormatting>
  <conditionalFormatting sqref="G13">
    <cfRule type="expression" priority="36" aboveAverage="0" equalAverage="0" bottom="0" percent="0" rank="0" text="" dxfId="3996">
      <formula>AND($L13="X",OR($C13&lt;&gt;"",#ref!&lt;&gt;"",$D13&lt;&gt;"",$E13&lt;&gt;"",$F13&lt;&gt;""))</formula>
    </cfRule>
  </conditionalFormatting>
  <conditionalFormatting sqref="G15:G17 G23:G26">
    <cfRule type="expression" priority="37" aboveAverage="0" equalAverage="0" bottom="0" percent="0" rank="0" text="" dxfId="3997">
      <formula>AND($L15="X",OR($B15&lt;&gt;"",$C15&lt;&gt;"",#ref!&lt;&gt;"",$E15&lt;&gt;"",$F15&lt;&gt;""))</formula>
    </cfRule>
  </conditionalFormatting>
  <conditionalFormatting sqref="G22">
    <cfRule type="expression" priority="38" aboveAverage="0" equalAverage="0" bottom="0" percent="0" rank="0" text="" dxfId="3998">
      <formula>AND($L22="X",OR($B22&lt;&gt;"",$D22&lt;&gt;"",#ref!&lt;&gt;"",$E22&lt;&gt;"",$F22&lt;&gt;""))</formula>
    </cfRule>
  </conditionalFormatting>
  <conditionalFormatting sqref="G45:G48 G52:G89">
    <cfRule type="expression" priority="39" aboveAverage="0" equalAverage="0" bottom="0" percent="0" rank="0" text="" dxfId="3999">
      <formula>AND($L45="X",OR($C45&lt;&gt;"",$D45&lt;&gt;"",$E45&lt;&gt;"",$F45&lt;&gt;""))</formula>
    </cfRule>
  </conditionalFormatting>
  <conditionalFormatting sqref="G50:G51">
    <cfRule type="expression" priority="40" aboveAverage="0" equalAverage="0" bottom="0" percent="0" rank="0" text="" dxfId="4000">
      <formula>AND($L50="X",OR($C50&lt;&gt;"",#ref!&lt;&gt;"",$E50&lt;&gt;"",#ref!&lt;&gt;""))</formula>
    </cfRule>
  </conditionalFormatting>
  <conditionalFormatting sqref="H90:H91 H94:H96 H143:H912">
    <cfRule type="expression" priority="41" aboveAverage="0" equalAverage="0" bottom="0" percent="0" rank="0" text="" dxfId="4001">
      <formula>$J90="X"</formula>
    </cfRule>
  </conditionalFormatting>
  <conditionalFormatting sqref="I10:I12 I21:I34 I41:I45 I47:I89">
    <cfRule type="expression" priority="42" aboveAverage="0" equalAverage="0" bottom="0" percent="0" rank="0" text="" dxfId="4002">
      <formula>$L10="X"</formula>
    </cfRule>
  </conditionalFormatting>
  <conditionalFormatting sqref="I13">
    <cfRule type="expression" priority="43" aboveAverage="0" equalAverage="0" bottom="0" percent="0" rank="0" text="" dxfId="4003">
      <formula>$R21="X"</formula>
    </cfRule>
  </conditionalFormatting>
  <conditionalFormatting sqref="I14">
    <cfRule type="expression" priority="44" aboveAverage="0" equalAverage="0" bottom="0" percent="0" rank="0" text="" dxfId="4004">
      <formula>AND($L14="X",OR($B14&lt;&gt;"",$C14&lt;&gt;"",$D14&lt;&gt;"",$E14&lt;&gt;"",$F14&lt;&gt;""))</formula>
    </cfRule>
  </conditionalFormatting>
  <conditionalFormatting sqref="I15:I18">
    <cfRule type="expression" priority="45" aboveAverage="0" equalAverage="0" bottom="0" percent="0" rank="0" text="" dxfId="4005">
      <formula>$L15="X"</formula>
    </cfRule>
  </conditionalFormatting>
  <conditionalFormatting sqref="I35:I43">
    <cfRule type="expression" priority="46" aboveAverage="0" equalAverage="0" bottom="0" percent="0" rank="0" text="" dxfId="4006">
      <formula>$R35="X"</formula>
    </cfRule>
  </conditionalFormatting>
  <conditionalFormatting sqref="J49:J86 J88:J89 K9:K88">
    <cfRule type="cellIs" priority="47" operator="equal" aboveAverage="0" equalAverage="0" bottom="0" percent="0" rank="0" text="" dxfId="4007">
      <formula>"1..1"</formula>
    </cfRule>
    <cfRule type="cellIs" priority="48" operator="equal" aboveAverage="0" equalAverage="0" bottom="0" percent="0" rank="0" text="" dxfId="4008">
      <formula>"0..n"</formula>
    </cfRule>
    <cfRule type="cellIs" priority="49" operator="equal" aboveAverage="0" equalAverage="0" bottom="0" percent="0" rank="0" text="" dxfId="4009">
      <formula>"0..1"</formula>
    </cfRule>
  </conditionalFormatting>
  <conditionalFormatting sqref="Q11:Q12">
    <cfRule type="cellIs" priority="50" operator="equal" aboveAverage="0" equalAverage="0" bottom="0" percent="0" rank="0" text="" dxfId="4010">
      <formula>"1..1"</formula>
    </cfRule>
    <cfRule type="cellIs" priority="51" operator="equal" aboveAverage="0" equalAverage="0" bottom="0" percent="0" rank="0" text="" dxfId="4011">
      <formula>"0..n"</formula>
    </cfRule>
    <cfRule type="cellIs" priority="52" operator="equal" aboveAverage="0" equalAverage="0" bottom="0" percent="0" rank="0" text="" dxfId="401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9E2CB0F3-BC1E-4B70-A1D4-16E5C01B3F4C}">
            <x14:dataBar minLength="10" maxLength="90" axisPosition="automatic" gradient="true">
              <x14:cfvo type="num">
                <xm:f>0</xm:f>
              </x14:cfvo>
              <x14:cfvo type="num">
                <xm:f>1</xm:f>
              </x14:cfvo>
              <x14:negativeFillColor rgb="FFFF0000"/>
              <x14:axisColor rgb="FF000000"/>
            </x14:dataBar>
          </x14:cfRule>
          <xm:sqref>E3:E4</xm:sqref>
        </x14:conditionalFormatting>
        <x14:conditionalFormatting xmlns:xm="http://schemas.microsoft.com/office/excel/2006/main">
          <x14:cfRule type="dataBar" id="{60552A53-DF25-4F31-8650-D98BA03B77E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D3" activeCellId="0" sqref="D3"/>
    </sheetView>
  </sheetViews>
  <sheetFormatPr defaultColWidth="9.515625" defaultRowHeight="14.25" zeroHeight="false" outlineLevelRow="0" outlineLevelCol="0"/>
  <cols>
    <col collapsed="false" customWidth="true" hidden="false" outlineLevel="0" max="1" min="1" style="30" width="10.13"/>
    <col collapsed="false" customWidth="true" hidden="false" outlineLevel="0" max="2" min="2" style="30" width="24.62"/>
    <col collapsed="false" customWidth="true" hidden="false" outlineLevel="0" max="3" min="3" style="30" width="18.13"/>
    <col collapsed="false" customWidth="true" hidden="false" outlineLevel="0" max="6" min="4" style="30" width="7.13"/>
    <col collapsed="false" customWidth="true" hidden="false" outlineLevel="0" max="7" min="7" style="31" width="12.87"/>
    <col collapsed="false" customWidth="true" hidden="false" outlineLevel="0" max="8" min="8" style="31" width="32"/>
    <col collapsed="false" customWidth="true" hidden="false" outlineLevel="0" max="9" min="9" style="60" width="33.13"/>
    <col collapsed="false" customWidth="true" hidden="false" outlineLevel="0" max="10" min="10" style="32" width="12.13"/>
    <col collapsed="false" customWidth="true" hidden="false" outlineLevel="0" max="11" min="11" style="31" width="10.51"/>
    <col collapsed="false" customWidth="true" hidden="false" outlineLevel="0" max="12" min="12" style="33" width="8.64"/>
    <col collapsed="false" customWidth="true" hidden="false" outlineLevel="0" max="13" min="13" style="31" width="12.51"/>
    <col collapsed="false" customWidth="true" hidden="false" outlineLevel="0" max="14" min="14" style="31" width="45.62"/>
    <col collapsed="false" customWidth="true" hidden="false" outlineLevel="0" max="15" min="15" style="31" width="12.13"/>
    <col collapsed="false" customWidth="true" hidden="false" outlineLevel="0" max="16" min="16" style="0" width="3.5"/>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71" t="s">
        <v>2496</v>
      </c>
      <c r="C1" s="72"/>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2497</v>
      </c>
      <c r="B3" s="75" t="s">
        <v>85</v>
      </c>
      <c r="C3" s="80" t="s">
        <v>2498</v>
      </c>
      <c r="D3" s="75" t="s">
        <v>2499</v>
      </c>
      <c r="E3" s="75"/>
      <c r="F3" s="75"/>
      <c r="G3" s="75" t="s">
        <v>90</v>
      </c>
      <c r="H3" s="75" t="s">
        <v>91</v>
      </c>
      <c r="I3" s="75" t="s">
        <v>90</v>
      </c>
      <c r="J3" s="81" t="s">
        <v>2500</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182"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136" t="s">
        <v>118</v>
      </c>
      <c r="N9" s="62" t="s">
        <v>1207</v>
      </c>
      <c r="O9" s="65" t="s">
        <v>119</v>
      </c>
      <c r="P9" s="66"/>
    </row>
    <row r="10" customFormat="false" ht="13.5" hidden="false" customHeight="true" outlineLevel="0" collapsed="false">
      <c r="A10" s="60" t="n">
        <v>2</v>
      </c>
      <c r="B10" s="141" t="s">
        <v>2368</v>
      </c>
      <c r="C10" s="127"/>
      <c r="D10" s="141"/>
      <c r="E10" s="141"/>
      <c r="F10" s="141"/>
      <c r="G10" s="141"/>
      <c r="H10" s="136" t="s">
        <v>2501</v>
      </c>
      <c r="I10" s="137" t="s">
        <v>2502</v>
      </c>
      <c r="J10" s="63" t="s">
        <v>2371</v>
      </c>
      <c r="K10" s="136" t="s">
        <v>117</v>
      </c>
      <c r="L10" s="64"/>
      <c r="M10" s="136" t="s">
        <v>118</v>
      </c>
      <c r="N10" s="62" t="s">
        <v>2372</v>
      </c>
      <c r="O10" s="65" t="s">
        <v>119</v>
      </c>
      <c r="P10" s="66"/>
    </row>
    <row r="11" s="145" customFormat="true" ht="13.5" hidden="false" customHeight="true" outlineLevel="0" collapsed="false">
      <c r="A11" s="60" t="n">
        <v>3</v>
      </c>
      <c r="B11" s="129" t="s">
        <v>2422</v>
      </c>
      <c r="C11" s="156"/>
      <c r="D11" s="129"/>
      <c r="E11" s="156"/>
      <c r="F11" s="156"/>
      <c r="G11" s="156"/>
      <c r="H11" s="62" t="s">
        <v>2423</v>
      </c>
      <c r="I11" s="175"/>
      <c r="J11" s="137" t="s">
        <v>2424</v>
      </c>
      <c r="K11" s="136" t="s">
        <v>117</v>
      </c>
      <c r="L11" s="138" t="s">
        <v>119</v>
      </c>
      <c r="M11" s="246" t="s">
        <v>2424</v>
      </c>
      <c r="N11" s="62"/>
      <c r="O11" s="143" t="s">
        <v>119</v>
      </c>
      <c r="P11" s="189"/>
    </row>
    <row r="12" s="67" customFormat="true" ht="13.5" hidden="false" customHeight="true" outlineLevel="0" collapsed="false">
      <c r="A12" s="60" t="n">
        <v>4</v>
      </c>
      <c r="B12" s="129"/>
      <c r="C12" s="129" t="s">
        <v>2425</v>
      </c>
      <c r="D12" s="129"/>
      <c r="E12" s="129"/>
      <c r="F12" s="129"/>
      <c r="G12" s="129"/>
      <c r="H12" s="62" t="s">
        <v>2426</v>
      </c>
      <c r="I12" s="63" t="s">
        <v>1214</v>
      </c>
      <c r="J12" s="137" t="s">
        <v>134</v>
      </c>
      <c r="K12" s="136" t="s">
        <v>117</v>
      </c>
      <c r="L12" s="138"/>
      <c r="M12" s="136" t="s">
        <v>134</v>
      </c>
      <c r="N12" s="62" t="s">
        <v>1929</v>
      </c>
      <c r="O12" s="143" t="s">
        <v>119</v>
      </c>
      <c r="P12" s="66"/>
    </row>
    <row r="13" s="67" customFormat="true" ht="13.5" hidden="false" customHeight="true" outlineLevel="0" collapsed="false">
      <c r="A13" s="60" t="n">
        <v>5</v>
      </c>
      <c r="B13" s="129"/>
      <c r="C13" s="129" t="s">
        <v>2427</v>
      </c>
      <c r="D13" s="129"/>
      <c r="E13" s="129"/>
      <c r="F13" s="129"/>
      <c r="G13" s="129"/>
      <c r="H13" s="62" t="s">
        <v>2428</v>
      </c>
      <c r="I13" s="247" t="s">
        <v>2429</v>
      </c>
      <c r="J13" s="137" t="s">
        <v>143</v>
      </c>
      <c r="K13" s="136" t="s">
        <v>117</v>
      </c>
      <c r="L13" s="138"/>
      <c r="M13" s="136" t="s">
        <v>118</v>
      </c>
      <c r="N13" s="62" t="s">
        <v>2430</v>
      </c>
      <c r="O13" s="65" t="s">
        <v>119</v>
      </c>
      <c r="P13" s="66"/>
    </row>
    <row r="14" s="67" customFormat="true" ht="12" hidden="false" customHeight="true" outlineLevel="0" collapsed="false">
      <c r="A14" s="60" t="n">
        <v>6</v>
      </c>
      <c r="B14" s="129"/>
      <c r="C14" s="129" t="s">
        <v>2431</v>
      </c>
      <c r="D14" s="129"/>
      <c r="E14" s="129"/>
      <c r="F14" s="129"/>
      <c r="G14" s="129"/>
      <c r="H14" s="62" t="s">
        <v>2432</v>
      </c>
      <c r="I14" s="63" t="s">
        <v>2433</v>
      </c>
      <c r="J14" s="137" t="s">
        <v>2434</v>
      </c>
      <c r="K14" s="136" t="s">
        <v>163</v>
      </c>
      <c r="L14" s="138"/>
      <c r="M14" s="136" t="s">
        <v>184</v>
      </c>
      <c r="N14" s="62"/>
      <c r="O14" s="65" t="s">
        <v>119</v>
      </c>
      <c r="P14" s="66"/>
    </row>
  </sheetData>
  <conditionalFormatting sqref="A15:F16 A36:F876">
    <cfRule type="expression" priority="2" aboveAverage="0" equalAverage="0" bottom="0" percent="0" rank="0" text="" dxfId="4013">
      <formula>OR(#ref!="X",#ref!="X")</formula>
    </cfRule>
    <cfRule type="expression" priority="3" aboveAverage="0" equalAverage="0" bottom="0" percent="0" rank="0" text="" dxfId="4014">
      <formula>AND(#ref!=1,#ref!=1)</formula>
    </cfRule>
    <cfRule type="expression" priority="4" aboveAverage="0" equalAverage="0" bottom="0" percent="0" rank="0" text="" dxfId="4015">
      <formula>#ref!=1</formula>
    </cfRule>
    <cfRule type="expression" priority="5" aboveAverage="0" equalAverage="0" bottom="0" percent="0" rank="0" text="" dxfId="4016">
      <formula>#ref!=1</formula>
    </cfRule>
  </conditionalFormatting>
  <conditionalFormatting sqref="B11:B14 C14">
    <cfRule type="expression" priority="6" aboveAverage="0" equalAverage="0" bottom="0" percent="0" rank="0" text="" dxfId="4017">
      <formula>AND($L11="X",#ref!&lt;&gt;"")</formula>
    </cfRule>
  </conditionalFormatting>
  <conditionalFormatting sqref="C11:C13">
    <cfRule type="expression" priority="7" aboveAverage="0" equalAverage="0" bottom="0" percent="0" rank="0" text="" dxfId="4018">
      <formula>AND($L11="X",OR(#ref!&lt;&gt;"",$B11&lt;&gt;""))</formula>
    </cfRule>
  </conditionalFormatting>
  <conditionalFormatting sqref="E3 E6">
    <cfRule type="dataBar" priority="8">
      <dataBar showValue="1" minLength="10" maxLength="90">
        <cfvo type="num" val="0"/>
        <cfvo type="num" val="1"/>
        <color rgb="FF63C384"/>
      </dataBar>
      <extLst>
        <ext xmlns:x14="http://schemas.microsoft.com/office/spreadsheetml/2009/9/main" uri="{B025F937-C7B1-47D3-B67F-A62EFF666E3E}">
          <x14:id>{52A72525-14BF-42ED-8FF3-AA11E4AE132F}</x14:id>
        </ext>
      </extLst>
    </cfRule>
  </conditionalFormatting>
  <conditionalFormatting sqref="E11:E14">
    <cfRule type="expression" priority="9" aboveAverage="0" equalAverage="0" bottom="0" percent="0" rank="0" text="" dxfId="4019">
      <formula>AND($L11="X",OR(#ref!&lt;&gt;"",$B11&lt;&gt;"",$C11&lt;&gt;""))</formula>
    </cfRule>
  </conditionalFormatting>
  <conditionalFormatting sqref="F1">
    <cfRule type="dataBar" priority="10">
      <dataBar showValue="1" minLength="10" maxLength="90">
        <cfvo type="num" val="0"/>
        <cfvo type="num" val="1"/>
        <color rgb="FF63C384"/>
      </dataBar>
      <extLst>
        <ext xmlns:x14="http://schemas.microsoft.com/office/spreadsheetml/2009/9/main" uri="{B025F937-C7B1-47D3-B67F-A62EFF666E3E}">
          <x14:id>{17F53BEA-2BB8-40A0-BC46-10F04EEF2D13}</x14:id>
        </ext>
      </extLst>
    </cfRule>
  </conditionalFormatting>
  <conditionalFormatting sqref="F11:F14">
    <cfRule type="expression" priority="11" aboveAverage="0" equalAverage="0" bottom="0" percent="0" rank="0" text="" dxfId="4020">
      <formula>AND($L11="X",OR(#ref!&lt;&gt;"",$B11&lt;&gt;"",$C11&lt;&gt;"",$E11&lt;&gt;""))</formula>
    </cfRule>
  </conditionalFormatting>
  <conditionalFormatting sqref="G11:G14">
    <cfRule type="expression" priority="12" aboveAverage="0" equalAverage="0" bottom="0" percent="0" rank="0" text="" dxfId="4021">
      <formula>AND($L11="X",OR(#ref!&lt;&gt;"",$B11&lt;&gt;"",$C11&lt;&gt;"",$E11&lt;&gt;"",$F11&lt;&gt;""))</formula>
    </cfRule>
  </conditionalFormatting>
  <conditionalFormatting sqref="H15:H16 H36:H876">
    <cfRule type="expression" priority="13" aboveAverage="0" equalAverage="0" bottom="0" percent="0" rank="0" text="" dxfId="4022">
      <formula>$K15="X"</formula>
    </cfRule>
  </conditionalFormatting>
  <conditionalFormatting sqref="I10:I14">
    <cfRule type="expression" priority="14" aboveAverage="0" equalAverage="0" bottom="0" percent="0" rank="0" text="" dxfId="4023">
      <formula>$L10="X"</formula>
    </cfRule>
  </conditionalFormatting>
  <conditionalFormatting sqref="K9:K14">
    <cfRule type="cellIs" priority="15" operator="equal" aboveAverage="0" equalAverage="0" bottom="0" percent="0" rank="0" text="" dxfId="4024">
      <formula>"1..1"</formula>
    </cfRule>
    <cfRule type="cellIs" priority="16" operator="equal" aboveAverage="0" equalAverage="0" bottom="0" percent="0" rank="0" text="" dxfId="4025">
      <formula>"0..n"</formula>
    </cfRule>
    <cfRule type="cellIs" priority="17" operator="equal" aboveAverage="0" equalAverage="0" bottom="0" percent="0" rank="0" text="" dxfId="4026">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2A72525-14BF-42ED-8FF3-AA11E4AE132F}">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17F53BEA-2BB8-40A0-BC46-10F04EEF2D1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F5" activeCellId="0" sqref="F5"/>
    </sheetView>
  </sheetViews>
  <sheetFormatPr defaultColWidth="9.515625" defaultRowHeight="12" zeroHeight="false" outlineLevelRow="0" outlineLevelCol="0"/>
  <cols>
    <col collapsed="false" customWidth="true" hidden="false" outlineLevel="0" max="1" min="1" style="30" width="6.38"/>
    <col collapsed="false" customWidth="true" hidden="false" outlineLevel="0" max="2" min="2" style="30" width="22.62"/>
    <col collapsed="false" customWidth="true" hidden="false" outlineLevel="0" max="3" min="3" style="30" width="21.13"/>
    <col collapsed="false" customWidth="true" hidden="false" outlineLevel="0" max="4" min="4" style="30" width="19.13"/>
    <col collapsed="false" customWidth="true" hidden="false" outlineLevel="0" max="5" min="5" style="30" width="10.13"/>
    <col collapsed="false" customWidth="true" hidden="false" outlineLevel="0" max="6" min="6" style="30" width="8.64"/>
    <col collapsed="false" customWidth="true" hidden="false" outlineLevel="0" max="7" min="7" style="31" width="8.88"/>
    <col collapsed="false" customWidth="true" hidden="false" outlineLevel="0" max="8" min="8" style="31" width="47.62"/>
    <col collapsed="false" customWidth="true" hidden="false" outlineLevel="0" max="9" min="9" style="60" width="33.5"/>
    <col collapsed="false" customWidth="true" hidden="false" outlineLevel="0" max="10" min="10" style="31" width="19.37"/>
    <col collapsed="false" customWidth="true" hidden="false" outlineLevel="0" max="11" min="11" style="55" width="9.38"/>
    <col collapsed="false" customWidth="true" hidden="false" outlineLevel="0" max="12" min="12" style="31" width="7"/>
    <col collapsed="false" customWidth="true" hidden="false" outlineLevel="0" max="13" min="13" style="33" width="12.63"/>
    <col collapsed="false" customWidth="true" hidden="false" outlineLevel="0" max="14" min="14" style="31" width="66.88"/>
    <col collapsed="false" customWidth="true" hidden="false" outlineLevel="0" max="15" min="15" style="0" width="11"/>
    <col collapsed="false" customWidth="true" hidden="false" outlineLevel="0" max="16" min="16" style="180" width="3.62"/>
    <col collapsed="false" customWidth="false" hidden="false" outlineLevel="0" max="996" min="17" style="30" width="9.51"/>
    <col collapsed="false" customWidth="true" hidden="false" outlineLevel="0" max="997" min="997" style="30" width="9"/>
    <col collapsed="false" customWidth="true" hidden="false" outlineLevel="0" max="999" min="998" style="0" width="9"/>
  </cols>
  <sheetData>
    <row r="1" customFormat="false" ht="13.5" hidden="false" customHeight="true" outlineLevel="0" collapsed="false">
      <c r="A1" s="71" t="s">
        <v>2503</v>
      </c>
      <c r="C1" s="72"/>
      <c r="G1" s="30"/>
      <c r="H1" s="30"/>
      <c r="I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2504</v>
      </c>
      <c r="B3" s="75" t="s">
        <v>85</v>
      </c>
      <c r="C3" s="80" t="s">
        <v>2505</v>
      </c>
      <c r="D3" s="75" t="s">
        <v>2506</v>
      </c>
      <c r="E3" s="75"/>
      <c r="F3" s="75"/>
      <c r="G3" s="75" t="s">
        <v>90</v>
      </c>
      <c r="H3" s="75" t="s">
        <v>91</v>
      </c>
      <c r="I3" s="75" t="s">
        <v>90</v>
      </c>
      <c r="J3" s="81" t="s">
        <v>2507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1"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249"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6"/>
    </row>
    <row r="10" s="67" customFormat="true" ht="13.5" hidden="false" customHeight="true" outlineLevel="0" collapsed="false">
      <c r="A10" s="60" t="n">
        <v>2</v>
      </c>
      <c r="B10" s="127" t="s">
        <v>2508</v>
      </c>
      <c r="C10" s="128"/>
      <c r="D10" s="128"/>
      <c r="E10" s="128"/>
      <c r="F10" s="128"/>
      <c r="G10" s="128"/>
      <c r="H10" s="62" t="s">
        <v>2509</v>
      </c>
      <c r="I10" s="175"/>
      <c r="J10" s="62" t="s">
        <v>2510</v>
      </c>
      <c r="K10" s="62" t="s">
        <v>117</v>
      </c>
      <c r="L10" s="130" t="s">
        <v>119</v>
      </c>
      <c r="M10" s="62" t="s">
        <v>2510</v>
      </c>
      <c r="N10" s="62" t="s">
        <v>1929</v>
      </c>
      <c r="O10" s="65" t="s">
        <v>119</v>
      </c>
      <c r="P10" s="66"/>
    </row>
    <row r="11" s="67" customFormat="true" ht="13.5" hidden="false" customHeight="true" outlineLevel="0" collapsed="false">
      <c r="A11" s="60" t="n">
        <v>3</v>
      </c>
      <c r="B11" s="127"/>
      <c r="C11" s="127" t="s">
        <v>2373</v>
      </c>
      <c r="D11" s="129"/>
      <c r="E11" s="129"/>
      <c r="F11" s="129"/>
      <c r="G11" s="129"/>
      <c r="H11" s="62" t="s">
        <v>2511</v>
      </c>
      <c r="I11" s="98" t="s">
        <v>2375</v>
      </c>
      <c r="J11" s="63" t="s">
        <v>2376</v>
      </c>
      <c r="K11" s="62" t="s">
        <v>117</v>
      </c>
      <c r="L11" s="130"/>
      <c r="M11" s="62" t="s">
        <v>118</v>
      </c>
      <c r="N11" s="62" t="s">
        <v>2512</v>
      </c>
      <c r="O11" s="65" t="s">
        <v>119</v>
      </c>
      <c r="P11" s="66"/>
    </row>
    <row r="12" s="67" customFormat="true" ht="13.5" hidden="false" customHeight="true" outlineLevel="0" collapsed="false">
      <c r="A12" s="60" t="n">
        <v>4</v>
      </c>
      <c r="B12" s="127"/>
      <c r="C12" s="127" t="s">
        <v>2513</v>
      </c>
      <c r="D12" s="129"/>
      <c r="E12" s="129"/>
      <c r="F12" s="129"/>
      <c r="G12" s="129"/>
      <c r="H12" s="62" t="s">
        <v>2514</v>
      </c>
      <c r="I12" s="63" t="s">
        <v>1214</v>
      </c>
      <c r="J12" s="63" t="s">
        <v>134</v>
      </c>
      <c r="K12" s="62" t="s">
        <v>117</v>
      </c>
      <c r="L12" s="130"/>
      <c r="M12" s="62" t="s">
        <v>134</v>
      </c>
      <c r="N12" s="62" t="s">
        <v>1929</v>
      </c>
      <c r="O12" s="65" t="s">
        <v>119</v>
      </c>
      <c r="P12" s="66"/>
    </row>
    <row r="13" s="67" customFormat="true" ht="13.5" hidden="false" customHeight="true" outlineLevel="0" collapsed="false">
      <c r="A13" s="60" t="n">
        <v>5</v>
      </c>
      <c r="B13" s="127"/>
      <c r="C13" s="127" t="s">
        <v>2515</v>
      </c>
      <c r="D13" s="129"/>
      <c r="E13" s="129"/>
      <c r="F13" s="129"/>
      <c r="G13" s="129"/>
      <c r="H13" s="62" t="s">
        <v>2516</v>
      </c>
      <c r="I13" s="62" t="s">
        <v>2517</v>
      </c>
      <c r="J13" s="63" t="s">
        <v>2518</v>
      </c>
      <c r="K13" s="62" t="s">
        <v>163</v>
      </c>
      <c r="L13" s="130"/>
      <c r="M13" s="62" t="s">
        <v>118</v>
      </c>
      <c r="N13" s="62" t="s">
        <v>2519</v>
      </c>
      <c r="O13" s="65" t="s">
        <v>119</v>
      </c>
      <c r="P13" s="66"/>
    </row>
    <row r="14" s="67" customFormat="true" ht="13.5" hidden="false" customHeight="true" outlineLevel="0" collapsed="false">
      <c r="A14" s="60" t="n">
        <v>6</v>
      </c>
      <c r="B14" s="127"/>
      <c r="C14" s="127" t="s">
        <v>2520</v>
      </c>
      <c r="D14" s="129"/>
      <c r="E14" s="129"/>
      <c r="F14" s="129"/>
      <c r="G14" s="129"/>
      <c r="H14" s="62" t="s">
        <v>2521</v>
      </c>
      <c r="I14" s="62" t="s">
        <v>2393</v>
      </c>
      <c r="J14" s="63" t="s">
        <v>2522</v>
      </c>
      <c r="K14" s="62" t="s">
        <v>117</v>
      </c>
      <c r="L14" s="130"/>
      <c r="M14" s="62" t="s">
        <v>118</v>
      </c>
      <c r="N14" s="62" t="s">
        <v>2523</v>
      </c>
      <c r="O14" s="65" t="s">
        <v>119</v>
      </c>
      <c r="P14" s="66"/>
    </row>
    <row r="15" s="67" customFormat="true" ht="13.5" hidden="false" customHeight="true" outlineLevel="0" collapsed="false">
      <c r="A15" s="60" t="n">
        <v>7</v>
      </c>
      <c r="B15" s="127"/>
      <c r="C15" s="127" t="s">
        <v>2524</v>
      </c>
      <c r="D15" s="129"/>
      <c r="E15" s="129"/>
      <c r="F15" s="129"/>
      <c r="G15" s="129"/>
      <c r="H15" s="62" t="s">
        <v>2525</v>
      </c>
      <c r="I15" s="63" t="n">
        <v>10</v>
      </c>
      <c r="J15" s="63" t="s">
        <v>2526</v>
      </c>
      <c r="K15" s="62" t="s">
        <v>163</v>
      </c>
      <c r="L15" s="130"/>
      <c r="M15" s="62" t="s">
        <v>118</v>
      </c>
      <c r="N15" s="62" t="s">
        <v>2527</v>
      </c>
      <c r="O15" s="65" t="s">
        <v>119</v>
      </c>
      <c r="P15" s="66"/>
    </row>
    <row r="16" s="67" customFormat="true" ht="13.5" hidden="false" customHeight="true" outlineLevel="0" collapsed="false">
      <c r="A16" s="60" t="n">
        <v>8</v>
      </c>
      <c r="B16" s="127"/>
      <c r="C16" s="127" t="s">
        <v>2528</v>
      </c>
      <c r="D16" s="129"/>
      <c r="E16" s="129"/>
      <c r="F16" s="129"/>
      <c r="G16" s="129"/>
      <c r="H16" s="62" t="s">
        <v>2529</v>
      </c>
      <c r="I16" s="63" t="s">
        <v>2530</v>
      </c>
      <c r="J16" s="63" t="s">
        <v>1313</v>
      </c>
      <c r="K16" s="62" t="s">
        <v>163</v>
      </c>
      <c r="L16" s="130"/>
      <c r="M16" s="62" t="s">
        <v>118</v>
      </c>
      <c r="N16" s="62"/>
      <c r="O16" s="64" t="s">
        <v>119</v>
      </c>
      <c r="P16" s="66"/>
    </row>
    <row r="17" s="67" customFormat="true" ht="13.5" hidden="false" customHeight="true" outlineLevel="0" collapsed="false">
      <c r="A17" s="60" t="n">
        <v>9</v>
      </c>
      <c r="B17" s="127" t="s">
        <v>2531</v>
      </c>
      <c r="C17" s="127"/>
      <c r="D17" s="129"/>
      <c r="E17" s="129"/>
      <c r="F17" s="129"/>
      <c r="G17" s="129"/>
      <c r="H17" s="62" t="s">
        <v>2532</v>
      </c>
      <c r="I17" s="62" t="s">
        <v>2533</v>
      </c>
      <c r="J17" s="63" t="s">
        <v>143</v>
      </c>
      <c r="K17" s="62" t="s">
        <v>163</v>
      </c>
      <c r="L17" s="64"/>
      <c r="M17" s="62" t="s">
        <v>118</v>
      </c>
      <c r="N17" s="62" t="s">
        <v>2534</v>
      </c>
      <c r="O17" s="65" t="s">
        <v>119</v>
      </c>
      <c r="P17" s="66"/>
    </row>
    <row r="18" s="67" customFormat="true" ht="13.5" hidden="false" customHeight="true" outlineLevel="0" collapsed="false">
      <c r="A18" s="60" t="n">
        <f aca="false">ROW()-8</f>
        <v>10</v>
      </c>
      <c r="B18" s="127" t="s">
        <v>2451</v>
      </c>
      <c r="C18" s="128"/>
      <c r="D18" s="128"/>
      <c r="E18" s="128"/>
      <c r="F18" s="128"/>
      <c r="G18" s="128"/>
      <c r="H18" s="142" t="s">
        <v>2535</v>
      </c>
      <c r="I18" s="63"/>
      <c r="J18" s="142" t="s">
        <v>2453</v>
      </c>
      <c r="K18" s="62" t="s">
        <v>163</v>
      </c>
      <c r="L18" s="64" t="s">
        <v>119</v>
      </c>
      <c r="M18" s="140" t="s">
        <v>1316</v>
      </c>
      <c r="N18" s="62"/>
      <c r="O18" s="64"/>
      <c r="P18" s="66"/>
    </row>
    <row r="19" s="67" customFormat="true" ht="13.5" hidden="false" customHeight="true" outlineLevel="0" collapsed="false">
      <c r="A19" s="60" t="n">
        <f aca="false">ROW()-8</f>
        <v>11</v>
      </c>
      <c r="B19" s="127"/>
      <c r="C19" s="127" t="s">
        <v>2454</v>
      </c>
      <c r="D19" s="129"/>
      <c r="E19" s="129"/>
      <c r="F19" s="129"/>
      <c r="G19" s="129"/>
      <c r="H19" s="172" t="s">
        <v>2455</v>
      </c>
      <c r="I19" s="63" t="s">
        <v>2536</v>
      </c>
      <c r="J19" s="63" t="s">
        <v>1281</v>
      </c>
      <c r="K19" s="62" t="s">
        <v>163</v>
      </c>
      <c r="L19" s="130"/>
      <c r="M19" s="62" t="s">
        <v>118</v>
      </c>
      <c r="N19" s="136" t="s">
        <v>2537</v>
      </c>
      <c r="O19" s="64"/>
      <c r="P19" s="66"/>
    </row>
    <row r="20" s="145" customFormat="true" ht="13.5" hidden="false" customHeight="true" outlineLevel="0" collapsed="false">
      <c r="A20" s="60" t="n">
        <f aca="false">ROW()-8</f>
        <v>12</v>
      </c>
      <c r="B20" s="127"/>
      <c r="C20" s="127" t="s">
        <v>1321</v>
      </c>
      <c r="D20" s="129"/>
      <c r="E20" s="129"/>
      <c r="F20" s="129"/>
      <c r="G20" s="129"/>
      <c r="H20" s="62" t="s">
        <v>1322</v>
      </c>
      <c r="I20" s="63" t="s">
        <v>1323</v>
      </c>
      <c r="J20" s="62" t="s">
        <v>1324</v>
      </c>
      <c r="K20" s="62" t="s">
        <v>163</v>
      </c>
      <c r="L20" s="64"/>
      <c r="M20" s="62" t="s">
        <v>118</v>
      </c>
      <c r="N20" s="62"/>
      <c r="O20" s="64"/>
      <c r="P20" s="189"/>
    </row>
    <row r="21" s="67" customFormat="true" ht="13.5" hidden="false" customHeight="true" outlineLevel="0" collapsed="false">
      <c r="A21" s="60" t="n">
        <f aca="false">ROW()-8</f>
        <v>13</v>
      </c>
      <c r="B21" s="127"/>
      <c r="C21" s="127" t="s">
        <v>1325</v>
      </c>
      <c r="D21" s="129"/>
      <c r="E21" s="129"/>
      <c r="F21" s="129"/>
      <c r="G21" s="129"/>
      <c r="H21" s="136" t="s">
        <v>2456</v>
      </c>
      <c r="I21" s="63" t="s">
        <v>1327</v>
      </c>
      <c r="J21" s="62" t="s">
        <v>126</v>
      </c>
      <c r="K21" s="62" t="s">
        <v>163</v>
      </c>
      <c r="L21" s="64"/>
      <c r="M21" s="62" t="s">
        <v>118</v>
      </c>
      <c r="N21" s="62"/>
      <c r="O21" s="64"/>
      <c r="P21" s="66"/>
    </row>
    <row r="22" s="169" customFormat="true" ht="13.5" hidden="false" customHeight="true" outlineLevel="0" collapsed="false">
      <c r="A22" s="60" t="n">
        <f aca="false">ROW()-8</f>
        <v>14</v>
      </c>
      <c r="B22" s="127"/>
      <c r="C22" s="127" t="s">
        <v>1328</v>
      </c>
      <c r="D22" s="129"/>
      <c r="E22" s="129"/>
      <c r="F22" s="129"/>
      <c r="G22" s="129"/>
      <c r="H22" s="136" t="s">
        <v>2457</v>
      </c>
      <c r="I22" s="137"/>
      <c r="J22" s="137" t="s">
        <v>1330</v>
      </c>
      <c r="K22" s="136" t="s">
        <v>1247</v>
      </c>
      <c r="L22" s="147" t="s">
        <v>119</v>
      </c>
      <c r="M22" s="146" t="s">
        <v>1330</v>
      </c>
      <c r="N22" s="147"/>
      <c r="O22" s="147"/>
      <c r="P22" s="187"/>
    </row>
    <row r="23" s="67" customFormat="true" ht="13.5" hidden="false" customHeight="true" outlineLevel="0" collapsed="false">
      <c r="A23" s="60" t="n">
        <f aca="false">ROW()-8</f>
        <v>15</v>
      </c>
      <c r="B23" s="127"/>
      <c r="C23" s="127"/>
      <c r="D23" s="129" t="s">
        <v>1331</v>
      </c>
      <c r="E23" s="129"/>
      <c r="F23" s="129"/>
      <c r="G23" s="129"/>
      <c r="H23" s="62" t="s">
        <v>1642</v>
      </c>
      <c r="I23" s="63" t="s">
        <v>1333</v>
      </c>
      <c r="J23" s="63" t="s">
        <v>162</v>
      </c>
      <c r="K23" s="62" t="s">
        <v>117</v>
      </c>
      <c r="L23" s="64"/>
      <c r="M23" s="62" t="s">
        <v>118</v>
      </c>
      <c r="N23" s="137" t="s">
        <v>2538</v>
      </c>
      <c r="O23" s="64"/>
      <c r="P23" s="66"/>
    </row>
    <row r="24" s="67" customFormat="true" ht="13.5" hidden="false" customHeight="true" outlineLevel="0" collapsed="false">
      <c r="A24" s="60" t="n">
        <f aca="false">ROW()-8</f>
        <v>16</v>
      </c>
      <c r="B24" s="127"/>
      <c r="C24" s="127"/>
      <c r="D24" s="129" t="s">
        <v>1335</v>
      </c>
      <c r="E24" s="129"/>
      <c r="F24" s="129"/>
      <c r="G24" s="129"/>
      <c r="H24" s="62" t="s">
        <v>1645</v>
      </c>
      <c r="I24" s="63" t="s">
        <v>1337</v>
      </c>
      <c r="J24" s="63" t="s">
        <v>1338</v>
      </c>
      <c r="K24" s="62" t="s">
        <v>117</v>
      </c>
      <c r="L24" s="64"/>
      <c r="M24" s="62" t="s">
        <v>118</v>
      </c>
      <c r="N24" s="64"/>
      <c r="O24" s="64"/>
      <c r="P24" s="66"/>
    </row>
    <row r="25" s="67" customFormat="true" ht="13.5" hidden="false" customHeight="true" outlineLevel="0" collapsed="false">
      <c r="A25" s="60" t="n">
        <f aca="false">ROW()-8</f>
        <v>17</v>
      </c>
      <c r="B25" s="127"/>
      <c r="C25" s="127" t="s">
        <v>1340</v>
      </c>
      <c r="D25" s="129"/>
      <c r="E25" s="129"/>
      <c r="F25" s="129"/>
      <c r="G25" s="129"/>
      <c r="H25" s="62"/>
      <c r="I25" s="63"/>
      <c r="J25" s="63" t="s">
        <v>1341</v>
      </c>
      <c r="K25" s="62" t="s">
        <v>163</v>
      </c>
      <c r="L25" s="64" t="s">
        <v>119</v>
      </c>
      <c r="M25" s="140" t="s">
        <v>1341</v>
      </c>
      <c r="N25" s="62"/>
      <c r="O25" s="64"/>
      <c r="P25" s="66"/>
    </row>
    <row r="26" s="67" customFormat="true" ht="13.5" hidden="false" customHeight="true" outlineLevel="0" collapsed="false">
      <c r="A26" s="60" t="n">
        <f aca="false">ROW()-8</f>
        <v>18</v>
      </c>
      <c r="B26" s="127"/>
      <c r="C26" s="127"/>
      <c r="D26" s="129" t="s">
        <v>1356</v>
      </c>
      <c r="E26" s="129"/>
      <c r="F26" s="129"/>
      <c r="G26" s="129"/>
      <c r="H26" s="62" t="s">
        <v>2458</v>
      </c>
      <c r="I26" s="63" t="s">
        <v>1358</v>
      </c>
      <c r="J26" s="63" t="s">
        <v>1359</v>
      </c>
      <c r="K26" s="62" t="s">
        <v>117</v>
      </c>
      <c r="L26" s="64"/>
      <c r="M26" s="62" t="s">
        <v>118</v>
      </c>
      <c r="N26" s="62" t="s">
        <v>1360</v>
      </c>
      <c r="O26" s="64"/>
      <c r="P26" s="66"/>
    </row>
    <row r="27" s="151" customFormat="true" ht="13.5" hidden="false" customHeight="true" outlineLevel="0" collapsed="false">
      <c r="A27" s="60" t="n">
        <f aca="false">ROW()-8</f>
        <v>19</v>
      </c>
      <c r="B27" s="127"/>
      <c r="C27" s="127"/>
      <c r="D27" s="129" t="s">
        <v>1361</v>
      </c>
      <c r="E27" s="129"/>
      <c r="F27" s="129"/>
      <c r="G27" s="129"/>
      <c r="H27" s="62" t="s">
        <v>2459</v>
      </c>
      <c r="I27" s="63" t="s">
        <v>1363</v>
      </c>
      <c r="J27" s="63" t="s">
        <v>1364</v>
      </c>
      <c r="K27" s="62" t="s">
        <v>163</v>
      </c>
      <c r="L27" s="64"/>
      <c r="M27" s="62" t="s">
        <v>118</v>
      </c>
      <c r="N27" s="62"/>
      <c r="O27" s="64"/>
      <c r="P27" s="190"/>
    </row>
    <row r="28" s="151" customFormat="true" ht="13.5" hidden="false" customHeight="true" outlineLevel="0" collapsed="false">
      <c r="A28" s="60" t="n">
        <f aca="false">ROW()-8</f>
        <v>20</v>
      </c>
      <c r="B28" s="127"/>
      <c r="C28" s="127"/>
      <c r="D28" s="129" t="s">
        <v>1365</v>
      </c>
      <c r="E28" s="129"/>
      <c r="F28" s="129"/>
      <c r="G28" s="129"/>
      <c r="H28" s="62"/>
      <c r="I28" s="63"/>
      <c r="J28" s="63" t="s">
        <v>1367</v>
      </c>
      <c r="K28" s="62" t="s">
        <v>163</v>
      </c>
      <c r="L28" s="64" t="s">
        <v>119</v>
      </c>
      <c r="M28" s="140" t="s">
        <v>1367</v>
      </c>
      <c r="N28" s="62"/>
      <c r="O28" s="64"/>
      <c r="P28" s="190"/>
    </row>
    <row r="29" s="151" customFormat="true" ht="13.5" hidden="false" customHeight="true" outlineLevel="0" collapsed="false">
      <c r="A29" s="60" t="n">
        <f aca="false">ROW()-8</f>
        <v>21</v>
      </c>
      <c r="B29" s="127"/>
      <c r="C29" s="127"/>
      <c r="D29" s="129"/>
      <c r="E29" s="129" t="s">
        <v>1368</v>
      </c>
      <c r="F29" s="129"/>
      <c r="G29" s="129"/>
      <c r="H29" s="62" t="s">
        <v>2460</v>
      </c>
      <c r="I29" s="63" t="s">
        <v>1370</v>
      </c>
      <c r="J29" s="63" t="s">
        <v>1359</v>
      </c>
      <c r="K29" s="62" t="s">
        <v>117</v>
      </c>
      <c r="L29" s="64"/>
      <c r="M29" s="62" t="s">
        <v>118</v>
      </c>
      <c r="N29" s="62" t="s">
        <v>1371</v>
      </c>
      <c r="O29" s="64"/>
      <c r="P29" s="190"/>
    </row>
    <row r="30" s="67" customFormat="true" ht="13.5" hidden="false" customHeight="true" outlineLevel="0" collapsed="false">
      <c r="A30" s="60" t="n">
        <f aca="false">ROW()-8</f>
        <v>22</v>
      </c>
      <c r="B30" s="127"/>
      <c r="C30" s="127"/>
      <c r="D30" s="129"/>
      <c r="E30" s="129" t="s">
        <v>1372</v>
      </c>
      <c r="F30" s="129"/>
      <c r="G30" s="129"/>
      <c r="H30" s="62" t="s">
        <v>2461</v>
      </c>
      <c r="I30" s="63" t="s">
        <v>1374</v>
      </c>
      <c r="J30" s="63" t="s">
        <v>1281</v>
      </c>
      <c r="K30" s="62" t="s">
        <v>163</v>
      </c>
      <c r="L30" s="64"/>
      <c r="M30" s="62" t="s">
        <v>118</v>
      </c>
      <c r="N30" s="62"/>
      <c r="O30" s="64"/>
      <c r="P30" s="66"/>
    </row>
    <row r="31" s="67" customFormat="true" ht="13.5" hidden="false" customHeight="true" outlineLevel="0" collapsed="false">
      <c r="A31" s="60" t="n">
        <f aca="false">ROW()-8</f>
        <v>23</v>
      </c>
      <c r="B31" s="127"/>
      <c r="C31" s="127"/>
      <c r="D31" s="129"/>
      <c r="E31" s="129" t="s">
        <v>1345</v>
      </c>
      <c r="F31" s="129"/>
      <c r="G31" s="129"/>
      <c r="H31" s="62" t="s">
        <v>2462</v>
      </c>
      <c r="I31" s="63" t="s">
        <v>1376</v>
      </c>
      <c r="J31" s="63" t="s">
        <v>126</v>
      </c>
      <c r="K31" s="62" t="s">
        <v>163</v>
      </c>
      <c r="L31" s="64"/>
      <c r="M31" s="62" t="s">
        <v>118</v>
      </c>
      <c r="N31" s="62"/>
      <c r="O31" s="64"/>
      <c r="P31" s="66"/>
    </row>
    <row r="32" s="67" customFormat="true" ht="13.5" hidden="false" customHeight="true" outlineLevel="0" collapsed="false">
      <c r="A32" s="60" t="n">
        <f aca="false">ROW()-8</f>
        <v>24</v>
      </c>
      <c r="B32" s="127"/>
      <c r="C32" s="127" t="s">
        <v>1377</v>
      </c>
      <c r="D32" s="129"/>
      <c r="E32" s="129"/>
      <c r="F32" s="129"/>
      <c r="G32" s="129"/>
      <c r="H32" s="62"/>
      <c r="I32" s="63"/>
      <c r="J32" s="63" t="s">
        <v>1379</v>
      </c>
      <c r="K32" s="62" t="s">
        <v>163</v>
      </c>
      <c r="L32" s="64" t="s">
        <v>119</v>
      </c>
      <c r="M32" s="140" t="s">
        <v>1379</v>
      </c>
      <c r="N32" s="62"/>
      <c r="O32" s="64"/>
      <c r="P32" s="66"/>
    </row>
    <row r="33" s="61" customFormat="true" ht="13.5" hidden="false" customHeight="true" outlineLevel="0" collapsed="false">
      <c r="A33" s="60" t="n">
        <f aca="false">ROW()-8</f>
        <v>25</v>
      </c>
      <c r="B33" s="127"/>
      <c r="C33" s="127"/>
      <c r="D33" s="129" t="s">
        <v>1380</v>
      </c>
      <c r="E33" s="129"/>
      <c r="F33" s="129"/>
      <c r="G33" s="129"/>
      <c r="H33" s="62" t="s">
        <v>2463</v>
      </c>
      <c r="I33" s="63" t="s">
        <v>1382</v>
      </c>
      <c r="J33" s="63" t="s">
        <v>126</v>
      </c>
      <c r="K33" s="62" t="s">
        <v>163</v>
      </c>
      <c r="L33" s="64"/>
      <c r="M33" s="62" t="s">
        <v>118</v>
      </c>
      <c r="N33" s="62"/>
      <c r="O33" s="64"/>
      <c r="P33" s="191"/>
    </row>
    <row r="34" s="67" customFormat="true" ht="13.5" hidden="false" customHeight="true" outlineLevel="0" collapsed="false">
      <c r="A34" s="60" t="n">
        <f aca="false">ROW()-8</f>
        <v>26</v>
      </c>
      <c r="B34" s="127"/>
      <c r="C34" s="127"/>
      <c r="D34" s="129" t="s">
        <v>1383</v>
      </c>
      <c r="E34" s="129"/>
      <c r="F34" s="129"/>
      <c r="G34" s="129"/>
      <c r="H34" s="62" t="s">
        <v>2464</v>
      </c>
      <c r="I34" s="63" t="n">
        <v>59350</v>
      </c>
      <c r="J34" s="63" t="s">
        <v>1385</v>
      </c>
      <c r="K34" s="62" t="s">
        <v>163</v>
      </c>
      <c r="L34" s="64"/>
      <c r="M34" s="62" t="s">
        <v>118</v>
      </c>
      <c r="N34" s="62" t="s">
        <v>2539</v>
      </c>
      <c r="O34" s="64"/>
      <c r="P34" s="66"/>
    </row>
    <row r="35" s="67" customFormat="true" ht="13.5" hidden="false" customHeight="true" outlineLevel="0" collapsed="false">
      <c r="A35" s="60" t="n">
        <f aca="false">ROW()-8</f>
        <v>27</v>
      </c>
      <c r="B35" s="127"/>
      <c r="C35" s="127"/>
      <c r="D35" s="129" t="s">
        <v>1387</v>
      </c>
      <c r="E35" s="129"/>
      <c r="F35" s="129"/>
      <c r="G35" s="129"/>
      <c r="H35" s="136" t="s">
        <v>1388</v>
      </c>
      <c r="I35" s="63" t="s">
        <v>1389</v>
      </c>
      <c r="J35" s="63" t="s">
        <v>1390</v>
      </c>
      <c r="K35" s="62" t="s">
        <v>163</v>
      </c>
      <c r="L35" s="64"/>
      <c r="M35" s="152" t="s">
        <v>118</v>
      </c>
      <c r="N35" s="62"/>
      <c r="O35" s="64"/>
      <c r="P35" s="66"/>
    </row>
    <row r="36" s="153" customFormat="true" ht="13.5" hidden="false" customHeight="true" outlineLevel="0" collapsed="false">
      <c r="A36" s="60" t="n">
        <f aca="false">ROW()-8</f>
        <v>28</v>
      </c>
      <c r="B36" s="127"/>
      <c r="C36" s="127" t="s">
        <v>1391</v>
      </c>
      <c r="D36" s="129"/>
      <c r="E36" s="129"/>
      <c r="F36" s="129"/>
      <c r="G36" s="129"/>
      <c r="H36" s="62" t="s">
        <v>2465</v>
      </c>
      <c r="I36" s="63"/>
      <c r="J36" s="63" t="s">
        <v>1393</v>
      </c>
      <c r="K36" s="62" t="s">
        <v>163</v>
      </c>
      <c r="L36" s="64" t="s">
        <v>119</v>
      </c>
      <c r="M36" s="140" t="s">
        <v>1393</v>
      </c>
      <c r="N36" s="62"/>
      <c r="O36" s="64"/>
      <c r="P36" s="192"/>
    </row>
    <row r="37" s="153" customFormat="true" ht="13.5" hidden="false" customHeight="true" outlineLevel="0" collapsed="false">
      <c r="A37" s="60" t="n">
        <f aca="false">ROW()-8</f>
        <v>29</v>
      </c>
      <c r="B37" s="127"/>
      <c r="C37" s="127"/>
      <c r="D37" s="129" t="s">
        <v>1394</v>
      </c>
      <c r="E37" s="129"/>
      <c r="F37" s="129"/>
      <c r="G37" s="129"/>
      <c r="H37" s="62" t="s">
        <v>2466</v>
      </c>
      <c r="I37" s="63" t="s">
        <v>1396</v>
      </c>
      <c r="J37" s="63" t="s">
        <v>1397</v>
      </c>
      <c r="K37" s="62" t="s">
        <v>163</v>
      </c>
      <c r="L37" s="64"/>
      <c r="M37" s="152" t="s">
        <v>118</v>
      </c>
      <c r="N37" s="62"/>
      <c r="O37" s="64"/>
      <c r="P37" s="192"/>
    </row>
    <row r="38" s="153" customFormat="true" ht="13.5" hidden="false" customHeight="true" outlineLevel="0" collapsed="false">
      <c r="A38" s="60" t="n">
        <f aca="false">ROW()-8</f>
        <v>30</v>
      </c>
      <c r="B38" s="127"/>
      <c r="C38" s="127"/>
      <c r="D38" s="129" t="s">
        <v>1398</v>
      </c>
      <c r="E38" s="129"/>
      <c r="F38" s="129"/>
      <c r="G38" s="129"/>
      <c r="H38" s="62" t="s">
        <v>2467</v>
      </c>
      <c r="I38" s="63" t="s">
        <v>1400</v>
      </c>
      <c r="J38" s="63" t="s">
        <v>1401</v>
      </c>
      <c r="K38" s="62" t="s">
        <v>163</v>
      </c>
      <c r="L38" s="64"/>
      <c r="M38" s="152" t="s">
        <v>118</v>
      </c>
      <c r="N38" s="62"/>
      <c r="O38" s="64"/>
      <c r="P38" s="192"/>
    </row>
    <row r="39" s="154" customFormat="true" ht="13.5" hidden="false" customHeight="true" outlineLevel="0" collapsed="false">
      <c r="A39" s="60" t="n">
        <f aca="false">ROW()-8</f>
        <v>31</v>
      </c>
      <c r="B39" s="127"/>
      <c r="C39" s="127"/>
      <c r="D39" s="129" t="s">
        <v>1402</v>
      </c>
      <c r="E39" s="129"/>
      <c r="F39" s="129"/>
      <c r="G39" s="129"/>
      <c r="H39" s="62" t="s">
        <v>2468</v>
      </c>
      <c r="I39" s="63" t="s">
        <v>1404</v>
      </c>
      <c r="J39" s="63" t="s">
        <v>1405</v>
      </c>
      <c r="K39" s="62" t="s">
        <v>163</v>
      </c>
      <c r="L39" s="64"/>
      <c r="M39" s="152" t="s">
        <v>118</v>
      </c>
      <c r="N39" s="62"/>
      <c r="O39" s="64"/>
      <c r="P39" s="193"/>
    </row>
    <row r="40" s="154" customFormat="true" ht="13.5" hidden="false" customHeight="true" outlineLevel="0" collapsed="false">
      <c r="A40" s="60" t="n">
        <f aca="false">ROW()-8</f>
        <v>32</v>
      </c>
      <c r="B40" s="127"/>
      <c r="C40" s="127"/>
      <c r="D40" s="129" t="s">
        <v>1406</v>
      </c>
      <c r="E40" s="129"/>
      <c r="F40" s="129"/>
      <c r="G40" s="129"/>
      <c r="H40" s="62" t="s">
        <v>2469</v>
      </c>
      <c r="I40" s="63" t="s">
        <v>1408</v>
      </c>
      <c r="J40" s="63" t="s">
        <v>1409</v>
      </c>
      <c r="K40" s="62" t="s">
        <v>1247</v>
      </c>
      <c r="L40" s="64"/>
      <c r="M40" s="152" t="s">
        <v>118</v>
      </c>
      <c r="N40" s="62"/>
      <c r="O40" s="64"/>
      <c r="P40" s="193"/>
    </row>
    <row r="41" s="154" customFormat="true" ht="13.5" hidden="false" customHeight="true" outlineLevel="0" collapsed="false">
      <c r="A41" s="60" t="n">
        <f aca="false">ROW()-8</f>
        <v>33</v>
      </c>
      <c r="B41" s="127"/>
      <c r="C41" s="127"/>
      <c r="D41" s="129" t="s">
        <v>1410</v>
      </c>
      <c r="E41" s="129"/>
      <c r="F41" s="129"/>
      <c r="G41" s="129"/>
      <c r="H41" s="62" t="s">
        <v>2470</v>
      </c>
      <c r="I41" s="63" t="s">
        <v>1412</v>
      </c>
      <c r="J41" s="63" t="s">
        <v>1413</v>
      </c>
      <c r="K41" s="62" t="s">
        <v>163</v>
      </c>
      <c r="L41" s="64"/>
      <c r="M41" s="152" t="s">
        <v>118</v>
      </c>
      <c r="N41" s="62"/>
      <c r="O41" s="64"/>
      <c r="P41" s="193"/>
    </row>
    <row r="42" s="155" customFormat="true" ht="13.5" hidden="false" customHeight="true" outlineLevel="0" collapsed="false">
      <c r="A42" s="60" t="n">
        <f aca="false">ROW()-8</f>
        <v>34</v>
      </c>
      <c r="B42" s="127"/>
      <c r="C42" s="127"/>
      <c r="D42" s="129" t="s">
        <v>1414</v>
      </c>
      <c r="E42" s="129"/>
      <c r="F42" s="129"/>
      <c r="G42" s="129"/>
      <c r="H42" s="62" t="s">
        <v>2471</v>
      </c>
      <c r="I42" s="63" t="s">
        <v>1416</v>
      </c>
      <c r="J42" s="63" t="s">
        <v>1417</v>
      </c>
      <c r="K42" s="62" t="s">
        <v>163</v>
      </c>
      <c r="L42" s="64"/>
      <c r="M42" s="152" t="s">
        <v>118</v>
      </c>
      <c r="N42" s="62"/>
      <c r="O42" s="64"/>
      <c r="P42" s="194"/>
    </row>
    <row r="43" s="157" customFormat="true" ht="13.5" hidden="false" customHeight="true" outlineLevel="0" collapsed="false">
      <c r="A43" s="60" t="n">
        <f aca="false">ROW()-8</f>
        <v>35</v>
      </c>
      <c r="B43" s="127"/>
      <c r="C43" s="127"/>
      <c r="D43" s="129" t="s">
        <v>1418</v>
      </c>
      <c r="E43" s="129"/>
      <c r="F43" s="129"/>
      <c r="G43" s="129"/>
      <c r="H43" s="62"/>
      <c r="I43" s="63" t="s">
        <v>2472</v>
      </c>
      <c r="J43" s="63" t="s">
        <v>1420</v>
      </c>
      <c r="K43" s="62" t="s">
        <v>163</v>
      </c>
      <c r="L43" s="64"/>
      <c r="M43" s="152" t="s">
        <v>118</v>
      </c>
      <c r="N43" s="62"/>
      <c r="O43" s="64"/>
      <c r="P43" s="195"/>
    </row>
    <row r="44" s="153" customFormat="true" ht="13.5" hidden="false" customHeight="true" outlineLevel="0" collapsed="false">
      <c r="A44" s="60" t="n">
        <f aca="false">ROW()-8</f>
        <v>36</v>
      </c>
      <c r="B44" s="127"/>
      <c r="C44" s="127"/>
      <c r="D44" s="129" t="s">
        <v>1421</v>
      </c>
      <c r="E44" s="129"/>
      <c r="F44" s="129"/>
      <c r="G44" s="129"/>
      <c r="H44" s="62" t="s">
        <v>2473</v>
      </c>
      <c r="I44" s="63" t="s">
        <v>1423</v>
      </c>
      <c r="J44" s="63" t="s">
        <v>1424</v>
      </c>
      <c r="K44" s="62" t="s">
        <v>163</v>
      </c>
      <c r="L44" s="64"/>
      <c r="M44" s="152" t="s">
        <v>118</v>
      </c>
      <c r="N44" s="62"/>
      <c r="O44" s="64"/>
      <c r="P44" s="192"/>
    </row>
    <row r="45" s="153" customFormat="true" ht="13.5" hidden="false" customHeight="true" outlineLevel="0" collapsed="false">
      <c r="A45" s="60" t="n">
        <f aca="false">ROW()-8</f>
        <v>37</v>
      </c>
      <c r="B45" s="127"/>
      <c r="C45" s="127"/>
      <c r="D45" s="129" t="s">
        <v>1425</v>
      </c>
      <c r="E45" s="129"/>
      <c r="F45" s="129"/>
      <c r="G45" s="129"/>
      <c r="H45" s="62" t="s">
        <v>2474</v>
      </c>
      <c r="I45" s="63" t="n">
        <v>33123452323</v>
      </c>
      <c r="J45" s="63" t="s">
        <v>1428</v>
      </c>
      <c r="K45" s="62" t="s">
        <v>163</v>
      </c>
      <c r="L45" s="64"/>
      <c r="M45" s="62" t="s">
        <v>1364</v>
      </c>
      <c r="N45" s="62"/>
      <c r="O45" s="64"/>
      <c r="P45" s="192"/>
    </row>
    <row r="46" s="67" customFormat="true" ht="13.5" hidden="false" customHeight="true" outlineLevel="0" collapsed="false">
      <c r="A46" s="60" t="n">
        <f aca="false">ROW()-8</f>
        <v>38</v>
      </c>
      <c r="B46" s="127"/>
      <c r="C46" s="127" t="s">
        <v>1430</v>
      </c>
      <c r="D46" s="129"/>
      <c r="E46" s="129"/>
      <c r="F46" s="129"/>
      <c r="G46" s="129"/>
      <c r="H46" s="62"/>
      <c r="I46" s="63"/>
      <c r="J46" s="63" t="s">
        <v>1432</v>
      </c>
      <c r="K46" s="62" t="s">
        <v>163</v>
      </c>
      <c r="L46" s="64" t="s">
        <v>119</v>
      </c>
      <c r="M46" s="140" t="s">
        <v>1432</v>
      </c>
      <c r="N46" s="62"/>
      <c r="O46" s="64"/>
      <c r="P46" s="66"/>
    </row>
    <row r="47" s="67" customFormat="true" ht="13.5" hidden="false" customHeight="true" outlineLevel="0" collapsed="false">
      <c r="A47" s="60" t="n">
        <f aca="false">ROW()-8</f>
        <v>39</v>
      </c>
      <c r="B47" s="127"/>
      <c r="C47" s="127"/>
      <c r="D47" s="129" t="s">
        <v>1433</v>
      </c>
      <c r="E47" s="129"/>
      <c r="F47" s="129"/>
      <c r="G47" s="129"/>
      <c r="H47" s="62" t="s">
        <v>2475</v>
      </c>
      <c r="I47" s="63" t="s">
        <v>1214</v>
      </c>
      <c r="J47" s="63" t="s">
        <v>2540</v>
      </c>
      <c r="K47" s="62" t="s">
        <v>117</v>
      </c>
      <c r="L47" s="64"/>
      <c r="M47" s="62" t="s">
        <v>134</v>
      </c>
      <c r="N47" s="62"/>
      <c r="O47" s="64"/>
      <c r="P47" s="66"/>
    </row>
    <row r="48" s="67" customFormat="true" ht="13.5" hidden="false" customHeight="true" outlineLevel="0" collapsed="false">
      <c r="A48" s="60" t="n">
        <f aca="false">ROW()-8</f>
        <v>40</v>
      </c>
      <c r="B48" s="127"/>
      <c r="C48" s="127"/>
      <c r="D48" s="129" t="s">
        <v>1435</v>
      </c>
      <c r="E48" s="129"/>
      <c r="F48" s="129"/>
      <c r="G48" s="129"/>
      <c r="H48" s="62" t="s">
        <v>2477</v>
      </c>
      <c r="I48" s="63"/>
      <c r="J48" s="63" t="s">
        <v>1437</v>
      </c>
      <c r="K48" s="62" t="s">
        <v>163</v>
      </c>
      <c r="L48" s="64" t="s">
        <v>119</v>
      </c>
      <c r="M48" s="140" t="s">
        <v>1437</v>
      </c>
      <c r="N48" s="62"/>
      <c r="O48" s="64"/>
      <c r="P48" s="66"/>
    </row>
    <row r="49" s="67" customFormat="true" ht="13.5" hidden="false" customHeight="true" outlineLevel="0" collapsed="false">
      <c r="A49" s="60" t="n">
        <f aca="false">ROW()-8</f>
        <v>41</v>
      </c>
      <c r="B49" s="127"/>
      <c r="C49" s="127"/>
      <c r="D49" s="129"/>
      <c r="E49" s="129" t="s">
        <v>1438</v>
      </c>
      <c r="F49" s="129"/>
      <c r="G49" s="129"/>
      <c r="H49" s="62" t="s">
        <v>2478</v>
      </c>
      <c r="I49" s="63"/>
      <c r="J49" s="63" t="s">
        <v>1440</v>
      </c>
      <c r="K49" s="62" t="s">
        <v>117</v>
      </c>
      <c r="L49" s="64" t="s">
        <v>119</v>
      </c>
      <c r="M49" s="140" t="s">
        <v>1440</v>
      </c>
      <c r="N49" s="62"/>
      <c r="O49" s="64"/>
      <c r="P49" s="66"/>
    </row>
    <row r="50" s="67" customFormat="true" ht="13.5" hidden="false" customHeight="true" outlineLevel="0" collapsed="false">
      <c r="A50" s="60" t="n">
        <f aca="false">ROW()-8</f>
        <v>42</v>
      </c>
      <c r="B50" s="127"/>
      <c r="C50" s="127"/>
      <c r="D50" s="129"/>
      <c r="E50" s="129"/>
      <c r="F50" s="129" t="s">
        <v>1441</v>
      </c>
      <c r="G50" s="129"/>
      <c r="H50" s="62" t="s">
        <v>2479</v>
      </c>
      <c r="I50" s="63" t="s">
        <v>1443</v>
      </c>
      <c r="J50" s="63" t="s">
        <v>1444</v>
      </c>
      <c r="K50" s="62" t="s">
        <v>117</v>
      </c>
      <c r="L50" s="64"/>
      <c r="M50" s="62" t="s">
        <v>1364</v>
      </c>
      <c r="N50" s="62"/>
      <c r="O50" s="64"/>
      <c r="P50" s="66"/>
    </row>
    <row r="51" s="153" customFormat="true" ht="13.5" hidden="false" customHeight="true" outlineLevel="0" collapsed="false">
      <c r="A51" s="60" t="n">
        <f aca="false">ROW()-8</f>
        <v>43</v>
      </c>
      <c r="B51" s="127"/>
      <c r="C51" s="127"/>
      <c r="D51" s="129"/>
      <c r="E51" s="129"/>
      <c r="F51" s="129" t="s">
        <v>1445</v>
      </c>
      <c r="G51" s="129"/>
      <c r="H51" s="62" t="s">
        <v>2480</v>
      </c>
      <c r="I51" s="63" t="s">
        <v>1447</v>
      </c>
      <c r="J51" s="63" t="s">
        <v>1448</v>
      </c>
      <c r="K51" s="62" t="s">
        <v>117</v>
      </c>
      <c r="L51" s="64"/>
      <c r="M51" s="62" t="s">
        <v>1364</v>
      </c>
      <c r="N51" s="62"/>
      <c r="O51" s="64"/>
      <c r="P51" s="192"/>
    </row>
    <row r="52" s="154" customFormat="true" ht="13.5" hidden="false" customHeight="true" outlineLevel="0" collapsed="false">
      <c r="A52" s="60" t="n">
        <f aca="false">ROW()-8</f>
        <v>44</v>
      </c>
      <c r="B52" s="127"/>
      <c r="C52" s="127"/>
      <c r="D52" s="129"/>
      <c r="E52" s="129"/>
      <c r="F52" s="129" t="s">
        <v>1449</v>
      </c>
      <c r="G52" s="129"/>
      <c r="H52" s="62" t="s">
        <v>2481</v>
      </c>
      <c r="I52" s="63" t="n">
        <v>120</v>
      </c>
      <c r="J52" s="62" t="s">
        <v>1451</v>
      </c>
      <c r="K52" s="62" t="s">
        <v>163</v>
      </c>
      <c r="L52" s="64"/>
      <c r="M52" s="62" t="s">
        <v>1364</v>
      </c>
      <c r="N52" s="62"/>
      <c r="O52" s="64"/>
      <c r="P52" s="193"/>
    </row>
    <row r="53" s="154" customFormat="true" ht="13.5" hidden="false" customHeight="true" outlineLevel="0" collapsed="false">
      <c r="A53" s="60" t="n">
        <f aca="false">ROW()-8</f>
        <v>45</v>
      </c>
      <c r="B53" s="127"/>
      <c r="C53" s="127"/>
      <c r="D53" s="129"/>
      <c r="E53" s="129"/>
      <c r="F53" s="129" t="s">
        <v>1458</v>
      </c>
      <c r="G53" s="129"/>
      <c r="H53" s="62" t="s">
        <v>2482</v>
      </c>
      <c r="I53" s="63" t="s">
        <v>2191</v>
      </c>
      <c r="J53" s="63" t="s">
        <v>1461</v>
      </c>
      <c r="K53" s="62" t="s">
        <v>117</v>
      </c>
      <c r="L53" s="64"/>
      <c r="M53" s="62" t="s">
        <v>118</v>
      </c>
      <c r="N53" s="136" t="s">
        <v>2541</v>
      </c>
      <c r="O53" s="64"/>
      <c r="P53" s="193"/>
    </row>
    <row r="54" s="153" customFormat="true" ht="13.5" hidden="false" customHeight="true" outlineLevel="0" collapsed="false">
      <c r="A54" s="60" t="n">
        <f aca="false">ROW()-8</f>
        <v>46</v>
      </c>
      <c r="B54" s="127"/>
      <c r="C54" s="127"/>
      <c r="D54" s="129"/>
      <c r="E54" s="129" t="s">
        <v>1467</v>
      </c>
      <c r="F54" s="129"/>
      <c r="G54" s="129"/>
      <c r="H54" s="62" t="s">
        <v>2483</v>
      </c>
      <c r="I54" s="63" t="s">
        <v>1469</v>
      </c>
      <c r="J54" s="63" t="s">
        <v>1470</v>
      </c>
      <c r="K54" s="62" t="s">
        <v>163</v>
      </c>
      <c r="L54" s="64"/>
      <c r="M54" s="62" t="s">
        <v>118</v>
      </c>
      <c r="N54" s="136"/>
      <c r="O54" s="64"/>
      <c r="P54" s="192"/>
    </row>
    <row r="55" s="153" customFormat="true" ht="13.5" hidden="false" customHeight="true" outlineLevel="0" collapsed="false">
      <c r="A55" s="60" t="n">
        <f aca="false">ROW()-8</f>
        <v>47</v>
      </c>
      <c r="B55" s="127"/>
      <c r="C55" s="127"/>
      <c r="D55" s="129" t="s">
        <v>1471</v>
      </c>
      <c r="E55" s="129"/>
      <c r="F55" s="129"/>
      <c r="G55" s="129"/>
      <c r="H55" s="62" t="s">
        <v>1472</v>
      </c>
      <c r="I55" s="63"/>
      <c r="J55" s="63" t="s">
        <v>1473</v>
      </c>
      <c r="K55" s="62" t="s">
        <v>163</v>
      </c>
      <c r="L55" s="64"/>
      <c r="M55" s="62" t="s">
        <v>118</v>
      </c>
      <c r="N55" s="136"/>
      <c r="O55" s="64"/>
      <c r="P55" s="192"/>
    </row>
    <row r="56" s="67" customFormat="true" ht="13.5" hidden="false" customHeight="true" outlineLevel="0" collapsed="false">
      <c r="A56" s="60" t="n">
        <f aca="false">ROW()-8</f>
        <v>48</v>
      </c>
      <c r="B56" s="127"/>
      <c r="C56" s="127" t="s">
        <v>1474</v>
      </c>
      <c r="D56" s="129"/>
      <c r="E56" s="129"/>
      <c r="F56" s="129"/>
      <c r="G56" s="129"/>
      <c r="H56" s="62" t="s">
        <v>2484</v>
      </c>
      <c r="I56" s="63"/>
      <c r="J56" s="63" t="s">
        <v>1476</v>
      </c>
      <c r="K56" s="62" t="s">
        <v>1247</v>
      </c>
      <c r="L56" s="64" t="s">
        <v>119</v>
      </c>
      <c r="M56" s="140" t="s">
        <v>1476</v>
      </c>
      <c r="N56" s="136"/>
      <c r="O56" s="64"/>
      <c r="P56" s="66"/>
    </row>
    <row r="57" s="67" customFormat="true" ht="13.5" hidden="false" customHeight="true" outlineLevel="0" collapsed="false">
      <c r="A57" s="60" t="n">
        <f aca="false">ROW()-8</f>
        <v>49</v>
      </c>
      <c r="B57" s="127"/>
      <c r="C57" s="127"/>
      <c r="D57" s="129" t="s">
        <v>1477</v>
      </c>
      <c r="E57" s="129"/>
      <c r="F57" s="129"/>
      <c r="G57" s="129"/>
      <c r="H57" s="62" t="s">
        <v>2485</v>
      </c>
      <c r="I57" s="63" t="s">
        <v>2486</v>
      </c>
      <c r="J57" s="63" t="s">
        <v>1313</v>
      </c>
      <c r="K57" s="62" t="s">
        <v>117</v>
      </c>
      <c r="L57" s="64"/>
      <c r="M57" s="62" t="s">
        <v>118</v>
      </c>
      <c r="N57" s="136" t="s">
        <v>2542</v>
      </c>
      <c r="O57" s="64"/>
      <c r="P57" s="66"/>
    </row>
    <row r="58" s="67" customFormat="true" ht="13.5" hidden="false" customHeight="true" outlineLevel="0" collapsed="false">
      <c r="A58" s="60" t="n">
        <f aca="false">ROW()-8</f>
        <v>50</v>
      </c>
      <c r="B58" s="127"/>
      <c r="C58" s="127"/>
      <c r="D58" s="129" t="s">
        <v>1481</v>
      </c>
      <c r="E58" s="129"/>
      <c r="F58" s="129"/>
      <c r="G58" s="129"/>
      <c r="H58" s="62" t="s">
        <v>2487</v>
      </c>
      <c r="I58" s="63" t="s">
        <v>2488</v>
      </c>
      <c r="J58" s="63" t="s">
        <v>1281</v>
      </c>
      <c r="K58" s="62" t="s">
        <v>117</v>
      </c>
      <c r="L58" s="64"/>
      <c r="M58" s="62" t="s">
        <v>118</v>
      </c>
      <c r="N58" s="136" t="s">
        <v>2543</v>
      </c>
      <c r="O58" s="64"/>
      <c r="P58" s="66"/>
    </row>
    <row r="59" s="61" customFormat="true" ht="13.5" hidden="false" customHeight="true" outlineLevel="0" collapsed="false">
      <c r="A59" s="60" t="n">
        <f aca="false">ROW()-8</f>
        <v>51</v>
      </c>
      <c r="B59" s="127"/>
      <c r="C59" s="127"/>
      <c r="D59" s="129" t="s">
        <v>1335</v>
      </c>
      <c r="E59" s="129"/>
      <c r="F59" s="129"/>
      <c r="G59" s="129"/>
      <c r="H59" s="62" t="s">
        <v>2489</v>
      </c>
      <c r="I59" s="63" t="s">
        <v>2490</v>
      </c>
      <c r="J59" s="63" t="s">
        <v>1487</v>
      </c>
      <c r="K59" s="62" t="s">
        <v>117</v>
      </c>
      <c r="L59" s="64"/>
      <c r="M59" s="152" t="s">
        <v>118</v>
      </c>
      <c r="N59" s="62"/>
      <c r="O59" s="64"/>
      <c r="P59" s="191"/>
    </row>
    <row r="60" s="67" customFormat="true" ht="13.5" hidden="false" customHeight="true" outlineLevel="0" collapsed="false">
      <c r="A60" s="60" t="n">
        <f aca="false">ROW()-8</f>
        <v>52</v>
      </c>
      <c r="B60" s="127"/>
      <c r="C60" s="127" t="s">
        <v>1488</v>
      </c>
      <c r="D60" s="129"/>
      <c r="E60" s="129"/>
      <c r="F60" s="129"/>
      <c r="G60" s="129"/>
      <c r="H60" s="62"/>
      <c r="I60" s="63" t="s">
        <v>1489</v>
      </c>
      <c r="J60" s="62" t="s">
        <v>1490</v>
      </c>
      <c r="K60" s="62" t="s">
        <v>117</v>
      </c>
      <c r="L60" s="64"/>
      <c r="M60" s="152" t="s">
        <v>118</v>
      </c>
      <c r="N60" s="62" t="s">
        <v>1491</v>
      </c>
      <c r="O60" s="64"/>
      <c r="P60" s="66"/>
    </row>
    <row r="61" s="67" customFormat="true" ht="13.5" hidden="false" customHeight="true" outlineLevel="0" collapsed="false">
      <c r="A61" s="60" t="n">
        <f aca="false">ROW()-8</f>
        <v>53</v>
      </c>
      <c r="B61" s="127"/>
      <c r="C61" s="127" t="s">
        <v>1492</v>
      </c>
      <c r="D61" s="129"/>
      <c r="E61" s="129"/>
      <c r="F61" s="129"/>
      <c r="G61" s="129"/>
      <c r="H61" s="62" t="s">
        <v>2491</v>
      </c>
      <c r="I61" s="63" t="s">
        <v>1494</v>
      </c>
      <c r="J61" s="63" t="s">
        <v>1313</v>
      </c>
      <c r="K61" s="62" t="s">
        <v>163</v>
      </c>
      <c r="L61" s="64"/>
      <c r="M61" s="62" t="s">
        <v>118</v>
      </c>
      <c r="N61" s="62"/>
      <c r="O61" s="64"/>
      <c r="P61" s="66"/>
    </row>
    <row r="62" s="67" customFormat="true" ht="13.5" hidden="false" customHeight="true" outlineLevel="0" collapsed="false">
      <c r="A62" s="60" t="n">
        <f aca="false">ROW()-8</f>
        <v>54</v>
      </c>
      <c r="B62" s="127" t="s">
        <v>2492</v>
      </c>
      <c r="C62" s="127" t="s">
        <v>2493</v>
      </c>
      <c r="D62" s="129"/>
      <c r="E62" s="129"/>
      <c r="F62" s="129"/>
      <c r="G62" s="129"/>
      <c r="H62" s="142" t="s">
        <v>2494</v>
      </c>
      <c r="I62" s="63"/>
      <c r="J62" s="142" t="s">
        <v>2495</v>
      </c>
      <c r="K62" s="62" t="s">
        <v>163</v>
      </c>
      <c r="L62" s="64" t="s">
        <v>119</v>
      </c>
      <c r="M62" s="140" t="s">
        <v>1316</v>
      </c>
      <c r="N62" s="62"/>
      <c r="O62" s="64"/>
      <c r="P62" s="66"/>
    </row>
  </sheetData>
  <conditionalFormatting sqref="A63:F64 A67:F885">
    <cfRule type="expression" priority="2" aboveAverage="0" equalAverage="0" bottom="0" percent="0" rank="0" text="" dxfId="4027">
      <formula>OR(#ref!="X",#ref!="X")</formula>
    </cfRule>
    <cfRule type="expression" priority="3" aboveAverage="0" equalAverage="0" bottom="0" percent="0" rank="0" text="" dxfId="4028">
      <formula>AND(#ref!=1,#ref!=1)</formula>
    </cfRule>
    <cfRule type="expression" priority="4" aboveAverage="0" equalAverage="0" bottom="0" percent="0" rank="0" text="" dxfId="4029">
      <formula>#ref!=1</formula>
    </cfRule>
    <cfRule type="expression" priority="5" aboveAverage="0" equalAverage="0" bottom="0" percent="0" rank="0" text="" dxfId="4030">
      <formula>#ref!=1</formula>
    </cfRule>
  </conditionalFormatting>
  <conditionalFormatting sqref="C9:C11 C10:G10 C18:G18 C19:C21 C25:C62">
    <cfRule type="expression" priority="6" aboveAverage="0" equalAverage="0" bottom="0" percent="0" rank="0" text="" dxfId="4031">
      <formula>AND($L9="X",$B9&lt;&gt;"")</formula>
    </cfRule>
  </conditionalFormatting>
  <conditionalFormatting sqref="C14:C15">
    <cfRule type="expression" priority="7" aboveAverage="0" equalAverage="0" bottom="0" percent="0" rank="0" text="" dxfId="4032">
      <formula>AND($L14="X",OR($B14&lt;&gt;"",#ref!&lt;&gt;""))</formula>
    </cfRule>
  </conditionalFormatting>
  <conditionalFormatting sqref="C12:F13">
    <cfRule type="expression" priority="8" aboveAverage="0" equalAverage="0" bottom="0" percent="0" rank="0" text="" dxfId="4033">
      <formula>AND($L12="X",OR($B12&lt;&gt;"",#ref!&lt;&gt;""))</formula>
    </cfRule>
  </conditionalFormatting>
  <conditionalFormatting sqref="D9:D11 D18:D21 D25:G25 D25:D62 D32:G32 D36:G36 D46:G46 D56:G56">
    <cfRule type="expression" priority="9" aboveAverage="0" equalAverage="0" bottom="0" percent="0" rank="0" text="" dxfId="4034">
      <formula>AND($L9="X",OR($B9&lt;&gt;"",$C9&lt;&gt;""))</formula>
    </cfRule>
  </conditionalFormatting>
  <conditionalFormatting sqref="D14">
    <cfRule type="expression" priority="10" aboveAverage="0" equalAverage="0" bottom="0" percent="0" rank="0" text="" dxfId="4035">
      <formula>AND($L14="X",OR($C14&lt;&gt;"",#ref!&lt;&gt;""))</formula>
    </cfRule>
  </conditionalFormatting>
  <conditionalFormatting sqref="D15 C22 D22:D24">
    <cfRule type="expression" priority="11" aboveAverage="0" equalAverage="0" bottom="0" percent="0" rank="0" text="" dxfId="4036">
      <formula>AND($L15="X",OR($B15&lt;&gt;"",#ref!&lt;&gt;""))</formula>
    </cfRule>
  </conditionalFormatting>
  <conditionalFormatting sqref="D11:G17 D19:G62">
    <cfRule type="expression" priority="12" aboveAverage="0" equalAverage="0" bottom="0" percent="0" rank="0" text="" dxfId="4037">
      <formula>AND($L11="X",OR($B11&lt;&gt;"",#ref!&lt;&gt;""))</formula>
    </cfRule>
  </conditionalFormatting>
  <conditionalFormatting sqref="E3 E6">
    <cfRule type="dataBar" priority="13">
      <dataBar showValue="1" minLength="10" maxLength="90">
        <cfvo type="num" val="0"/>
        <cfvo type="num" val="1"/>
        <color rgb="FF63C384"/>
      </dataBar>
      <extLst>
        <ext xmlns:x14="http://schemas.microsoft.com/office/spreadsheetml/2009/9/main" uri="{B025F937-C7B1-47D3-B67F-A62EFF666E3E}">
          <x14:id>{52A54082-F57F-48B6-A93B-C074152041B3}</x14:id>
        </ext>
      </extLst>
    </cfRule>
  </conditionalFormatting>
  <conditionalFormatting sqref="E9:E11 E18:E21 E25:E62">
    <cfRule type="expression" priority="14" aboveAverage="0" equalAverage="0" bottom="0" percent="0" rank="0" text="" dxfId="4038">
      <formula>AND($L9="X",OR($B9&lt;&gt;"",$C9&lt;&gt;"",$D9&lt;&gt;""))</formula>
    </cfRule>
  </conditionalFormatting>
  <conditionalFormatting sqref="E14">
    <cfRule type="expression" priority="15" aboveAverage="0" equalAverage="0" bottom="0" percent="0" rank="0" text="" dxfId="4039">
      <formula>AND($L14="X",OR($C14&lt;&gt;"",#ref!&lt;&gt;"",$D14&lt;&gt;""))</formula>
    </cfRule>
  </conditionalFormatting>
  <conditionalFormatting sqref="E15">
    <cfRule type="expression" priority="16" aboveAverage="0" equalAverage="0" bottom="0" percent="0" rank="0" text="" dxfId="4040">
      <formula>AND($L15="X",OR($B15&lt;&gt;"",#ref!&lt;&gt;"",$D15&lt;&gt;""))</formula>
    </cfRule>
  </conditionalFormatting>
  <conditionalFormatting sqref="F9:F11 F18:F21 F25:F62">
    <cfRule type="expression" priority="17" aboveAverage="0" equalAverage="0" bottom="0" percent="0" rank="0" text="" dxfId="4041">
      <formula>AND($L9="X",OR($B9&lt;&gt;"",$C9&lt;&gt;"",$D9&lt;&gt;"",$E9&lt;&gt;""))</formula>
    </cfRule>
  </conditionalFormatting>
  <conditionalFormatting sqref="F14">
    <cfRule type="expression" priority="18" aboveAverage="0" equalAverage="0" bottom="0" percent="0" rank="0" text="" dxfId="4042">
      <formula>AND($L14="X",OR($C14&lt;&gt;"",#ref!&lt;&gt;"",$D14&lt;&gt;"",$E14&lt;&gt;""))</formula>
    </cfRule>
  </conditionalFormatting>
  <conditionalFormatting sqref="G14">
    <cfRule type="expression" priority="19" aboveAverage="0" equalAverage="0" bottom="0" percent="0" rank="0" text="" dxfId="4043">
      <formula>AND($L14="X",OR($C14&lt;&gt;"",#ref!&lt;&gt;"",$D14&lt;&gt;"",$E14&lt;&gt;"",$F14&lt;&gt;""))</formula>
    </cfRule>
  </conditionalFormatting>
  <conditionalFormatting sqref="G28">
    <cfRule type="expression" priority="20" aboveAverage="0" equalAverage="0" bottom="0" percent="0" rank="0" text="" dxfId="4044">
      <formula>AND($L28="X",OR($B28&lt;&gt;"",$C28&lt;&gt;"",$D28&lt;&gt;"",$E28&lt;&gt;""))</formula>
    </cfRule>
    <cfRule type="expression" priority="21" aboveAverage="0" equalAverage="0" bottom="0" percent="0" rank="0" text="" dxfId="4045">
      <formula>AND($L28="X",OR($B28&lt;&gt;"",$C28&lt;&gt;""))</formula>
    </cfRule>
  </conditionalFormatting>
  <conditionalFormatting sqref="G48:G49">
    <cfRule type="expression" priority="22" aboveAverage="0" equalAverage="0" bottom="0" percent="0" rank="0" text="" dxfId="4046">
      <formula>AND($L48="X",OR($B48&lt;&gt;"",$C48&lt;&gt;"",$D48&lt;&gt;"",$E48&lt;&gt;""))</formula>
    </cfRule>
  </conditionalFormatting>
  <conditionalFormatting sqref="G62">
    <cfRule type="expression" priority="23" aboveAverage="0" equalAverage="0" bottom="0" percent="0" rank="0" text="" dxfId="4047">
      <formula>AND($L62="X",OR($B62&lt;&gt;"",$C62&lt;&gt;"",$D62&lt;&gt;"",$E62&lt;&gt;""))</formula>
    </cfRule>
  </conditionalFormatting>
  <conditionalFormatting sqref="H63:H64 H67:H885">
    <cfRule type="expression" priority="24" aboveAverage="0" equalAverage="0" bottom="0" percent="0" rank="0" text="" dxfId="4048">
      <formula>$J63="X"</formula>
    </cfRule>
  </conditionalFormatting>
  <conditionalFormatting sqref="I10">
    <cfRule type="expression" priority="25" aboveAverage="0" equalAverage="0" bottom="0" percent="0" rank="0" text="" dxfId="4049">
      <formula>$L10="X"</formula>
    </cfRule>
  </conditionalFormatting>
  <conditionalFormatting sqref="I11">
    <cfRule type="expression" priority="26" aboveAverage="0" equalAverage="0" bottom="0" percent="0" rank="0" text="" dxfId="4050">
      <formula>$P18="X"</formula>
    </cfRule>
  </conditionalFormatting>
  <conditionalFormatting sqref="I12">
    <cfRule type="expression" priority="27" aboveAverage="0" equalAverage="0" bottom="0" percent="0" rank="0" text="" dxfId="4051">
      <formula>$L12="X"</formula>
    </cfRule>
  </conditionalFormatting>
  <conditionalFormatting sqref="I18 I20:I62">
    <cfRule type="expression" priority="28" aboveAverage="0" equalAverage="0" bottom="0" percent="0" rank="0" text="" dxfId="4052">
      <formula>$L18="X"</formula>
    </cfRule>
  </conditionalFormatting>
  <conditionalFormatting sqref="K9:K12">
    <cfRule type="cellIs" priority="29" operator="equal" aboveAverage="0" equalAverage="0" bottom="0" percent="0" rank="0" text="" dxfId="4053">
      <formula>"1..1"</formula>
    </cfRule>
    <cfRule type="cellIs" priority="30" operator="equal" aboveAverage="0" equalAverage="0" bottom="0" percent="0" rank="0" text="" dxfId="4054">
      <formula>"0..n"</formula>
    </cfRule>
    <cfRule type="cellIs" priority="31" operator="equal" aboveAverage="0" equalAverage="0" bottom="0" percent="0" rank="0" text="" dxfId="4055">
      <formula>"0..1"</formula>
    </cfRule>
  </conditionalFormatting>
  <conditionalFormatting sqref="K14">
    <cfRule type="cellIs" priority="32" operator="equal" aboveAverage="0" equalAverage="0" bottom="0" percent="0" rank="0" text="" dxfId="4056">
      <formula>"1..1"</formula>
    </cfRule>
    <cfRule type="cellIs" priority="33" operator="equal" aboveAverage="0" equalAverage="0" bottom="0" percent="0" rank="0" text="" dxfId="4057">
      <formula>"0..n"</formula>
    </cfRule>
    <cfRule type="cellIs" priority="34" operator="equal" aboveAverage="0" equalAverage="0" bottom="0" percent="0" rank="0" text="" dxfId="4058">
      <formula>"0..1"</formula>
    </cfRule>
  </conditionalFormatting>
  <conditionalFormatting sqref="K19:K62 J22:J59 J61">
    <cfRule type="cellIs" priority="35" operator="equal" aboveAverage="0" equalAverage="0" bottom="0" percent="0" rank="0" text="" dxfId="4059">
      <formula>"1..1"</formula>
    </cfRule>
    <cfRule type="cellIs" priority="36" operator="equal" aboveAverage="0" equalAverage="0" bottom="0" percent="0" rank="0" text="" dxfId="4060">
      <formula>"0..n"</formula>
    </cfRule>
    <cfRule type="cellIs" priority="37" operator="equal" aboveAverage="0" equalAverage="0" bottom="0" percent="0" rank="0" text="" dxfId="406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2A54082-F57F-48B6-A93B-C074152041B3}">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N12" activeCellId="0" sqref="N12"/>
    </sheetView>
  </sheetViews>
  <sheetFormatPr defaultColWidth="9.515625" defaultRowHeight="12" zeroHeight="false" outlineLevelRow="0" outlineLevelCol="0"/>
  <cols>
    <col collapsed="false" customWidth="true" hidden="false" outlineLevel="0" max="1" min="1" style="30" width="4.62"/>
    <col collapsed="false" customWidth="true" hidden="false" outlineLevel="0" max="2" min="2" style="30" width="29.12"/>
    <col collapsed="false" customWidth="true" hidden="false" outlineLevel="0" max="3" min="3" style="30" width="22.37"/>
    <col collapsed="false" customWidth="true" hidden="false" outlineLevel="0" max="4" min="4" style="30" width="11.13"/>
    <col collapsed="false" customWidth="true" hidden="false" outlineLevel="0" max="5" min="5" style="30" width="9.63"/>
    <col collapsed="false" customWidth="true" hidden="false" outlineLevel="0" max="6" min="6" style="30" width="8.64"/>
    <col collapsed="false" customWidth="true" hidden="false" outlineLevel="0" max="7" min="7" style="31" width="10.63"/>
    <col collapsed="false" customWidth="true" hidden="false" outlineLevel="0" max="8" min="8" style="31" width="44.13"/>
    <col collapsed="false" customWidth="true" hidden="false" outlineLevel="0" max="9" min="9" style="60" width="33.5"/>
    <col collapsed="false" customWidth="true" hidden="false" outlineLevel="0" max="10" min="10" style="31" width="10.51"/>
    <col collapsed="false" customWidth="true" hidden="false" outlineLevel="0" max="11" min="11" style="55" width="9.13"/>
    <col collapsed="false" customWidth="true" hidden="false" outlineLevel="0" max="12" min="12" style="31" width="8.64"/>
    <col collapsed="false" customWidth="true" hidden="false" outlineLevel="0" max="13" min="13" style="33" width="12.63"/>
    <col collapsed="false" customWidth="true" hidden="false" outlineLevel="0" max="14" min="14" style="31" width="46.5"/>
    <col collapsed="false" customWidth="true" hidden="false" outlineLevel="0" max="15" min="15" style="0" width="10.51"/>
    <col collapsed="false" customWidth="true" hidden="false" outlineLevel="0" max="16" min="16" style="180" width="4"/>
    <col collapsed="false" customWidth="false" hidden="false" outlineLevel="0" max="991" min="17" style="30" width="9.51"/>
    <col collapsed="false" customWidth="true" hidden="false" outlineLevel="0" max="992" min="992" style="30" width="9"/>
    <col collapsed="false" customWidth="true" hidden="false" outlineLevel="0" max="994" min="993" style="0" width="9"/>
  </cols>
  <sheetData>
    <row r="1" customFormat="false" ht="13.5" hidden="false" customHeight="true" outlineLevel="0" collapsed="false">
      <c r="A1" s="71" t="s">
        <v>2544</v>
      </c>
      <c r="C1" s="72"/>
      <c r="F1" s="37"/>
      <c r="G1" s="30"/>
      <c r="I1" s="55"/>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2545</v>
      </c>
      <c r="B3" s="75" t="s">
        <v>85</v>
      </c>
      <c r="C3" s="80" t="s">
        <v>2546</v>
      </c>
      <c r="D3" s="75" t="s">
        <v>2547</v>
      </c>
      <c r="E3" s="75"/>
      <c r="F3" s="75"/>
      <c r="G3" s="75" t="s">
        <v>90</v>
      </c>
      <c r="H3" s="75" t="s">
        <v>91</v>
      </c>
      <c r="I3" s="75" t="s">
        <v>90</v>
      </c>
      <c r="J3" s="81" t="s">
        <v>2548</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85</v>
      </c>
      <c r="P8" s="249" t="s">
        <v>111</v>
      </c>
    </row>
    <row r="9" s="67" customFormat="true" ht="13.5" hidden="false" customHeight="true" outlineLevel="0" collapsed="false">
      <c r="A9" s="60" t="n">
        <v>1</v>
      </c>
      <c r="B9" s="127" t="s">
        <v>1204</v>
      </c>
      <c r="C9" s="128"/>
      <c r="D9" s="129"/>
      <c r="E9" s="129"/>
      <c r="F9" s="129"/>
      <c r="G9" s="129"/>
      <c r="H9" s="62" t="s">
        <v>2364</v>
      </c>
      <c r="I9" s="98" t="s">
        <v>1205</v>
      </c>
      <c r="J9" s="63" t="s">
        <v>1206</v>
      </c>
      <c r="K9" s="62" t="s">
        <v>117</v>
      </c>
      <c r="L9" s="130"/>
      <c r="M9" s="62" t="s">
        <v>118</v>
      </c>
      <c r="N9" s="62" t="s">
        <v>1207</v>
      </c>
      <c r="O9" s="65" t="s">
        <v>119</v>
      </c>
      <c r="P9" s="66"/>
    </row>
    <row r="10" s="67" customFormat="true" ht="13.5" hidden="false" customHeight="true" outlineLevel="0" collapsed="false">
      <c r="A10" s="60" t="n">
        <v>2</v>
      </c>
      <c r="B10" s="127" t="s">
        <v>2373</v>
      </c>
      <c r="C10" s="128"/>
      <c r="D10" s="129"/>
      <c r="E10" s="129"/>
      <c r="F10" s="129"/>
      <c r="G10" s="129"/>
      <c r="H10" s="62" t="s">
        <v>2549</v>
      </c>
      <c r="I10" s="98" t="s">
        <v>2375</v>
      </c>
      <c r="J10" s="63" t="s">
        <v>2376</v>
      </c>
      <c r="K10" s="62" t="s">
        <v>117</v>
      </c>
      <c r="L10" s="130"/>
      <c r="M10" s="62" t="s">
        <v>118</v>
      </c>
      <c r="N10" s="62" t="s">
        <v>2377</v>
      </c>
      <c r="O10" s="65" t="s">
        <v>119</v>
      </c>
      <c r="P10" s="66"/>
    </row>
    <row r="11" s="67" customFormat="true" ht="13.5" hidden="false" customHeight="true" outlineLevel="0" collapsed="false">
      <c r="A11" s="60" t="n">
        <v>3</v>
      </c>
      <c r="B11" s="127" t="s">
        <v>2550</v>
      </c>
      <c r="C11" s="128"/>
      <c r="D11" s="129"/>
      <c r="E11" s="129"/>
      <c r="F11" s="129"/>
      <c r="G11" s="129"/>
      <c r="H11" s="62" t="s">
        <v>2551</v>
      </c>
      <c r="I11" s="175"/>
      <c r="J11" s="62" t="s">
        <v>2552</v>
      </c>
      <c r="K11" s="62" t="s">
        <v>117</v>
      </c>
      <c r="L11" s="130" t="s">
        <v>119</v>
      </c>
      <c r="M11" s="140" t="s">
        <v>2552</v>
      </c>
      <c r="N11" s="62" t="s">
        <v>1929</v>
      </c>
      <c r="O11" s="65" t="s">
        <v>119</v>
      </c>
      <c r="P11" s="66"/>
    </row>
    <row r="12" s="67" customFormat="true" ht="13.5" hidden="false" customHeight="true" outlineLevel="0" collapsed="false">
      <c r="A12" s="60" t="n">
        <v>4</v>
      </c>
      <c r="B12" s="127"/>
      <c r="C12" s="127" t="s">
        <v>2553</v>
      </c>
      <c r="D12" s="129"/>
      <c r="E12" s="129"/>
      <c r="F12" s="129"/>
      <c r="G12" s="129"/>
      <c r="H12" s="62" t="s">
        <v>2554</v>
      </c>
      <c r="I12" s="62" t="s">
        <v>1214</v>
      </c>
      <c r="J12" s="63" t="s">
        <v>134</v>
      </c>
      <c r="K12" s="62" t="s">
        <v>117</v>
      </c>
      <c r="L12" s="130"/>
      <c r="M12" s="62" t="s">
        <v>134</v>
      </c>
      <c r="N12" s="62" t="s">
        <v>1929</v>
      </c>
      <c r="O12" s="65" t="s">
        <v>119</v>
      </c>
      <c r="P12" s="66"/>
    </row>
    <row r="13" s="67" customFormat="true" ht="13.5" hidden="false" customHeight="true" outlineLevel="0" collapsed="false">
      <c r="A13" s="60" t="n">
        <v>5</v>
      </c>
      <c r="B13" s="127"/>
      <c r="C13" s="129" t="s">
        <v>2555</v>
      </c>
      <c r="D13" s="129"/>
      <c r="E13" s="129"/>
      <c r="F13" s="129"/>
      <c r="G13" s="129"/>
      <c r="H13" s="62" t="s">
        <v>2556</v>
      </c>
      <c r="I13" s="62" t="s">
        <v>2557</v>
      </c>
      <c r="J13" s="63" t="s">
        <v>2558</v>
      </c>
      <c r="K13" s="62" t="s">
        <v>117</v>
      </c>
      <c r="L13" s="62"/>
      <c r="M13" s="62" t="s">
        <v>118</v>
      </c>
      <c r="N13" s="62" t="s">
        <v>2559</v>
      </c>
      <c r="O13" s="65" t="s">
        <v>119</v>
      </c>
      <c r="P13" s="66"/>
    </row>
    <row r="14" s="67" customFormat="true" ht="13.5" hidden="false" customHeight="true" outlineLevel="0" collapsed="false">
      <c r="A14" s="60" t="n">
        <v>6</v>
      </c>
      <c r="B14" s="127"/>
      <c r="C14" s="129" t="s">
        <v>2524</v>
      </c>
      <c r="D14" s="129"/>
      <c r="E14" s="129"/>
      <c r="F14" s="129"/>
      <c r="G14" s="129"/>
      <c r="H14" s="62" t="s">
        <v>2560</v>
      </c>
      <c r="I14" s="63" t="n">
        <v>10</v>
      </c>
      <c r="J14" s="63" t="s">
        <v>2526</v>
      </c>
      <c r="K14" s="62" t="s">
        <v>163</v>
      </c>
      <c r="L14" s="62"/>
      <c r="M14" s="62" t="s">
        <v>118</v>
      </c>
      <c r="N14" s="62" t="s">
        <v>2527</v>
      </c>
      <c r="O14" s="65" t="s">
        <v>119</v>
      </c>
      <c r="P14" s="66"/>
    </row>
    <row r="15" s="67" customFormat="true" ht="13.5" hidden="false" customHeight="true" outlineLevel="0" collapsed="false">
      <c r="A15" s="60" t="n">
        <v>7</v>
      </c>
      <c r="B15" s="127"/>
      <c r="C15" s="127" t="s">
        <v>2561</v>
      </c>
      <c r="D15" s="129"/>
      <c r="E15" s="129"/>
      <c r="F15" s="129"/>
      <c r="G15" s="129"/>
      <c r="H15" s="62" t="s">
        <v>2562</v>
      </c>
      <c r="I15" s="63" t="s">
        <v>2563</v>
      </c>
      <c r="J15" s="63" t="s">
        <v>1313</v>
      </c>
      <c r="K15" s="62" t="s">
        <v>163</v>
      </c>
      <c r="L15" s="130"/>
      <c r="M15" s="62" t="s">
        <v>118</v>
      </c>
      <c r="N15" s="62"/>
      <c r="O15" s="130" t="s">
        <v>119</v>
      </c>
      <c r="P15" s="66"/>
    </row>
  </sheetData>
  <conditionalFormatting sqref="A16:F17 A20:F838">
    <cfRule type="expression" priority="2" aboveAverage="0" equalAverage="0" bottom="0" percent="0" rank="0" text="" dxfId="4062">
      <formula>OR(#ref!="X",#ref!="X")</formula>
    </cfRule>
    <cfRule type="expression" priority="3" aboveAverage="0" equalAverage="0" bottom="0" percent="0" rank="0" text="" dxfId="4063">
      <formula>AND(#ref!=1,#ref!=1)</formula>
    </cfRule>
    <cfRule type="expression" priority="4" aboveAverage="0" equalAverage="0" bottom="0" percent="0" rank="0" text="" dxfId="4064">
      <formula>#ref!=1</formula>
    </cfRule>
    <cfRule type="expression" priority="5" aboveAverage="0" equalAverage="0" bottom="0" percent="0" rank="0" text="" dxfId="4065">
      <formula>#ref!=1</formula>
    </cfRule>
  </conditionalFormatting>
  <conditionalFormatting sqref="C9:C11">
    <cfRule type="expression" priority="6" aboveAverage="0" equalAverage="0" bottom="0" percent="0" rank="0" text="" dxfId="4066">
      <formula>AND($L9="X",$B9&lt;&gt;"")</formula>
    </cfRule>
  </conditionalFormatting>
  <conditionalFormatting sqref="D9:D11">
    <cfRule type="expression" priority="7" aboveAverage="0" equalAverage="0" bottom="0" percent="0" rank="0" text="" dxfId="4067">
      <formula>AND($L9="X",OR($B9&lt;&gt;"",$C9&lt;&gt;""))</formula>
    </cfRule>
  </conditionalFormatting>
  <conditionalFormatting sqref="D12">
    <cfRule type="expression" priority="8" aboveAverage="0" equalAverage="0" bottom="0" percent="0" rank="0" text="" dxfId="4068">
      <formula>AND($L12="X",OR($B12&lt;&gt;"",#ref!&lt;&gt;""))</formula>
    </cfRule>
  </conditionalFormatting>
  <conditionalFormatting sqref="D13 C13:C14">
    <cfRule type="expression" priority="9" aboveAverage="0" equalAverage="0" bottom="0" percent="0" rank="0" text="" dxfId="4069">
      <formula>AND($P13="X",OR($C11&lt;&gt;"",#ref!&lt;&gt;""))</formula>
    </cfRule>
  </conditionalFormatting>
  <conditionalFormatting sqref="D14">
    <cfRule type="expression" priority="10" aboveAverage="0" equalAverage="0" bottom="0" percent="0" rank="0" text="" dxfId="4070">
      <formula>AND($P14="X",OR(#ref!&lt;&gt;"",#ref!&lt;&gt;""))</formula>
    </cfRule>
  </conditionalFormatting>
  <conditionalFormatting sqref="D15">
    <cfRule type="expression" priority="11" aboveAverage="0" equalAverage="0" bottom="0" percent="0" rank="0" text="" dxfId="4071">
      <formula>AND($P15="X",OR($C11&lt;&gt;"",#ref!&lt;&gt;""))</formula>
    </cfRule>
  </conditionalFormatting>
  <conditionalFormatting sqref="E3 E6">
    <cfRule type="dataBar" priority="12">
      <dataBar showValue="1" minLength="10" maxLength="90">
        <cfvo type="num" val="0"/>
        <cfvo type="num" val="1"/>
        <color rgb="FF63C384"/>
      </dataBar>
      <extLst>
        <ext xmlns:x14="http://schemas.microsoft.com/office/spreadsheetml/2009/9/main" uri="{B025F937-C7B1-47D3-B67F-A62EFF666E3E}">
          <x14:id>{C44885BC-FD81-4D71-95DE-1BC6DEC7D738}</x14:id>
        </ext>
      </extLst>
    </cfRule>
  </conditionalFormatting>
  <conditionalFormatting sqref="E9:E11">
    <cfRule type="expression" priority="13" aboveAverage="0" equalAverage="0" bottom="0" percent="0" rank="0" text="" dxfId="4072">
      <formula>AND($L9="X",OR($B9&lt;&gt;"",$C9&lt;&gt;"",$D9&lt;&gt;""))</formula>
    </cfRule>
  </conditionalFormatting>
  <conditionalFormatting sqref="E12">
    <cfRule type="expression" priority="14" aboveAverage="0" equalAverage="0" bottom="0" percent="0" rank="0" text="" dxfId="4073">
      <formula>AND($L12="X",OR($B12&lt;&gt;"",#ref!&lt;&gt;"",$D12&lt;&gt;""))</formula>
    </cfRule>
  </conditionalFormatting>
  <conditionalFormatting sqref="E13">
    <cfRule type="expression" priority="15" aboveAverage="0" equalAverage="0" bottom="0" percent="0" rank="0" text="" dxfId="4074">
      <formula>AND($P13="X",OR($C11&lt;&gt;"",#ref!&lt;&gt;"",$D13&lt;&gt;""))</formula>
    </cfRule>
  </conditionalFormatting>
  <conditionalFormatting sqref="E14">
    <cfRule type="expression" priority="16" aboveAverage="0" equalAverage="0" bottom="0" percent="0" rank="0" text="" dxfId="4075">
      <formula>AND($P14="X",OR(#ref!&lt;&gt;"",#ref!&lt;&gt;"",$D14&lt;&gt;""))</formula>
    </cfRule>
  </conditionalFormatting>
  <conditionalFormatting sqref="E15">
    <cfRule type="expression" priority="17" aboveAverage="0" equalAverage="0" bottom="0" percent="0" rank="0" text="" dxfId="4076">
      <formula>AND($P15="X",OR($C11&lt;&gt;"",#ref!&lt;&gt;"",$D15&lt;&gt;""))</formula>
    </cfRule>
  </conditionalFormatting>
  <conditionalFormatting sqref="F1">
    <cfRule type="dataBar" priority="18">
      <dataBar showValue="1" minLength="10" maxLength="90">
        <cfvo type="num" val="0"/>
        <cfvo type="num" val="1"/>
        <color rgb="FF63C384"/>
      </dataBar>
      <extLst>
        <ext xmlns:x14="http://schemas.microsoft.com/office/spreadsheetml/2009/9/main" uri="{B025F937-C7B1-47D3-B67F-A62EFF666E3E}">
          <x14:id>{EC597917-601D-4DB3-93DE-2C39EE489D13}</x14:id>
        </ext>
      </extLst>
    </cfRule>
  </conditionalFormatting>
  <conditionalFormatting sqref="F9:F11">
    <cfRule type="expression" priority="19" aboveAverage="0" equalAverage="0" bottom="0" percent="0" rank="0" text="" dxfId="4077">
      <formula>AND($L9="X",OR($B9&lt;&gt;"",$C9&lt;&gt;"",$D9&lt;&gt;"",$E9&lt;&gt;""))</formula>
    </cfRule>
  </conditionalFormatting>
  <conditionalFormatting sqref="F12">
    <cfRule type="expression" priority="20" aboveAverage="0" equalAverage="0" bottom="0" percent="0" rank="0" text="" dxfId="4078">
      <formula>AND($L12="X",OR($B12&lt;&gt;"",#ref!&lt;&gt;"",$D12&lt;&gt;"",$E12&lt;&gt;""))</formula>
    </cfRule>
  </conditionalFormatting>
  <conditionalFormatting sqref="F13">
    <cfRule type="expression" priority="21" aboveAverage="0" equalAverage="0" bottom="0" percent="0" rank="0" text="" dxfId="4079">
      <formula>AND($P13="X",OR($C11&lt;&gt;"",#ref!&lt;&gt;"",$D13&lt;&gt;"",$E13&lt;&gt;""))</formula>
    </cfRule>
  </conditionalFormatting>
  <conditionalFormatting sqref="F14">
    <cfRule type="expression" priority="22" aboveAverage="0" equalAverage="0" bottom="0" percent="0" rank="0" text="" dxfId="4080">
      <formula>AND($P14="X",OR(#ref!&lt;&gt;"",#ref!&lt;&gt;"",$D14&lt;&gt;"",$E14&lt;&gt;""))</formula>
    </cfRule>
  </conditionalFormatting>
  <conditionalFormatting sqref="F15">
    <cfRule type="expression" priority="23" aboveAverage="0" equalAverage="0" bottom="0" percent="0" rank="0" text="" dxfId="4081">
      <formula>AND($P15="X",OR($C11&lt;&gt;"",#ref!&lt;&gt;"",$D15&lt;&gt;"",$E15&lt;&gt;""))</formula>
    </cfRule>
  </conditionalFormatting>
  <conditionalFormatting sqref="G9:G11">
    <cfRule type="expression" priority="24" aboveAverage="0" equalAverage="0" bottom="0" percent="0" rank="0" text="" dxfId="4082">
      <formula>AND($L9="X",OR($B9&lt;&gt;"",$C9&lt;&gt;"",$D9&lt;&gt;"",$E9&lt;&gt;"",$F9&lt;&gt;""))</formula>
    </cfRule>
  </conditionalFormatting>
  <conditionalFormatting sqref="G12">
    <cfRule type="expression" priority="25" aboveAverage="0" equalAverage="0" bottom="0" percent="0" rank="0" text="" dxfId="4083">
      <formula>AND($L12="X",OR($B12&lt;&gt;"",#ref!&lt;&gt;"",$D12&lt;&gt;"",$E12&lt;&gt;"",$F12&lt;&gt;""))</formula>
    </cfRule>
  </conditionalFormatting>
  <conditionalFormatting sqref="G13">
    <cfRule type="expression" priority="26" aboveAverage="0" equalAverage="0" bottom="0" percent="0" rank="0" text="" dxfId="4084">
      <formula>AND($P13="X",OR($C11&lt;&gt;"",#ref!&lt;&gt;"",$D13&lt;&gt;"",$E13&lt;&gt;"",$F13&lt;&gt;""))</formula>
    </cfRule>
  </conditionalFormatting>
  <conditionalFormatting sqref="G14">
    <cfRule type="expression" priority="27" aboveAverage="0" equalAverage="0" bottom="0" percent="0" rank="0" text="" dxfId="4085">
      <formula>AND($P14="X",OR(#ref!&lt;&gt;"",#ref!&lt;&gt;"",$D14&lt;&gt;"",$E14&lt;&gt;"",$F14&lt;&gt;""))</formula>
    </cfRule>
  </conditionalFormatting>
  <conditionalFormatting sqref="G15">
    <cfRule type="expression" priority="28" aboveAverage="0" equalAverage="0" bottom="0" percent="0" rank="0" text="" dxfId="4086">
      <formula>AND($P15="X",OR($C11&lt;&gt;"",#ref!&lt;&gt;"",$D15&lt;&gt;"",$E15&lt;&gt;"",$F15&lt;&gt;""))</formula>
    </cfRule>
  </conditionalFormatting>
  <conditionalFormatting sqref="H16:H17 H20:H838">
    <cfRule type="expression" priority="29" aboveAverage="0" equalAverage="0" bottom="0" percent="0" rank="0" text="" dxfId="4087">
      <formula>$J16="X"</formula>
    </cfRule>
  </conditionalFormatting>
  <conditionalFormatting sqref="I10">
    <cfRule type="expression" priority="30" aboveAverage="0" equalAverage="0" bottom="0" percent="0" rank="0" text="" dxfId="4088">
      <formula>#ref!="X"</formula>
    </cfRule>
  </conditionalFormatting>
  <conditionalFormatting sqref="I11">
    <cfRule type="expression" priority="31" aboveAverage="0" equalAverage="0" bottom="0" percent="0" rank="0" text="" dxfId="4089">
      <formula>$L11="X"</formula>
    </cfRule>
  </conditionalFormatting>
  <conditionalFormatting sqref="K9:K15">
    <cfRule type="cellIs" priority="32" operator="equal" aboveAverage="0" equalAverage="0" bottom="0" percent="0" rank="0" text="" dxfId="4090">
      <formula>"1..1"</formula>
    </cfRule>
    <cfRule type="cellIs" priority="33" operator="equal" aboveAverage="0" equalAverage="0" bottom="0" percent="0" rank="0" text="" dxfId="4091">
      <formula>"0..n"</formula>
    </cfRule>
    <cfRule type="cellIs" priority="34" operator="equal" aboveAverage="0" equalAverage="0" bottom="0" percent="0" rank="0" text="" dxfId="409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C44885BC-FD81-4D71-95DE-1BC6DEC7D738}">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EC597917-601D-4DB3-93DE-2C39EE489D1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E1" colorId="64" zoomScale="85" zoomScaleNormal="85" zoomScalePageLayoutView="100" workbookViewId="0">
      <selection pane="topLeft" activeCell="N22" activeCellId="0" sqref="N22"/>
    </sheetView>
  </sheetViews>
  <sheetFormatPr defaultColWidth="9.515625" defaultRowHeight="14.25" zeroHeight="false" outlineLevelRow="0" outlineLevelCol="0"/>
  <cols>
    <col collapsed="false" customWidth="true" hidden="false" outlineLevel="0" max="1" min="1" style="30" width="19"/>
    <col collapsed="false" customWidth="true" hidden="false" outlineLevel="0" max="2" min="2" style="30" width="25.12"/>
    <col collapsed="false" customWidth="true" hidden="false" outlineLevel="0" max="3" min="3" style="30" width="42.13"/>
    <col collapsed="false" customWidth="true" hidden="false" outlineLevel="0" max="4" min="4" style="30" width="35.38"/>
    <col collapsed="false" customWidth="true" hidden="false" outlineLevel="0" max="5" min="5" style="30" width="30.62"/>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49"/>
    <col collapsed="false" customWidth="true" hidden="false" outlineLevel="0" max="16" min="15" style="31" width="8.88"/>
    <col collapsed="false" customWidth="true" hidden="false" outlineLevel="0" max="17" min="17" style="0" width="4.38"/>
    <col collapsed="false" customWidth="true" hidden="false" outlineLevel="0" max="19" min="18" style="30" width="8.88"/>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0" t="s">
        <v>2564</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2565</v>
      </c>
      <c r="B3" s="75" t="s">
        <v>2361</v>
      </c>
      <c r="C3" s="80" t="s">
        <v>2566</v>
      </c>
      <c r="D3" s="75" t="s">
        <v>2566</v>
      </c>
      <c r="E3" s="75"/>
      <c r="F3" s="75"/>
      <c r="G3" s="75" t="s">
        <v>90</v>
      </c>
      <c r="H3" s="75" t="s">
        <v>91</v>
      </c>
      <c r="I3" s="75" t="s">
        <v>90</v>
      </c>
      <c r="J3" s="81" t="s">
        <v>2567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c r="P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123" t="s">
        <v>2568</v>
      </c>
      <c r="Q8" s="249" t="s">
        <v>111</v>
      </c>
    </row>
    <row r="9" s="67" customFormat="true" ht="13.5" hidden="false" customHeight="true" outlineLevel="0" collapsed="false">
      <c r="A9" s="60" t="n">
        <f aca="false">ROW()-8</f>
        <v>1</v>
      </c>
      <c r="B9" s="251" t="s">
        <v>2569</v>
      </c>
      <c r="C9" s="252"/>
      <c r="D9" s="252"/>
      <c r="E9" s="252"/>
      <c r="F9" s="252"/>
      <c r="G9" s="253"/>
      <c r="H9" s="254"/>
      <c r="I9" s="255"/>
      <c r="J9" s="158" t="s">
        <v>1910</v>
      </c>
      <c r="K9" s="256" t="s">
        <v>117</v>
      </c>
      <c r="L9" s="257" t="s">
        <v>119</v>
      </c>
      <c r="M9" s="258" t="s">
        <v>1224</v>
      </c>
      <c r="N9" s="256"/>
      <c r="O9" s="259" t="s">
        <v>119</v>
      </c>
      <c r="P9" s="256" t="s">
        <v>163</v>
      </c>
      <c r="Q9" s="260"/>
    </row>
    <row r="10" s="67" customFormat="true" ht="13.5" hidden="false" customHeight="true" outlineLevel="0" collapsed="false">
      <c r="A10" s="60" t="n">
        <f aca="false">ROW()-8</f>
        <v>2</v>
      </c>
      <c r="B10" s="251"/>
      <c r="C10" s="261" t="s">
        <v>2570</v>
      </c>
      <c r="D10" s="261"/>
      <c r="E10" s="261"/>
      <c r="F10" s="261"/>
      <c r="G10" s="261"/>
      <c r="H10" s="256" t="s">
        <v>2571</v>
      </c>
      <c r="I10" s="158" t="s">
        <v>1583</v>
      </c>
      <c r="J10" s="158" t="s">
        <v>2384</v>
      </c>
      <c r="K10" s="256" t="s">
        <v>117</v>
      </c>
      <c r="L10" s="257"/>
      <c r="M10" s="256" t="s">
        <v>118</v>
      </c>
      <c r="N10" s="62" t="s">
        <v>1207</v>
      </c>
      <c r="O10" s="259" t="s">
        <v>119</v>
      </c>
      <c r="P10" s="256" t="s">
        <v>163</v>
      </c>
      <c r="Q10" s="260"/>
    </row>
    <row r="11" s="67" customFormat="true" ht="13.5" hidden="false" customHeight="true" outlineLevel="0" collapsed="false">
      <c r="A11" s="60" t="n">
        <f aca="false">ROW()-8</f>
        <v>3</v>
      </c>
      <c r="B11" s="251"/>
      <c r="C11" s="261" t="s">
        <v>2572</v>
      </c>
      <c r="D11" s="261"/>
      <c r="E11" s="261"/>
      <c r="F11" s="261"/>
      <c r="G11" s="261"/>
      <c r="H11" s="256" t="s">
        <v>2573</v>
      </c>
      <c r="I11" s="158" t="s">
        <v>2574</v>
      </c>
      <c r="J11" s="158" t="s">
        <v>1211</v>
      </c>
      <c r="K11" s="256" t="s">
        <v>117</v>
      </c>
      <c r="L11" s="257"/>
      <c r="M11" s="256" t="s">
        <v>118</v>
      </c>
      <c r="N11" s="256"/>
      <c r="O11" s="259" t="s">
        <v>119</v>
      </c>
      <c r="P11" s="256" t="s">
        <v>163</v>
      </c>
      <c r="Q11" s="260"/>
    </row>
    <row r="12" s="67" customFormat="true" ht="13.5" hidden="false" customHeight="true" outlineLevel="0" collapsed="false">
      <c r="A12" s="60" t="n">
        <f aca="false">ROW()-8</f>
        <v>4</v>
      </c>
      <c r="B12" s="251"/>
      <c r="C12" s="261" t="s">
        <v>2575</v>
      </c>
      <c r="D12" s="261"/>
      <c r="E12" s="261"/>
      <c r="F12" s="261"/>
      <c r="G12" s="261"/>
      <c r="H12" s="256" t="s">
        <v>2576</v>
      </c>
      <c r="I12" s="158" t="s">
        <v>1214</v>
      </c>
      <c r="J12" s="158" t="s">
        <v>2577</v>
      </c>
      <c r="K12" s="256" t="s">
        <v>117</v>
      </c>
      <c r="L12" s="257"/>
      <c r="M12" s="256" t="s">
        <v>134</v>
      </c>
      <c r="N12" s="256"/>
      <c r="O12" s="259" t="s">
        <v>119</v>
      </c>
      <c r="P12" s="256" t="s">
        <v>163</v>
      </c>
      <c r="Q12" s="260"/>
    </row>
    <row r="13" s="67" customFormat="true" ht="13.5" hidden="false" customHeight="true" outlineLevel="0" collapsed="false">
      <c r="A13" s="60" t="n">
        <f aca="false">ROW()-8</f>
        <v>5</v>
      </c>
      <c r="B13" s="251"/>
      <c r="C13" s="261" t="s">
        <v>2578</v>
      </c>
      <c r="D13" s="261"/>
      <c r="E13" s="261"/>
      <c r="F13" s="261"/>
      <c r="G13" s="261"/>
      <c r="H13" s="256" t="s">
        <v>2576</v>
      </c>
      <c r="I13" s="158" t="s">
        <v>1214</v>
      </c>
      <c r="J13" s="158" t="s">
        <v>2579</v>
      </c>
      <c r="K13" s="256" t="s">
        <v>117</v>
      </c>
      <c r="L13" s="257"/>
      <c r="M13" s="256" t="s">
        <v>134</v>
      </c>
      <c r="N13" s="256"/>
      <c r="O13" s="259" t="s">
        <v>119</v>
      </c>
      <c r="P13" s="256" t="s">
        <v>163</v>
      </c>
      <c r="Q13" s="260"/>
    </row>
    <row r="14" s="67" customFormat="true" ht="13.5" hidden="false" customHeight="true" outlineLevel="0" collapsed="false">
      <c r="A14" s="60" t="n">
        <f aca="false">ROW()-8</f>
        <v>6</v>
      </c>
      <c r="B14" s="262"/>
      <c r="C14" s="261" t="s">
        <v>2580</v>
      </c>
      <c r="D14" s="261"/>
      <c r="E14" s="261"/>
      <c r="F14" s="261"/>
      <c r="G14" s="261"/>
      <c r="H14" s="261" t="s">
        <v>2581</v>
      </c>
      <c r="I14" s="158"/>
      <c r="J14" s="158" t="s">
        <v>2582</v>
      </c>
      <c r="K14" s="256" t="s">
        <v>117</v>
      </c>
      <c r="L14" s="257"/>
      <c r="M14" s="256" t="s">
        <v>118</v>
      </c>
      <c r="N14" s="256"/>
      <c r="O14" s="259" t="s">
        <v>119</v>
      </c>
      <c r="P14" s="256" t="s">
        <v>163</v>
      </c>
      <c r="Q14" s="260"/>
    </row>
    <row r="15" s="67" customFormat="true" ht="13.5" hidden="false" customHeight="true" outlineLevel="0" collapsed="false">
      <c r="A15" s="60" t="n">
        <f aca="false">ROW()-8</f>
        <v>7</v>
      </c>
      <c r="B15" s="262"/>
      <c r="C15" s="261" t="s">
        <v>2583</v>
      </c>
      <c r="D15" s="261"/>
      <c r="E15" s="261"/>
      <c r="F15" s="261"/>
      <c r="G15" s="261"/>
      <c r="H15" s="261" t="s">
        <v>2584</v>
      </c>
      <c r="I15" s="158"/>
      <c r="J15" s="158" t="s">
        <v>2585</v>
      </c>
      <c r="K15" s="256" t="s">
        <v>117</v>
      </c>
      <c r="L15" s="257"/>
      <c r="M15" s="256" t="s">
        <v>118</v>
      </c>
      <c r="N15" s="256"/>
      <c r="O15" s="259" t="s">
        <v>119</v>
      </c>
      <c r="P15" s="256" t="s">
        <v>163</v>
      </c>
      <c r="Q15" s="260"/>
    </row>
    <row r="16" s="67" customFormat="true" ht="13.5" hidden="false" customHeight="true" outlineLevel="0" collapsed="false">
      <c r="A16" s="60" t="n">
        <f aca="false">ROW()-8</f>
        <v>8</v>
      </c>
      <c r="B16" s="262"/>
      <c r="C16" s="261" t="s">
        <v>2586</v>
      </c>
      <c r="D16" s="261"/>
      <c r="E16" s="261"/>
      <c r="F16" s="261"/>
      <c r="G16" s="261"/>
      <c r="H16" s="256" t="s">
        <v>2587</v>
      </c>
      <c r="I16" s="158"/>
      <c r="J16" s="158" t="s">
        <v>2588</v>
      </c>
      <c r="K16" s="256" t="s">
        <v>117</v>
      </c>
      <c r="L16" s="257"/>
      <c r="M16" s="256" t="s">
        <v>118</v>
      </c>
      <c r="N16" s="256"/>
      <c r="O16" s="259" t="s">
        <v>119</v>
      </c>
      <c r="P16" s="256" t="s">
        <v>163</v>
      </c>
      <c r="Q16" s="260"/>
    </row>
    <row r="17" s="67" customFormat="true" ht="13.5" hidden="false" customHeight="true" outlineLevel="0" collapsed="false">
      <c r="A17" s="60" t="n">
        <f aca="false">ROW()-8</f>
        <v>9</v>
      </c>
      <c r="B17" s="251" t="s">
        <v>2589</v>
      </c>
      <c r="C17" s="263"/>
      <c r="D17" s="263"/>
      <c r="E17" s="263"/>
      <c r="F17" s="263"/>
      <c r="G17" s="263"/>
      <c r="H17" s="254"/>
      <c r="I17" s="264"/>
      <c r="J17" s="158" t="s">
        <v>2590</v>
      </c>
      <c r="K17" s="256" t="s">
        <v>117</v>
      </c>
      <c r="L17" s="257" t="s">
        <v>119</v>
      </c>
      <c r="M17" s="258" t="s">
        <v>2590</v>
      </c>
      <c r="N17" s="256"/>
      <c r="O17" s="259" t="s">
        <v>119</v>
      </c>
      <c r="P17" s="256" t="s">
        <v>163</v>
      </c>
      <c r="Q17" s="260"/>
    </row>
    <row r="18" s="67" customFormat="true" ht="13.5" hidden="false" customHeight="true" outlineLevel="0" collapsed="false">
      <c r="A18" s="60" t="n">
        <f aca="false">ROW()-8</f>
        <v>10</v>
      </c>
      <c r="B18" s="251"/>
      <c r="C18" s="261" t="s">
        <v>2591</v>
      </c>
      <c r="D18" s="263"/>
      <c r="E18" s="263"/>
      <c r="F18" s="263"/>
      <c r="G18" s="263"/>
      <c r="H18" s="254"/>
      <c r="I18" s="264"/>
      <c r="J18" s="256" t="s">
        <v>1260</v>
      </c>
      <c r="K18" s="256" t="s">
        <v>117</v>
      </c>
      <c r="L18" s="257" t="s">
        <v>119</v>
      </c>
      <c r="M18" s="265" t="s">
        <v>1248</v>
      </c>
      <c r="N18" s="256"/>
      <c r="O18" s="259" t="s">
        <v>119</v>
      </c>
      <c r="P18" s="256" t="s">
        <v>163</v>
      </c>
      <c r="Q18" s="260"/>
    </row>
    <row r="19" s="67" customFormat="true" ht="13.5" hidden="false" customHeight="true" outlineLevel="0" collapsed="false">
      <c r="A19" s="60" t="n">
        <f aca="false">ROW()-8</f>
        <v>11</v>
      </c>
      <c r="B19" s="266"/>
      <c r="C19" s="261"/>
      <c r="D19" s="261" t="s">
        <v>1249</v>
      </c>
      <c r="E19" s="261"/>
      <c r="F19" s="261"/>
      <c r="G19" s="261"/>
      <c r="H19" s="256" t="s">
        <v>2592</v>
      </c>
      <c r="I19" s="158" t="s">
        <v>2593</v>
      </c>
      <c r="J19" s="256" t="s">
        <v>1252</v>
      </c>
      <c r="K19" s="256" t="s">
        <v>117</v>
      </c>
      <c r="L19" s="257"/>
      <c r="M19" s="256" t="s">
        <v>118</v>
      </c>
      <c r="N19" s="256" t="s">
        <v>2594</v>
      </c>
      <c r="O19" s="259" t="s">
        <v>119</v>
      </c>
      <c r="P19" s="256" t="s">
        <v>163</v>
      </c>
      <c r="Q19" s="260"/>
    </row>
    <row r="20" s="67" customFormat="true" ht="13.5" hidden="false" customHeight="true" outlineLevel="0" collapsed="false">
      <c r="A20" s="60" t="n">
        <f aca="false">ROW()-8</f>
        <v>12</v>
      </c>
      <c r="B20" s="266"/>
      <c r="C20" s="261"/>
      <c r="D20" s="261" t="s">
        <v>2595</v>
      </c>
      <c r="E20" s="261"/>
      <c r="F20" s="261"/>
      <c r="G20" s="261"/>
      <c r="H20" s="256" t="s">
        <v>1255</v>
      </c>
      <c r="I20" s="158" t="s">
        <v>2596</v>
      </c>
      <c r="J20" s="256" t="s">
        <v>1257</v>
      </c>
      <c r="K20" s="256" t="s">
        <v>117</v>
      </c>
      <c r="L20" s="257"/>
      <c r="M20" s="256" t="s">
        <v>118</v>
      </c>
      <c r="N20" s="256"/>
      <c r="O20" s="259" t="s">
        <v>119</v>
      </c>
      <c r="P20" s="256" t="s">
        <v>163</v>
      </c>
      <c r="Q20" s="260"/>
    </row>
    <row r="21" s="67" customFormat="true" ht="13.5" hidden="false" customHeight="true" outlineLevel="0" collapsed="false">
      <c r="A21" s="60" t="n">
        <f aca="false">ROW()-8</f>
        <v>13</v>
      </c>
      <c r="B21" s="251"/>
      <c r="C21" s="261" t="s">
        <v>2597</v>
      </c>
      <c r="D21" s="261" t="s">
        <v>2598</v>
      </c>
      <c r="E21" s="263"/>
      <c r="F21" s="263"/>
      <c r="G21" s="263"/>
      <c r="H21" s="254"/>
      <c r="I21" s="264"/>
      <c r="J21" s="256" t="s">
        <v>1268</v>
      </c>
      <c r="K21" s="256" t="s">
        <v>117</v>
      </c>
      <c r="L21" s="257" t="s">
        <v>119</v>
      </c>
      <c r="M21" s="265" t="s">
        <v>1248</v>
      </c>
      <c r="N21" s="256" t="s">
        <v>1720</v>
      </c>
      <c r="O21" s="259" t="s">
        <v>119</v>
      </c>
      <c r="P21" s="256" t="s">
        <v>163</v>
      </c>
      <c r="Q21" s="260"/>
    </row>
    <row r="22" s="67" customFormat="true" ht="13.5" hidden="false" customHeight="true" outlineLevel="0" collapsed="false">
      <c r="A22" s="60" t="n">
        <f aca="false">ROW()-8</f>
        <v>14</v>
      </c>
      <c r="B22" s="262"/>
      <c r="C22" s="261" t="s">
        <v>2599</v>
      </c>
      <c r="D22" s="261"/>
      <c r="E22" s="261"/>
      <c r="F22" s="261"/>
      <c r="G22" s="261"/>
      <c r="H22" s="267" t="s">
        <v>2600</v>
      </c>
      <c r="I22" s="158" t="s">
        <v>2601</v>
      </c>
      <c r="J22" s="158" t="s">
        <v>2418</v>
      </c>
      <c r="K22" s="256" t="s">
        <v>117</v>
      </c>
      <c r="L22" s="257"/>
      <c r="M22" s="256" t="s">
        <v>118</v>
      </c>
      <c r="N22" s="256" t="s">
        <v>2419</v>
      </c>
      <c r="O22" s="259" t="s">
        <v>119</v>
      </c>
      <c r="P22" s="256" t="s">
        <v>163</v>
      </c>
      <c r="Q22" s="260"/>
    </row>
    <row r="23" s="67" customFormat="true" ht="13.5" hidden="false" customHeight="true" outlineLevel="0" collapsed="false">
      <c r="A23" s="60" t="n">
        <f aca="false">ROW()-8</f>
        <v>15</v>
      </c>
      <c r="B23" s="266" t="s">
        <v>1628</v>
      </c>
      <c r="C23" s="261"/>
      <c r="D23" s="261"/>
      <c r="E23" s="261"/>
      <c r="F23" s="261"/>
      <c r="G23" s="263"/>
      <c r="H23" s="254"/>
      <c r="I23" s="264"/>
      <c r="J23" s="158" t="s">
        <v>1630</v>
      </c>
      <c r="K23" s="256" t="s">
        <v>117</v>
      </c>
      <c r="L23" s="257" t="s">
        <v>119</v>
      </c>
      <c r="M23" s="258" t="s">
        <v>1630</v>
      </c>
      <c r="N23" s="256"/>
      <c r="O23" s="259" t="s">
        <v>119</v>
      </c>
      <c r="P23" s="256" t="s">
        <v>163</v>
      </c>
      <c r="Q23" s="260"/>
    </row>
    <row r="24" s="67" customFormat="true" ht="13.5" hidden="false" customHeight="true" outlineLevel="0" collapsed="false">
      <c r="A24" s="60" t="n">
        <f aca="false">ROW()-8</f>
        <v>16</v>
      </c>
      <c r="B24" s="266"/>
      <c r="C24" s="261" t="s">
        <v>2602</v>
      </c>
      <c r="D24" s="261"/>
      <c r="E24" s="261"/>
      <c r="F24" s="261"/>
      <c r="G24" s="261"/>
      <c r="H24" s="256" t="s">
        <v>2603</v>
      </c>
      <c r="I24" s="158" t="s">
        <v>2604</v>
      </c>
      <c r="J24" s="158" t="s">
        <v>1634</v>
      </c>
      <c r="K24" s="256" t="s">
        <v>117</v>
      </c>
      <c r="L24" s="257"/>
      <c r="M24" s="256" t="s">
        <v>118</v>
      </c>
      <c r="N24" s="256"/>
      <c r="O24" s="259" t="s">
        <v>119</v>
      </c>
      <c r="P24" s="256" t="s">
        <v>163</v>
      </c>
      <c r="Q24" s="260"/>
    </row>
    <row r="25" s="67" customFormat="true" ht="13.5" hidden="false" customHeight="true" outlineLevel="0" collapsed="false">
      <c r="A25" s="60" t="n">
        <f aca="false">ROW()-8</f>
        <v>17</v>
      </c>
      <c r="B25" s="266"/>
      <c r="C25" s="261" t="s">
        <v>1703</v>
      </c>
      <c r="D25" s="261"/>
      <c r="E25" s="261"/>
      <c r="F25" s="261"/>
      <c r="G25" s="261"/>
      <c r="H25" s="256" t="s">
        <v>2605</v>
      </c>
      <c r="I25" s="158" t="s">
        <v>2606</v>
      </c>
      <c r="J25" s="256" t="s">
        <v>1705</v>
      </c>
      <c r="K25" s="256" t="s">
        <v>117</v>
      </c>
      <c r="L25" s="257"/>
      <c r="M25" s="256" t="s">
        <v>118</v>
      </c>
      <c r="N25" s="256"/>
      <c r="O25" s="259" t="s">
        <v>119</v>
      </c>
      <c r="P25" s="256" t="s">
        <v>163</v>
      </c>
      <c r="Q25" s="260"/>
    </row>
    <row r="26" s="67" customFormat="true" ht="13.5" hidden="false" customHeight="true" outlineLevel="0" collapsed="false">
      <c r="A26" s="60" t="n">
        <f aca="false">ROW()-8</f>
        <v>18</v>
      </c>
      <c r="B26" s="266"/>
      <c r="C26" s="261" t="s">
        <v>2607</v>
      </c>
      <c r="D26" s="261"/>
      <c r="E26" s="261"/>
      <c r="F26" s="261"/>
      <c r="G26" s="261"/>
      <c r="H26" s="256" t="s">
        <v>2608</v>
      </c>
      <c r="I26" s="158" t="s">
        <v>1709</v>
      </c>
      <c r="J26" s="256" t="s">
        <v>1710</v>
      </c>
      <c r="K26" s="256" t="s">
        <v>117</v>
      </c>
      <c r="L26" s="257"/>
      <c r="M26" s="256" t="s">
        <v>118</v>
      </c>
      <c r="N26" s="63" t="s">
        <v>1711</v>
      </c>
      <c r="O26" s="259" t="s">
        <v>119</v>
      </c>
      <c r="P26" s="256" t="s">
        <v>163</v>
      </c>
      <c r="Q26" s="260"/>
    </row>
    <row r="27" s="67" customFormat="true" ht="13.5" hidden="false" customHeight="true" outlineLevel="0" collapsed="false">
      <c r="A27" s="60" t="n">
        <f aca="false">ROW()-8</f>
        <v>19</v>
      </c>
      <c r="B27" s="266"/>
      <c r="C27" s="261" t="s">
        <v>2609</v>
      </c>
      <c r="D27" s="261"/>
      <c r="E27" s="261"/>
      <c r="F27" s="261"/>
      <c r="G27" s="263"/>
      <c r="H27" s="254"/>
      <c r="I27" s="264"/>
      <c r="J27" s="158" t="s">
        <v>2610</v>
      </c>
      <c r="K27" s="256" t="s">
        <v>163</v>
      </c>
      <c r="L27" s="257" t="s">
        <v>119</v>
      </c>
      <c r="M27" s="268" t="s">
        <v>2610</v>
      </c>
      <c r="N27" s="256"/>
      <c r="O27" s="259" t="s">
        <v>119</v>
      </c>
      <c r="P27" s="256" t="s">
        <v>163</v>
      </c>
      <c r="Q27" s="260"/>
    </row>
    <row r="28" s="67" customFormat="true" ht="13.5" hidden="false" customHeight="true" outlineLevel="0" collapsed="false">
      <c r="A28" s="60" t="n">
        <f aca="false">ROW()-8</f>
        <v>20</v>
      </c>
      <c r="B28" s="266"/>
      <c r="C28" s="261"/>
      <c r="D28" s="261" t="s">
        <v>2611</v>
      </c>
      <c r="E28" s="261"/>
      <c r="F28" s="261"/>
      <c r="G28" s="261"/>
      <c r="H28" s="256" t="s">
        <v>2612</v>
      </c>
      <c r="I28" s="158" t="n">
        <v>92300</v>
      </c>
      <c r="J28" s="158" t="s">
        <v>1385</v>
      </c>
      <c r="K28" s="256" t="s">
        <v>117</v>
      </c>
      <c r="L28" s="257"/>
      <c r="M28" s="256" t="s">
        <v>118</v>
      </c>
      <c r="N28" s="256" t="s">
        <v>1386</v>
      </c>
      <c r="O28" s="259" t="s">
        <v>119</v>
      </c>
      <c r="P28" s="256" t="s">
        <v>163</v>
      </c>
      <c r="Q28" s="260"/>
    </row>
    <row r="29" s="67" customFormat="true" ht="13.5" hidden="false" customHeight="true" outlineLevel="0" collapsed="false">
      <c r="A29" s="60" t="n">
        <f aca="false">ROW()-8</f>
        <v>21</v>
      </c>
      <c r="B29" s="266"/>
      <c r="C29" s="261"/>
      <c r="D29" s="261" t="s">
        <v>1380</v>
      </c>
      <c r="E29" s="261"/>
      <c r="F29" s="261"/>
      <c r="G29" s="261"/>
      <c r="H29" s="256" t="s">
        <v>2463</v>
      </c>
      <c r="I29" s="158" t="s">
        <v>2613</v>
      </c>
      <c r="J29" s="158" t="s">
        <v>1379</v>
      </c>
      <c r="K29" s="256" t="s">
        <v>117</v>
      </c>
      <c r="L29" s="257"/>
      <c r="M29" s="256" t="s">
        <v>118</v>
      </c>
      <c r="N29" s="256"/>
      <c r="O29" s="259" t="s">
        <v>119</v>
      </c>
      <c r="P29" s="256" t="s">
        <v>163</v>
      </c>
      <c r="Q29" s="260"/>
    </row>
    <row r="30" s="67" customFormat="true" ht="12.75" hidden="false" customHeight="true" outlineLevel="0" collapsed="false">
      <c r="A30" s="60" t="n">
        <f aca="false">ROW()-8</f>
        <v>22</v>
      </c>
      <c r="B30" s="251" t="s">
        <v>2614</v>
      </c>
      <c r="C30" s="261"/>
      <c r="D30" s="261"/>
      <c r="E30" s="261"/>
      <c r="F30" s="261"/>
      <c r="G30" s="263"/>
      <c r="H30" s="254"/>
      <c r="I30" s="264"/>
      <c r="J30" s="158" t="s">
        <v>2615</v>
      </c>
      <c r="K30" s="256" t="s">
        <v>117</v>
      </c>
      <c r="L30" s="257" t="s">
        <v>119</v>
      </c>
      <c r="M30" s="258" t="s">
        <v>2615</v>
      </c>
      <c r="N30" s="256"/>
      <c r="O30" s="259" t="s">
        <v>119</v>
      </c>
      <c r="P30" s="256" t="s">
        <v>163</v>
      </c>
      <c r="Q30" s="260"/>
    </row>
    <row r="31" s="67" customFormat="true" ht="13.5" hidden="false" customHeight="true" outlineLevel="0" collapsed="false">
      <c r="A31" s="60" t="n">
        <f aca="false">ROW()-8</f>
        <v>23</v>
      </c>
      <c r="B31" s="251"/>
      <c r="C31" s="261" t="s">
        <v>2616</v>
      </c>
      <c r="D31" s="261"/>
      <c r="E31" s="261"/>
      <c r="F31" s="261"/>
      <c r="G31" s="269"/>
      <c r="H31" s="254"/>
      <c r="I31" s="264"/>
      <c r="J31" s="158" t="s">
        <v>1316</v>
      </c>
      <c r="K31" s="256" t="s">
        <v>117</v>
      </c>
      <c r="L31" s="257" t="s">
        <v>119</v>
      </c>
      <c r="M31" s="258" t="s">
        <v>1316</v>
      </c>
      <c r="N31" s="256"/>
      <c r="O31" s="259" t="s">
        <v>119</v>
      </c>
      <c r="P31" s="256" t="s">
        <v>163</v>
      </c>
      <c r="Q31" s="260"/>
    </row>
    <row r="32" s="67" customFormat="true" ht="13.5" hidden="false" customHeight="true" outlineLevel="0" collapsed="false">
      <c r="A32" s="60" t="n">
        <f aca="false">ROW()-8</f>
        <v>24</v>
      </c>
      <c r="B32" s="251"/>
      <c r="C32" s="261"/>
      <c r="D32" s="261" t="s">
        <v>2617</v>
      </c>
      <c r="E32" s="261"/>
      <c r="F32" s="261"/>
      <c r="G32" s="261"/>
      <c r="H32" s="256" t="s">
        <v>2618</v>
      </c>
      <c r="I32" s="158" t="s">
        <v>2619</v>
      </c>
      <c r="J32" s="158" t="s">
        <v>1281</v>
      </c>
      <c r="K32" s="256" t="s">
        <v>163</v>
      </c>
      <c r="L32" s="257"/>
      <c r="M32" s="256" t="s">
        <v>118</v>
      </c>
      <c r="N32" s="256" t="s">
        <v>2620</v>
      </c>
      <c r="O32" s="259" t="s">
        <v>119</v>
      </c>
      <c r="P32" s="256" t="s">
        <v>163</v>
      </c>
      <c r="Q32" s="260"/>
    </row>
    <row r="33" s="67" customFormat="true" ht="13.5" hidden="false" customHeight="true" outlineLevel="0" collapsed="false">
      <c r="A33" s="60" t="n">
        <f aca="false">ROW()-8</f>
        <v>25</v>
      </c>
      <c r="B33" s="251"/>
      <c r="C33" s="261"/>
      <c r="D33" s="261" t="s">
        <v>2621</v>
      </c>
      <c r="E33" s="261"/>
      <c r="F33" s="261"/>
      <c r="G33" s="261"/>
      <c r="H33" s="256" t="s">
        <v>2622</v>
      </c>
      <c r="I33" s="158"/>
      <c r="J33" s="158" t="s">
        <v>2623</v>
      </c>
      <c r="K33" s="256" t="s">
        <v>163</v>
      </c>
      <c r="L33" s="257"/>
      <c r="M33" s="256" t="s">
        <v>118</v>
      </c>
      <c r="N33" s="256"/>
      <c r="O33" s="259" t="s">
        <v>119</v>
      </c>
      <c r="P33" s="256" t="s">
        <v>163</v>
      </c>
      <c r="Q33" s="260"/>
    </row>
    <row r="34" s="67" customFormat="true" ht="13.5" hidden="false" customHeight="true" outlineLevel="0" collapsed="false">
      <c r="A34" s="60" t="n">
        <f aca="false">ROW()-8</f>
        <v>26</v>
      </c>
      <c r="B34" s="251"/>
      <c r="C34" s="261"/>
      <c r="D34" s="261" t="s">
        <v>2624</v>
      </c>
      <c r="E34" s="261"/>
      <c r="F34" s="261"/>
      <c r="G34" s="261"/>
      <c r="H34" s="256" t="s">
        <v>2625</v>
      </c>
      <c r="I34" s="158"/>
      <c r="J34" s="158" t="s">
        <v>2626</v>
      </c>
      <c r="K34" s="256" t="s">
        <v>163</v>
      </c>
      <c r="L34" s="257"/>
      <c r="M34" s="256" t="s">
        <v>118</v>
      </c>
      <c r="N34" s="256"/>
      <c r="O34" s="259" t="s">
        <v>119</v>
      </c>
      <c r="P34" s="256" t="s">
        <v>163</v>
      </c>
      <c r="Q34" s="260"/>
    </row>
    <row r="35" s="67" customFormat="true" ht="13.5" hidden="false" customHeight="true" outlineLevel="0" collapsed="false">
      <c r="A35" s="60" t="n">
        <f aca="false">ROW()-8</f>
        <v>27</v>
      </c>
      <c r="B35" s="266"/>
      <c r="C35" s="261"/>
      <c r="D35" s="261" t="s">
        <v>2627</v>
      </c>
      <c r="E35" s="261"/>
      <c r="F35" s="261"/>
      <c r="G35" s="263"/>
      <c r="H35" s="254"/>
      <c r="I35" s="264"/>
      <c r="J35" s="158" t="s">
        <v>1341</v>
      </c>
      <c r="K35" s="256" t="s">
        <v>117</v>
      </c>
      <c r="L35" s="257" t="s">
        <v>119</v>
      </c>
      <c r="M35" s="258" t="s">
        <v>1341</v>
      </c>
      <c r="N35" s="256"/>
      <c r="O35" s="259" t="s">
        <v>119</v>
      </c>
      <c r="P35" s="256" t="s">
        <v>163</v>
      </c>
      <c r="Q35" s="260"/>
    </row>
    <row r="36" s="67" customFormat="true" ht="13.5" hidden="false" customHeight="true" outlineLevel="0" collapsed="false">
      <c r="A36" s="60" t="n">
        <f aca="false">ROW()-8</f>
        <v>28</v>
      </c>
      <c r="B36" s="251"/>
      <c r="C36" s="261"/>
      <c r="D36" s="261"/>
      <c r="E36" s="261" t="s">
        <v>1383</v>
      </c>
      <c r="F36" s="261"/>
      <c r="G36" s="261"/>
      <c r="H36" s="256" t="s">
        <v>2628</v>
      </c>
      <c r="I36" s="158" t="n">
        <v>92300</v>
      </c>
      <c r="J36" s="158" t="s">
        <v>1385</v>
      </c>
      <c r="K36" s="256" t="s">
        <v>117</v>
      </c>
      <c r="L36" s="257"/>
      <c r="M36" s="256" t="s">
        <v>118</v>
      </c>
      <c r="N36" s="62" t="s">
        <v>1386</v>
      </c>
      <c r="O36" s="259" t="s">
        <v>119</v>
      </c>
      <c r="P36" s="256" t="s">
        <v>163</v>
      </c>
      <c r="Q36" s="260"/>
    </row>
    <row r="37" s="67" customFormat="true" ht="13.5" hidden="false" customHeight="true" outlineLevel="0" collapsed="false">
      <c r="A37" s="60" t="n">
        <f aca="false">ROW()-8</f>
        <v>29</v>
      </c>
      <c r="B37" s="251"/>
      <c r="C37" s="261"/>
      <c r="D37" s="261"/>
      <c r="E37" s="261" t="s">
        <v>1380</v>
      </c>
      <c r="F37" s="261"/>
      <c r="G37" s="261"/>
      <c r="H37" s="256" t="s">
        <v>2463</v>
      </c>
      <c r="I37" s="158" t="s">
        <v>2613</v>
      </c>
      <c r="J37" s="158" t="s">
        <v>1379</v>
      </c>
      <c r="K37" s="256" t="s">
        <v>117</v>
      </c>
      <c r="L37" s="257"/>
      <c r="M37" s="256" t="s">
        <v>118</v>
      </c>
      <c r="N37" s="256"/>
      <c r="O37" s="259" t="s">
        <v>119</v>
      </c>
      <c r="P37" s="256" t="s">
        <v>163</v>
      </c>
      <c r="Q37" s="260"/>
    </row>
    <row r="38" s="67" customFormat="true" ht="13.5" hidden="false" customHeight="true" outlineLevel="0" collapsed="false">
      <c r="A38" s="60" t="n">
        <f aca="false">ROW()-8</f>
        <v>30</v>
      </c>
      <c r="B38" s="266"/>
      <c r="C38" s="261" t="s">
        <v>2629</v>
      </c>
      <c r="D38" s="269"/>
      <c r="E38" s="269"/>
      <c r="F38" s="269"/>
      <c r="G38" s="269"/>
      <c r="H38" s="270"/>
      <c r="I38" s="271"/>
      <c r="J38" s="158" t="s">
        <v>2415</v>
      </c>
      <c r="K38" s="256" t="s">
        <v>117</v>
      </c>
      <c r="L38" s="257" t="s">
        <v>119</v>
      </c>
      <c r="M38" s="258" t="s">
        <v>2415</v>
      </c>
      <c r="N38" s="256"/>
      <c r="O38" s="259" t="s">
        <v>119</v>
      </c>
      <c r="P38" s="256" t="s">
        <v>163</v>
      </c>
      <c r="Q38" s="260"/>
    </row>
    <row r="39" s="67" customFormat="true" ht="13.5" hidden="false" customHeight="true" outlineLevel="0" collapsed="false">
      <c r="A39" s="60" t="n">
        <f aca="false">ROW()-8</f>
        <v>31</v>
      </c>
      <c r="B39" s="262"/>
      <c r="C39" s="261"/>
      <c r="D39" s="261" t="s">
        <v>2630</v>
      </c>
      <c r="E39" s="261"/>
      <c r="F39" s="261"/>
      <c r="G39" s="261"/>
      <c r="H39" s="256" t="s">
        <v>2631</v>
      </c>
      <c r="I39" s="158" t="s">
        <v>32</v>
      </c>
      <c r="J39" s="158" t="s">
        <v>2632</v>
      </c>
      <c r="K39" s="256" t="s">
        <v>117</v>
      </c>
      <c r="L39" s="257"/>
      <c r="M39" s="256" t="s">
        <v>184</v>
      </c>
      <c r="N39" s="256"/>
      <c r="O39" s="259" t="s">
        <v>119</v>
      </c>
      <c r="P39" s="256" t="s">
        <v>163</v>
      </c>
      <c r="Q39" s="260"/>
    </row>
    <row r="40" s="67" customFormat="true" ht="13.5" hidden="false" customHeight="true" outlineLevel="0" collapsed="false">
      <c r="A40" s="60" t="n">
        <f aca="false">ROW()-8</f>
        <v>32</v>
      </c>
      <c r="B40" s="262"/>
      <c r="C40" s="261"/>
      <c r="D40" s="261" t="s">
        <v>2633</v>
      </c>
      <c r="E40" s="261"/>
      <c r="F40" s="261"/>
      <c r="G40" s="261"/>
      <c r="H40" s="256" t="s">
        <v>2634</v>
      </c>
      <c r="I40" s="158" t="s">
        <v>28</v>
      </c>
      <c r="J40" s="158" t="s">
        <v>2635</v>
      </c>
      <c r="K40" s="256" t="s">
        <v>117</v>
      </c>
      <c r="L40" s="257"/>
      <c r="M40" s="256" t="s">
        <v>184</v>
      </c>
      <c r="N40" s="256"/>
      <c r="O40" s="259" t="s">
        <v>119</v>
      </c>
      <c r="P40" s="256" t="s">
        <v>163</v>
      </c>
      <c r="Q40" s="260"/>
    </row>
    <row r="41" s="67" customFormat="true" ht="13.5" hidden="false" customHeight="true" outlineLevel="0" collapsed="false">
      <c r="A41" s="60" t="n">
        <f aca="false">ROW()-8</f>
        <v>33</v>
      </c>
      <c r="B41" s="262"/>
      <c r="C41" s="261"/>
      <c r="D41" s="261" t="s">
        <v>2636</v>
      </c>
      <c r="E41" s="261"/>
      <c r="F41" s="261"/>
      <c r="G41" s="261"/>
      <c r="H41" s="256" t="s">
        <v>2637</v>
      </c>
      <c r="I41" s="158" t="s">
        <v>32</v>
      </c>
      <c r="J41" s="158" t="s">
        <v>2638</v>
      </c>
      <c r="K41" s="256" t="s">
        <v>117</v>
      </c>
      <c r="L41" s="257"/>
      <c r="M41" s="256" t="s">
        <v>184</v>
      </c>
      <c r="N41" s="256"/>
      <c r="O41" s="259" t="s">
        <v>119</v>
      </c>
      <c r="P41" s="256" t="s">
        <v>163</v>
      </c>
      <c r="Q41" s="260"/>
    </row>
    <row r="42" s="67" customFormat="true" ht="13.5" hidden="false" customHeight="true" outlineLevel="0" collapsed="false">
      <c r="A42" s="60" t="n">
        <f aca="false">ROW()-8</f>
        <v>34</v>
      </c>
      <c r="B42" s="266"/>
      <c r="C42" s="261" t="s">
        <v>2639</v>
      </c>
      <c r="D42" s="263"/>
      <c r="E42" s="263"/>
      <c r="F42" s="263"/>
      <c r="G42" s="263"/>
      <c r="H42" s="254"/>
      <c r="I42" s="264"/>
      <c r="J42" s="158" t="s">
        <v>2640</v>
      </c>
      <c r="K42" s="256" t="s">
        <v>163</v>
      </c>
      <c r="L42" s="257" t="s">
        <v>119</v>
      </c>
      <c r="M42" s="258" t="s">
        <v>2641</v>
      </c>
      <c r="N42" s="256"/>
      <c r="O42" s="259" t="s">
        <v>119</v>
      </c>
      <c r="P42" s="256" t="s">
        <v>163</v>
      </c>
      <c r="Q42" s="260"/>
    </row>
    <row r="43" s="67" customFormat="true" ht="13.5" hidden="false" customHeight="true" outlineLevel="0" collapsed="false">
      <c r="A43" s="60" t="n">
        <f aca="false">ROW()-8</f>
        <v>35</v>
      </c>
      <c r="B43" s="266"/>
      <c r="C43" s="261"/>
      <c r="D43" s="261" t="s">
        <v>2642</v>
      </c>
      <c r="E43" s="261"/>
      <c r="F43" s="261"/>
      <c r="G43" s="261"/>
      <c r="H43" s="256" t="s">
        <v>2643</v>
      </c>
      <c r="I43" s="158" t="s">
        <v>1214</v>
      </c>
      <c r="J43" s="158" t="s">
        <v>2644</v>
      </c>
      <c r="K43" s="256" t="s">
        <v>117</v>
      </c>
      <c r="L43" s="257"/>
      <c r="M43" s="256" t="s">
        <v>134</v>
      </c>
      <c r="N43" s="256"/>
      <c r="O43" s="259" t="s">
        <v>119</v>
      </c>
      <c r="P43" s="256" t="s">
        <v>163</v>
      </c>
      <c r="Q43" s="260"/>
    </row>
    <row r="44" s="67" customFormat="true" ht="13.5" hidden="false" customHeight="true" outlineLevel="0" collapsed="false">
      <c r="A44" s="60" t="n">
        <f aca="false">ROW()-8</f>
        <v>36</v>
      </c>
      <c r="B44" s="266"/>
      <c r="C44" s="261"/>
      <c r="D44" s="261" t="s">
        <v>2645</v>
      </c>
      <c r="E44" s="261"/>
      <c r="F44" s="261"/>
      <c r="G44" s="261"/>
      <c r="H44" s="256" t="s">
        <v>2646</v>
      </c>
      <c r="I44" s="158" t="s">
        <v>1214</v>
      </c>
      <c r="J44" s="158" t="s">
        <v>2647</v>
      </c>
      <c r="K44" s="256" t="s">
        <v>163</v>
      </c>
      <c r="L44" s="257"/>
      <c r="M44" s="256" t="s">
        <v>134</v>
      </c>
      <c r="N44" s="256"/>
      <c r="O44" s="259" t="s">
        <v>119</v>
      </c>
      <c r="P44" s="256" t="s">
        <v>163</v>
      </c>
      <c r="Q44" s="260"/>
    </row>
    <row r="45" s="67" customFormat="true" ht="13.5" hidden="false" customHeight="true" outlineLevel="0" collapsed="false">
      <c r="A45" s="60" t="n">
        <f aca="false">ROW()-8</f>
        <v>37</v>
      </c>
      <c r="B45" s="266"/>
      <c r="C45" s="261"/>
      <c r="D45" s="261" t="s">
        <v>2648</v>
      </c>
      <c r="E45" s="261"/>
      <c r="F45" s="261"/>
      <c r="G45" s="261"/>
      <c r="H45" s="256" t="s">
        <v>2649</v>
      </c>
      <c r="I45" s="158" t="s">
        <v>1214</v>
      </c>
      <c r="J45" s="158" t="s">
        <v>2650</v>
      </c>
      <c r="K45" s="256" t="s">
        <v>163</v>
      </c>
      <c r="L45" s="257"/>
      <c r="M45" s="256" t="s">
        <v>134</v>
      </c>
      <c r="N45" s="256"/>
      <c r="O45" s="259" t="s">
        <v>119</v>
      </c>
      <c r="P45" s="256" t="s">
        <v>163</v>
      </c>
      <c r="Q45" s="260"/>
    </row>
    <row r="46" s="67" customFormat="true" ht="13.5" hidden="false" customHeight="true" outlineLevel="0" collapsed="false">
      <c r="A46" s="60" t="n">
        <f aca="false">ROW()-8</f>
        <v>38</v>
      </c>
      <c r="B46" s="266"/>
      <c r="C46" s="261"/>
      <c r="D46" s="261" t="s">
        <v>2651</v>
      </c>
      <c r="E46" s="261"/>
      <c r="F46" s="261"/>
      <c r="G46" s="261"/>
      <c r="H46" s="256" t="s">
        <v>2652</v>
      </c>
      <c r="I46" s="158" t="s">
        <v>1214</v>
      </c>
      <c r="J46" s="158" t="s">
        <v>2653</v>
      </c>
      <c r="K46" s="256" t="s">
        <v>163</v>
      </c>
      <c r="L46" s="257"/>
      <c r="M46" s="256" t="s">
        <v>134</v>
      </c>
      <c r="N46" s="256"/>
      <c r="O46" s="259" t="s">
        <v>119</v>
      </c>
      <c r="P46" s="256" t="s">
        <v>163</v>
      </c>
      <c r="Q46" s="260"/>
    </row>
    <row r="47" s="67" customFormat="true" ht="13.5" hidden="false" customHeight="true" outlineLevel="0" collapsed="false">
      <c r="A47" s="60" t="n">
        <f aca="false">ROW()-8</f>
        <v>39</v>
      </c>
      <c r="B47" s="266"/>
      <c r="C47" s="261"/>
      <c r="D47" s="261" t="s">
        <v>2654</v>
      </c>
      <c r="E47" s="261"/>
      <c r="F47" s="261"/>
      <c r="G47" s="261"/>
      <c r="H47" s="256" t="s">
        <v>2655</v>
      </c>
      <c r="I47" s="158" t="s">
        <v>1214</v>
      </c>
      <c r="J47" s="158" t="s">
        <v>2656</v>
      </c>
      <c r="K47" s="256" t="s">
        <v>117</v>
      </c>
      <c r="L47" s="257"/>
      <c r="M47" s="256" t="s">
        <v>134</v>
      </c>
      <c r="N47" s="256"/>
      <c r="O47" s="259" t="s">
        <v>119</v>
      </c>
      <c r="P47" s="256" t="s">
        <v>163</v>
      </c>
      <c r="Q47" s="260"/>
    </row>
    <row r="48" s="67" customFormat="true" ht="13.5" hidden="false" customHeight="true" outlineLevel="0" collapsed="false">
      <c r="A48" s="60" t="n">
        <f aca="false">ROW()-8</f>
        <v>40</v>
      </c>
      <c r="B48" s="266"/>
      <c r="C48" s="261"/>
      <c r="D48" s="261" t="s">
        <v>2657</v>
      </c>
      <c r="E48" s="261"/>
      <c r="F48" s="261"/>
      <c r="G48" s="261"/>
      <c r="H48" s="256" t="s">
        <v>2658</v>
      </c>
      <c r="I48" s="158" t="s">
        <v>1214</v>
      </c>
      <c r="J48" s="158" t="s">
        <v>2659</v>
      </c>
      <c r="K48" s="256" t="s">
        <v>117</v>
      </c>
      <c r="L48" s="257"/>
      <c r="M48" s="256" t="s">
        <v>134</v>
      </c>
      <c r="N48" s="256"/>
      <c r="O48" s="259" t="s">
        <v>119</v>
      </c>
      <c r="P48" s="256" t="s">
        <v>163</v>
      </c>
      <c r="Q48" s="260"/>
    </row>
    <row r="49" s="67" customFormat="true" ht="13.5" hidden="false" customHeight="true" outlineLevel="0" collapsed="false">
      <c r="A49" s="60" t="n">
        <f aca="false">ROW()-8</f>
        <v>41</v>
      </c>
      <c r="B49" s="266"/>
      <c r="C49" s="261" t="s">
        <v>2660</v>
      </c>
      <c r="D49" s="261"/>
      <c r="E49" s="261"/>
      <c r="F49" s="261"/>
      <c r="G49" s="261"/>
      <c r="H49" s="256" t="s">
        <v>2661</v>
      </c>
      <c r="I49" s="158"/>
      <c r="J49" s="158" t="s">
        <v>2662</v>
      </c>
      <c r="K49" s="256" t="s">
        <v>1247</v>
      </c>
      <c r="L49" s="272"/>
      <c r="M49" s="256" t="s">
        <v>118</v>
      </c>
      <c r="N49" s="256"/>
      <c r="O49" s="259" t="s">
        <v>119</v>
      </c>
      <c r="P49" s="259" t="s">
        <v>119</v>
      </c>
      <c r="Q49" s="260"/>
    </row>
    <row r="50" s="67" customFormat="true" ht="13.5" hidden="false" customHeight="true" outlineLevel="0" collapsed="false">
      <c r="A50" s="60" t="n">
        <f aca="false">ROW()-8</f>
        <v>42</v>
      </c>
      <c r="B50" s="266"/>
      <c r="C50" s="261" t="s">
        <v>2663</v>
      </c>
      <c r="D50" s="261"/>
      <c r="E50" s="261"/>
      <c r="F50" s="261"/>
      <c r="G50" s="261"/>
      <c r="H50" s="256" t="s">
        <v>2664</v>
      </c>
      <c r="I50" s="158" t="s">
        <v>2665</v>
      </c>
      <c r="J50" s="158" t="s">
        <v>1752</v>
      </c>
      <c r="K50" s="256" t="s">
        <v>117</v>
      </c>
      <c r="L50" s="257"/>
      <c r="M50" s="256" t="s">
        <v>118</v>
      </c>
      <c r="N50" s="256"/>
      <c r="O50" s="259" t="s">
        <v>119</v>
      </c>
      <c r="P50" s="256" t="s">
        <v>163</v>
      </c>
      <c r="Q50" s="260"/>
    </row>
    <row r="51" s="67" customFormat="true" ht="13.5" hidden="false" customHeight="true" outlineLevel="0" collapsed="false">
      <c r="A51" s="60" t="n">
        <f aca="false">ROW()-8</f>
        <v>43</v>
      </c>
      <c r="B51" s="266"/>
      <c r="C51" s="261" t="s">
        <v>2666</v>
      </c>
      <c r="D51" s="261"/>
      <c r="E51" s="261"/>
      <c r="F51" s="261"/>
      <c r="G51" s="261"/>
      <c r="H51" s="256" t="s">
        <v>2667</v>
      </c>
      <c r="I51" s="158" t="s">
        <v>2668</v>
      </c>
      <c r="J51" s="158" t="s">
        <v>2669</v>
      </c>
      <c r="K51" s="256" t="s">
        <v>163</v>
      </c>
      <c r="L51" s="257"/>
      <c r="M51" s="256" t="s">
        <v>118</v>
      </c>
      <c r="N51" s="256"/>
      <c r="O51" s="259" t="s">
        <v>119</v>
      </c>
      <c r="P51" s="256" t="s">
        <v>163</v>
      </c>
      <c r="Q51" s="260"/>
    </row>
    <row r="52" s="67" customFormat="true" ht="13.5" hidden="false" customHeight="true" outlineLevel="0" collapsed="false">
      <c r="A52" s="60" t="n">
        <f aca="false">ROW()-8</f>
        <v>44</v>
      </c>
      <c r="B52" s="266" t="s">
        <v>2670</v>
      </c>
      <c r="C52" s="263"/>
      <c r="D52" s="263"/>
      <c r="E52" s="263"/>
      <c r="F52" s="263"/>
      <c r="G52" s="263"/>
      <c r="H52" s="254"/>
      <c r="I52" s="264"/>
      <c r="J52" s="158" t="s">
        <v>2671</v>
      </c>
      <c r="K52" s="256" t="s">
        <v>117</v>
      </c>
      <c r="L52" s="257" t="s">
        <v>119</v>
      </c>
      <c r="M52" s="258" t="s">
        <v>2671</v>
      </c>
      <c r="N52" s="256"/>
      <c r="O52" s="259" t="s">
        <v>119</v>
      </c>
      <c r="P52" s="256" t="s">
        <v>163</v>
      </c>
      <c r="Q52" s="260"/>
    </row>
    <row r="53" s="67" customFormat="true" ht="13.5" hidden="false" customHeight="true" outlineLevel="0" collapsed="false">
      <c r="A53" s="60" t="n">
        <f aca="false">ROW()-8</f>
        <v>45</v>
      </c>
      <c r="B53" s="266"/>
      <c r="C53" s="261" t="s">
        <v>2672</v>
      </c>
      <c r="D53" s="261"/>
      <c r="E53" s="261"/>
      <c r="F53" s="261"/>
      <c r="G53" s="261"/>
      <c r="H53" s="256" t="s">
        <v>2673</v>
      </c>
      <c r="I53" s="158" t="s">
        <v>2674</v>
      </c>
      <c r="J53" s="158" t="s">
        <v>1281</v>
      </c>
      <c r="K53" s="256" t="s">
        <v>117</v>
      </c>
      <c r="L53" s="257"/>
      <c r="M53" s="256" t="s">
        <v>118</v>
      </c>
      <c r="N53" s="256"/>
      <c r="O53" s="259" t="s">
        <v>119</v>
      </c>
      <c r="P53" s="256" t="s">
        <v>163</v>
      </c>
      <c r="Q53" s="260"/>
    </row>
    <row r="54" s="67" customFormat="true" ht="13.5" hidden="false" customHeight="true" outlineLevel="0" collapsed="false">
      <c r="A54" s="60" t="n">
        <f aca="false">ROW()-8</f>
        <v>46</v>
      </c>
      <c r="B54" s="266"/>
      <c r="C54" s="262" t="s">
        <v>2492</v>
      </c>
      <c r="D54" s="263"/>
      <c r="E54" s="263"/>
      <c r="F54" s="263"/>
      <c r="G54" s="263"/>
      <c r="H54" s="254"/>
      <c r="I54" s="264"/>
      <c r="J54" s="158" t="s">
        <v>1820</v>
      </c>
      <c r="K54" s="256" t="s">
        <v>163</v>
      </c>
      <c r="L54" s="257" t="s">
        <v>119</v>
      </c>
      <c r="M54" s="258" t="s">
        <v>1820</v>
      </c>
      <c r="N54" s="256"/>
      <c r="O54" s="259" t="s">
        <v>119</v>
      </c>
      <c r="P54" s="256" t="s">
        <v>163</v>
      </c>
      <c r="Q54" s="260"/>
    </row>
    <row r="55" s="67" customFormat="true" ht="13.5" hidden="false" customHeight="true" outlineLevel="0" collapsed="false">
      <c r="A55" s="60" t="n">
        <f aca="false">ROW()-8</f>
        <v>47</v>
      </c>
      <c r="B55" s="266"/>
      <c r="C55" s="261"/>
      <c r="D55" s="261" t="s">
        <v>2675</v>
      </c>
      <c r="E55" s="261"/>
      <c r="F55" s="261"/>
      <c r="G55" s="261"/>
      <c r="H55" s="256" t="s">
        <v>2676</v>
      </c>
      <c r="I55" s="158" t="s">
        <v>1545</v>
      </c>
      <c r="J55" s="158" t="s">
        <v>2677</v>
      </c>
      <c r="K55" s="256" t="s">
        <v>117</v>
      </c>
      <c r="L55" s="257"/>
      <c r="M55" s="256" t="s">
        <v>118</v>
      </c>
      <c r="N55" s="62" t="s">
        <v>1491</v>
      </c>
      <c r="O55" s="259" t="s">
        <v>119</v>
      </c>
      <c r="P55" s="256" t="s">
        <v>163</v>
      </c>
      <c r="Q55" s="260"/>
    </row>
    <row r="56" s="67" customFormat="true" ht="13.5" hidden="false" customHeight="true" outlineLevel="0" collapsed="false">
      <c r="A56" s="60" t="n">
        <f aca="false">ROW()-8</f>
        <v>48</v>
      </c>
      <c r="B56" s="266"/>
      <c r="C56" s="261"/>
      <c r="D56" s="261" t="s">
        <v>2678</v>
      </c>
      <c r="E56" s="261"/>
      <c r="F56" s="261"/>
      <c r="G56" s="261"/>
      <c r="H56" s="256" t="s">
        <v>2676</v>
      </c>
      <c r="I56" s="158"/>
      <c r="J56" s="158" t="s">
        <v>2679</v>
      </c>
      <c r="K56" s="256" t="s">
        <v>117</v>
      </c>
      <c r="L56" s="257"/>
      <c r="M56" s="256" t="s">
        <v>118</v>
      </c>
      <c r="N56" s="256"/>
      <c r="O56" s="259" t="s">
        <v>119</v>
      </c>
      <c r="P56" s="256" t="s">
        <v>163</v>
      </c>
      <c r="Q56" s="260"/>
    </row>
    <row r="57" s="67" customFormat="true" ht="13.5" hidden="false" customHeight="true" outlineLevel="0" collapsed="false">
      <c r="A57" s="60" t="n">
        <f aca="false">ROW()-8</f>
        <v>49</v>
      </c>
      <c r="B57" s="266"/>
      <c r="C57" s="261"/>
      <c r="D57" s="261" t="s">
        <v>2680</v>
      </c>
      <c r="E57" s="261"/>
      <c r="F57" s="261"/>
      <c r="G57" s="261"/>
      <c r="H57" s="256" t="s">
        <v>2681</v>
      </c>
      <c r="I57" s="158"/>
      <c r="J57" s="158" t="s">
        <v>2682</v>
      </c>
      <c r="K57" s="256" t="s">
        <v>117</v>
      </c>
      <c r="L57" s="257"/>
      <c r="M57" s="256" t="s">
        <v>118</v>
      </c>
      <c r="N57" s="256"/>
      <c r="O57" s="259" t="s">
        <v>119</v>
      </c>
      <c r="P57" s="256" t="s">
        <v>163</v>
      </c>
      <c r="Q57" s="260"/>
    </row>
    <row r="58" s="67" customFormat="true" ht="13.5" hidden="false" customHeight="true" outlineLevel="0" collapsed="false">
      <c r="A58" s="60" t="n">
        <f aca="false">ROW()-8</f>
        <v>50</v>
      </c>
      <c r="B58" s="262"/>
      <c r="C58" s="261"/>
      <c r="D58" s="261" t="s">
        <v>2683</v>
      </c>
      <c r="E58" s="261"/>
      <c r="F58" s="261"/>
      <c r="G58" s="261"/>
      <c r="H58" s="261" t="s">
        <v>2684</v>
      </c>
      <c r="I58" s="158"/>
      <c r="J58" s="158" t="s">
        <v>2685</v>
      </c>
      <c r="K58" s="256" t="s">
        <v>117</v>
      </c>
      <c r="L58" s="257"/>
      <c r="M58" s="256" t="s">
        <v>118</v>
      </c>
      <c r="N58" s="256"/>
      <c r="O58" s="259" t="s">
        <v>119</v>
      </c>
      <c r="P58" s="256" t="s">
        <v>163</v>
      </c>
      <c r="Q58" s="260"/>
    </row>
    <row r="59" s="67" customFormat="true" ht="13.5" hidden="false" customHeight="true" outlineLevel="0" collapsed="false">
      <c r="A59" s="60" t="n">
        <f aca="false">ROW()-8</f>
        <v>51</v>
      </c>
      <c r="B59" s="262"/>
      <c r="C59" s="262" t="s">
        <v>2686</v>
      </c>
      <c r="D59" s="263"/>
      <c r="E59" s="263"/>
      <c r="F59" s="263"/>
      <c r="G59" s="263"/>
      <c r="H59" s="254"/>
      <c r="I59" s="264"/>
      <c r="J59" s="158" t="s">
        <v>1785</v>
      </c>
      <c r="K59" s="256" t="s">
        <v>163</v>
      </c>
      <c r="L59" s="257" t="s">
        <v>119</v>
      </c>
      <c r="M59" s="258" t="s">
        <v>1785</v>
      </c>
      <c r="N59" s="256"/>
      <c r="O59" s="259" t="s">
        <v>119</v>
      </c>
      <c r="P59" s="256" t="s">
        <v>163</v>
      </c>
      <c r="Q59" s="260"/>
    </row>
    <row r="60" s="67" customFormat="true" ht="13.5" hidden="false" customHeight="true" outlineLevel="0" collapsed="false">
      <c r="A60" s="60" t="n">
        <f aca="false">ROW()-8</f>
        <v>52</v>
      </c>
      <c r="B60" s="262"/>
      <c r="C60" s="262"/>
      <c r="D60" s="261" t="s">
        <v>2687</v>
      </c>
      <c r="E60" s="261"/>
      <c r="F60" s="261"/>
      <c r="G60" s="261"/>
      <c r="H60" s="256" t="s">
        <v>2688</v>
      </c>
      <c r="I60" s="158" t="s">
        <v>2393</v>
      </c>
      <c r="J60" s="158" t="s">
        <v>1802</v>
      </c>
      <c r="K60" s="256" t="s">
        <v>117</v>
      </c>
      <c r="L60" s="257"/>
      <c r="M60" s="256" t="s">
        <v>118</v>
      </c>
      <c r="N60" s="256" t="s">
        <v>1803</v>
      </c>
      <c r="O60" s="259" t="s">
        <v>119</v>
      </c>
      <c r="P60" s="256" t="s">
        <v>163</v>
      </c>
      <c r="Q60" s="260"/>
    </row>
    <row r="61" s="67" customFormat="true" ht="13.5" hidden="false" customHeight="true" outlineLevel="0" collapsed="false">
      <c r="A61" s="60" t="n">
        <f aca="false">ROW()-8</f>
        <v>53</v>
      </c>
      <c r="B61" s="262"/>
      <c r="C61" s="262"/>
      <c r="D61" s="261" t="s">
        <v>2689</v>
      </c>
      <c r="E61" s="261"/>
      <c r="F61" s="261"/>
      <c r="G61" s="261"/>
      <c r="H61" s="256" t="s">
        <v>2690</v>
      </c>
      <c r="I61" s="158" t="s">
        <v>1806</v>
      </c>
      <c r="J61" s="63" t="s">
        <v>1807</v>
      </c>
      <c r="K61" s="256" t="s">
        <v>117</v>
      </c>
      <c r="L61" s="257"/>
      <c r="M61" s="256" t="s">
        <v>118</v>
      </c>
      <c r="N61" s="256" t="s">
        <v>1808</v>
      </c>
      <c r="O61" s="259" t="s">
        <v>119</v>
      </c>
      <c r="P61" s="256" t="s">
        <v>163</v>
      </c>
      <c r="Q61" s="260"/>
    </row>
    <row r="62" s="67" customFormat="true" ht="13.5" hidden="false" customHeight="true" outlineLevel="0" collapsed="false">
      <c r="A62" s="60" t="n">
        <f aca="false">ROW()-8</f>
        <v>54</v>
      </c>
      <c r="B62" s="262"/>
      <c r="C62" s="262"/>
      <c r="D62" s="261" t="s">
        <v>2691</v>
      </c>
      <c r="E62" s="261"/>
      <c r="F62" s="261"/>
      <c r="G62" s="261"/>
      <c r="H62" s="267" t="s">
        <v>2692</v>
      </c>
      <c r="I62" s="158" t="s">
        <v>2601</v>
      </c>
      <c r="J62" s="158" t="s">
        <v>2418</v>
      </c>
      <c r="K62" s="256" t="s">
        <v>117</v>
      </c>
      <c r="L62" s="257"/>
      <c r="M62" s="256" t="s">
        <v>118</v>
      </c>
      <c r="N62" s="256" t="s">
        <v>2419</v>
      </c>
      <c r="O62" s="259" t="s">
        <v>119</v>
      </c>
      <c r="P62" s="256" t="s">
        <v>163</v>
      </c>
      <c r="Q62" s="260"/>
    </row>
    <row r="63" s="67" customFormat="true" ht="12" hidden="false" customHeight="true" outlineLevel="0" collapsed="false">
      <c r="A63" s="60"/>
      <c r="C63" s="60"/>
      <c r="D63" s="60"/>
      <c r="E63" s="60"/>
      <c r="F63" s="60"/>
      <c r="G63" s="60"/>
      <c r="H63" s="60"/>
      <c r="I63" s="60"/>
      <c r="J63" s="69"/>
      <c r="K63" s="60"/>
      <c r="L63" s="70"/>
      <c r="M63" s="60"/>
      <c r="N63" s="60"/>
      <c r="O63" s="60"/>
      <c r="P63" s="60"/>
    </row>
  </sheetData>
  <conditionalFormatting sqref="A64:F65 A85:F925">
    <cfRule type="expression" priority="2" aboveAverage="0" equalAverage="0" bottom="0" percent="0" rank="0" text="" dxfId="4094">
      <formula>OR(#ref!="X",#ref!="X")</formula>
    </cfRule>
    <cfRule type="expression" priority="3" aboveAverage="0" equalAverage="0" bottom="0" percent="0" rank="0" text="" dxfId="4095">
      <formula>AND(#ref!=1,#ref!=1)</formula>
    </cfRule>
    <cfRule type="expression" priority="4" aboveAverage="0" equalAverage="0" bottom="0" percent="0" rank="0" text="" dxfId="4096">
      <formula>#ref!=1</formula>
    </cfRule>
    <cfRule type="expression" priority="5" aboveAverage="0" equalAverage="0" bottom="0" percent="0" rank="0" text="" dxfId="4097">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{8A15A79C-5D9F-4F20-A4FF-5B8260D75F5D}</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{B7EF6230-8C2E-46DD-9096-B27257F6B0E8}</x14:id>
        </ext>
      </extLst>
    </cfRule>
  </conditionalFormatting>
  <conditionalFormatting sqref="H64:H65 H85:H925">
    <cfRule type="expression" priority="8" aboveAverage="0" equalAverage="0" bottom="0" percent="0" rank="0" text="" dxfId="4098">
      <formula>$K64="X"</formula>
    </cfRule>
  </conditionalFormatting>
  <conditionalFormatting sqref="P9:P48 K9:K62 P50:P62">
    <cfRule type="cellIs" priority="9" operator="equal" aboveAverage="0" equalAverage="0" bottom="0" percent="0" rank="0" text="" dxfId="4099">
      <formula>"1..1"</formula>
    </cfRule>
    <cfRule type="cellIs" priority="10" operator="equal" aboveAverage="0" equalAverage="0" bottom="0" percent="0" rank="0" text="" dxfId="4100">
      <formula>"0..n"</formula>
    </cfRule>
    <cfRule type="cellIs" priority="11" operator="equal" aboveAverage="0" equalAverage="0" bottom="0" percent="0" rank="0" text="" dxfId="410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A15A79C-5D9F-4F20-A4FF-5B8260D75F5D}">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B7EF6230-8C2E-46DD-9096-B27257F6B0E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60"/>
  <sheetViews>
    <sheetView showFormulas="false" showGridLines="true" showRowColHeaders="true" showZeros="true" rightToLeft="false" tabSelected="false" showOutlineSymbols="true" defaultGridColor="true" view="normal" topLeftCell="E1" colorId="64" zoomScale="90" zoomScaleNormal="90" zoomScalePageLayoutView="100" workbookViewId="0">
      <selection pane="topLeft" activeCell="N16" activeCellId="0" sqref="N16"/>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18.62"/>
    <col collapsed="false" customWidth="true" hidden="false" outlineLevel="0" max="3" min="3" style="30" width="30"/>
    <col collapsed="false" customWidth="true" hidden="false" outlineLevel="0" max="4" min="4" style="30" width="35.38"/>
    <col collapsed="false" customWidth="true" hidden="false" outlineLevel="0" max="5" min="5" style="30" width="30.62"/>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6" min="15" style="31" width="8.88"/>
    <col collapsed="false" customWidth="true" hidden="false" outlineLevel="0" max="17" min="17" style="31" width="8.13"/>
    <col collapsed="false" customWidth="true" hidden="false" outlineLevel="0" max="18" min="18" style="0" width="4.38"/>
    <col collapsed="false" customWidth="true" hidden="false" outlineLevel="0" max="19" min="19" style="30" width="8.88"/>
    <col collapsed="false" customWidth="false" hidden="false" outlineLevel="0" max="1001" min="21" style="30" width="9.51"/>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0" t="s">
        <v>2693</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2694</v>
      </c>
      <c r="B3" s="75" t="s">
        <v>2361</v>
      </c>
      <c r="C3" s="80" t="s">
        <v>2695</v>
      </c>
      <c r="D3" s="75" t="s">
        <v>2696</v>
      </c>
      <c r="E3" s="75"/>
      <c r="F3" s="75"/>
      <c r="G3" s="75" t="s">
        <v>90</v>
      </c>
      <c r="H3" s="75" t="s">
        <v>91</v>
      </c>
      <c r="I3" s="75" t="s">
        <v>90</v>
      </c>
      <c r="J3" s="81" t="s">
        <v>2697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c r="P7" s="52" t="s">
        <v>93</v>
      </c>
      <c r="Q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123" t="s">
        <v>110</v>
      </c>
      <c r="Q8" s="123" t="s">
        <v>2698</v>
      </c>
      <c r="R8" s="249" t="s">
        <v>111</v>
      </c>
    </row>
    <row r="9" s="67" customFormat="true" ht="13.5" hidden="false" customHeight="true" outlineLevel="0" collapsed="false">
      <c r="A9" s="60" t="n">
        <f aca="false">ROW()-8</f>
        <v>1</v>
      </c>
      <c r="B9" s="261" t="s">
        <v>2699</v>
      </c>
      <c r="C9" s="261"/>
      <c r="D9" s="261"/>
      <c r="E9" s="261"/>
      <c r="F9" s="261"/>
      <c r="G9" s="261"/>
      <c r="H9" s="62" t="s">
        <v>2700</v>
      </c>
      <c r="I9" s="158" t="s">
        <v>2701</v>
      </c>
      <c r="J9" s="158" t="s">
        <v>1206</v>
      </c>
      <c r="K9" s="256" t="s">
        <v>117</v>
      </c>
      <c r="L9" s="257"/>
      <c r="M9" s="256" t="s">
        <v>118</v>
      </c>
      <c r="N9" s="62" t="s">
        <v>1207</v>
      </c>
      <c r="O9" s="259" t="s">
        <v>119</v>
      </c>
      <c r="P9" s="259"/>
      <c r="Q9" s="259"/>
      <c r="R9" s="260"/>
    </row>
    <row r="10" s="67" customFormat="true" ht="13.5" hidden="false" customHeight="true" outlineLevel="0" collapsed="false">
      <c r="A10" s="60" t="n">
        <f aca="false">ROW()-8</f>
        <v>2</v>
      </c>
      <c r="B10" s="261" t="s">
        <v>2702</v>
      </c>
      <c r="C10" s="261"/>
      <c r="D10" s="261"/>
      <c r="E10" s="261"/>
      <c r="F10" s="261"/>
      <c r="G10" s="261"/>
      <c r="H10" s="256" t="s">
        <v>2703</v>
      </c>
      <c r="I10" s="158" t="s">
        <v>2704</v>
      </c>
      <c r="J10" s="158" t="s">
        <v>2705</v>
      </c>
      <c r="K10" s="256" t="s">
        <v>117</v>
      </c>
      <c r="L10" s="257"/>
      <c r="M10" s="256" t="s">
        <v>118</v>
      </c>
      <c r="N10" s="256"/>
      <c r="O10" s="259" t="s">
        <v>119</v>
      </c>
      <c r="P10" s="259"/>
      <c r="Q10" s="259"/>
      <c r="R10" s="260"/>
    </row>
    <row r="11" s="67" customFormat="true" ht="13.5" hidden="false" customHeight="true" outlineLevel="0" collapsed="false">
      <c r="A11" s="273" t="n">
        <f aca="false">ROW()-8</f>
        <v>3</v>
      </c>
      <c r="B11" s="251" t="s">
        <v>2706</v>
      </c>
      <c r="C11" s="261"/>
      <c r="D11" s="261"/>
      <c r="E11" s="261"/>
      <c r="F11" s="261"/>
      <c r="G11" s="261"/>
      <c r="H11" s="256" t="s">
        <v>2707</v>
      </c>
      <c r="I11" s="271"/>
      <c r="J11" s="158" t="s">
        <v>2708</v>
      </c>
      <c r="K11" s="256" t="s">
        <v>117</v>
      </c>
      <c r="L11" s="257" t="s">
        <v>119</v>
      </c>
      <c r="M11" s="258" t="s">
        <v>2708</v>
      </c>
      <c r="N11" s="256"/>
      <c r="O11" s="259" t="s">
        <v>119</v>
      </c>
      <c r="P11" s="259"/>
      <c r="Q11" s="259"/>
      <c r="R11" s="260"/>
    </row>
    <row r="12" s="67" customFormat="true" ht="13.5" hidden="false" customHeight="true" outlineLevel="0" collapsed="false">
      <c r="A12" s="273" t="n">
        <f aca="false">ROW()-8</f>
        <v>4</v>
      </c>
      <c r="B12" s="261"/>
      <c r="C12" s="261" t="s">
        <v>1769</v>
      </c>
      <c r="D12" s="261"/>
      <c r="E12" s="261"/>
      <c r="F12" s="261"/>
      <c r="G12" s="261"/>
      <c r="H12" s="256" t="s">
        <v>2709</v>
      </c>
      <c r="I12" s="158" t="s">
        <v>2710</v>
      </c>
      <c r="J12" s="158" t="s">
        <v>1257</v>
      </c>
      <c r="K12" s="256" t="s">
        <v>163</v>
      </c>
      <c r="L12" s="257"/>
      <c r="M12" s="256" t="s">
        <v>118</v>
      </c>
      <c r="N12" s="256"/>
      <c r="O12" s="259" t="s">
        <v>119</v>
      </c>
      <c r="P12" s="259"/>
      <c r="Q12" s="259"/>
      <c r="R12" s="260"/>
    </row>
    <row r="13" s="67" customFormat="true" ht="13.5" hidden="false" customHeight="true" outlineLevel="0" collapsed="false">
      <c r="A13" s="273" t="n">
        <f aca="false">ROW()-8</f>
        <v>5</v>
      </c>
      <c r="B13" s="261"/>
      <c r="C13" s="261" t="s">
        <v>1771</v>
      </c>
      <c r="D13" s="261"/>
      <c r="E13" s="261"/>
      <c r="F13" s="261"/>
      <c r="G13" s="261"/>
      <c r="H13" s="256" t="s">
        <v>2711</v>
      </c>
      <c r="I13" s="158" t="s">
        <v>2712</v>
      </c>
      <c r="J13" s="158" t="s">
        <v>1592</v>
      </c>
      <c r="K13" s="256" t="s">
        <v>117</v>
      </c>
      <c r="L13" s="257"/>
      <c r="M13" s="256" t="s">
        <v>118</v>
      </c>
      <c r="N13" s="256" t="s">
        <v>1773</v>
      </c>
      <c r="O13" s="259" t="s">
        <v>119</v>
      </c>
      <c r="P13" s="259"/>
      <c r="Q13" s="259"/>
      <c r="R13" s="260"/>
    </row>
    <row r="14" s="67" customFormat="true" ht="13.5" hidden="false" customHeight="true" outlineLevel="0" collapsed="false">
      <c r="A14" s="273" t="n">
        <f aca="false">ROW()-8</f>
        <v>6</v>
      </c>
      <c r="B14" s="261" t="s">
        <v>2713</v>
      </c>
      <c r="C14" s="261"/>
      <c r="D14" s="261"/>
      <c r="E14" s="261"/>
      <c r="F14" s="261"/>
      <c r="G14" s="261"/>
      <c r="H14" s="256" t="s">
        <v>2576</v>
      </c>
      <c r="I14" s="158" t="s">
        <v>1214</v>
      </c>
      <c r="J14" s="158" t="s">
        <v>1215</v>
      </c>
      <c r="K14" s="256" t="s">
        <v>117</v>
      </c>
      <c r="L14" s="257"/>
      <c r="M14" s="256" t="s">
        <v>134</v>
      </c>
      <c r="N14" s="256"/>
      <c r="O14" s="259" t="s">
        <v>119</v>
      </c>
      <c r="P14" s="259"/>
      <c r="Q14" s="259"/>
      <c r="R14" s="260"/>
    </row>
    <row r="15" s="67" customFormat="true" ht="13.5" hidden="false" customHeight="true" outlineLevel="0" collapsed="false">
      <c r="A15" s="273" t="n">
        <f aca="false">ROW()-8</f>
        <v>7</v>
      </c>
      <c r="B15" s="176" t="s">
        <v>1600</v>
      </c>
      <c r="C15" s="141"/>
      <c r="D15" s="261"/>
      <c r="E15" s="261"/>
      <c r="F15" s="261"/>
      <c r="G15" s="263"/>
      <c r="H15" s="254"/>
      <c r="I15" s="264"/>
      <c r="J15" s="137" t="s">
        <v>1602</v>
      </c>
      <c r="K15" s="62" t="s">
        <v>163</v>
      </c>
      <c r="L15" s="147" t="s">
        <v>119</v>
      </c>
      <c r="M15" s="146" t="s">
        <v>1602</v>
      </c>
      <c r="N15" s="256"/>
      <c r="O15" s="259"/>
      <c r="P15" s="259"/>
      <c r="Q15" s="259"/>
      <c r="R15" s="260"/>
    </row>
    <row r="16" s="67" customFormat="true" ht="13.5" hidden="false" customHeight="true" outlineLevel="0" collapsed="false">
      <c r="A16" s="273" t="n">
        <f aca="false">ROW()-8</f>
        <v>8</v>
      </c>
      <c r="B16" s="141"/>
      <c r="C16" s="141" t="s">
        <v>2714</v>
      </c>
      <c r="D16" s="261"/>
      <c r="E16" s="261"/>
      <c r="F16" s="261"/>
      <c r="G16" s="261"/>
      <c r="H16" s="256"/>
      <c r="I16" s="274"/>
      <c r="J16" s="137" t="s">
        <v>1281</v>
      </c>
      <c r="K16" s="62" t="s">
        <v>163</v>
      </c>
      <c r="L16" s="147"/>
      <c r="M16" s="275" t="s">
        <v>118</v>
      </c>
      <c r="N16" s="256"/>
      <c r="O16" s="259"/>
      <c r="P16" s="259"/>
      <c r="Q16" s="259"/>
      <c r="R16" s="260"/>
    </row>
    <row r="17" s="67" customFormat="true" ht="13.5" hidden="false" customHeight="true" outlineLevel="0" collapsed="false">
      <c r="A17" s="276" t="n">
        <f aca="false">ROW()-8</f>
        <v>9</v>
      </c>
      <c r="B17" s="262"/>
      <c r="C17" s="277" t="s">
        <v>2715</v>
      </c>
      <c r="D17" s="261"/>
      <c r="E17" s="261"/>
      <c r="F17" s="261"/>
      <c r="G17" s="261"/>
      <c r="H17" s="256" t="s">
        <v>2716</v>
      </c>
      <c r="I17" s="274" t="s">
        <v>2717</v>
      </c>
      <c r="J17" s="137" t="s">
        <v>2718</v>
      </c>
      <c r="K17" s="62" t="s">
        <v>163</v>
      </c>
      <c r="L17" s="257"/>
      <c r="M17" s="278"/>
      <c r="N17" s="256"/>
      <c r="O17" s="259"/>
      <c r="P17" s="259"/>
      <c r="Q17" s="259"/>
      <c r="R17" s="260"/>
    </row>
    <row r="18" s="67" customFormat="true" ht="13.5" hidden="false" customHeight="true" outlineLevel="0" collapsed="false">
      <c r="A18" s="273" t="n">
        <f aca="false">ROW()-8</f>
        <v>10</v>
      </c>
      <c r="B18" s="266" t="s">
        <v>1628</v>
      </c>
      <c r="C18" s="261"/>
      <c r="D18" s="261"/>
      <c r="E18" s="261"/>
      <c r="F18" s="261"/>
      <c r="G18" s="263"/>
      <c r="H18" s="254"/>
      <c r="I18" s="264"/>
      <c r="J18" s="158" t="s">
        <v>1630</v>
      </c>
      <c r="K18" s="256" t="s">
        <v>117</v>
      </c>
      <c r="L18" s="257" t="s">
        <v>119</v>
      </c>
      <c r="M18" s="258" t="s">
        <v>1630</v>
      </c>
      <c r="N18" s="256"/>
      <c r="O18" s="259" t="s">
        <v>119</v>
      </c>
      <c r="P18" s="259"/>
      <c r="Q18" s="259"/>
      <c r="R18" s="260"/>
    </row>
    <row r="19" s="67" customFormat="true" ht="13.5" hidden="false" customHeight="true" outlineLevel="0" collapsed="false">
      <c r="A19" s="273" t="n">
        <f aca="false">ROW()-8</f>
        <v>11</v>
      </c>
      <c r="B19" s="266"/>
      <c r="C19" s="261" t="s">
        <v>2719</v>
      </c>
      <c r="D19" s="261"/>
      <c r="E19" s="261"/>
      <c r="F19" s="261"/>
      <c r="G19" s="261"/>
      <c r="H19" s="256" t="s">
        <v>2603</v>
      </c>
      <c r="I19" s="158" t="s">
        <v>2604</v>
      </c>
      <c r="J19" s="279" t="s">
        <v>1634</v>
      </c>
      <c r="K19" s="256" t="s">
        <v>117</v>
      </c>
      <c r="L19" s="257"/>
      <c r="M19" s="256" t="s">
        <v>118</v>
      </c>
      <c r="N19" s="175" t="s">
        <v>1635</v>
      </c>
      <c r="O19" s="259" t="s">
        <v>119</v>
      </c>
      <c r="P19" s="259"/>
      <c r="Q19" s="259"/>
      <c r="R19" s="260"/>
    </row>
    <row r="20" s="67" customFormat="true" ht="13.5" hidden="false" customHeight="true" outlineLevel="0" collapsed="false">
      <c r="A20" s="273" t="n">
        <f aca="false">ROW()-8</f>
        <v>12</v>
      </c>
      <c r="B20" s="266"/>
      <c r="C20" s="261" t="s">
        <v>1694</v>
      </c>
      <c r="D20" s="261"/>
      <c r="E20" s="261"/>
      <c r="F20" s="261"/>
      <c r="G20" s="261"/>
      <c r="H20" s="256" t="s">
        <v>2720</v>
      </c>
      <c r="I20" s="158" t="s">
        <v>1404</v>
      </c>
      <c r="J20" s="256" t="s">
        <v>1696</v>
      </c>
      <c r="K20" s="256" t="s">
        <v>163</v>
      </c>
      <c r="L20" s="257"/>
      <c r="M20" s="256" t="s">
        <v>118</v>
      </c>
      <c r="N20" s="256"/>
      <c r="O20" s="259" t="s">
        <v>119</v>
      </c>
      <c r="P20" s="259"/>
      <c r="Q20" s="259"/>
      <c r="R20" s="260"/>
    </row>
    <row r="21" s="67" customFormat="true" ht="13.5" hidden="false" customHeight="true" outlineLevel="0" collapsed="false">
      <c r="A21" s="276" t="n">
        <f aca="false">ROW()-8</f>
        <v>13</v>
      </c>
      <c r="B21" s="262"/>
      <c r="C21" s="261" t="s">
        <v>2721</v>
      </c>
      <c r="D21" s="261"/>
      <c r="E21" s="261"/>
      <c r="F21" s="261"/>
      <c r="G21" s="261"/>
      <c r="H21" s="256" t="s">
        <v>2722</v>
      </c>
      <c r="I21" s="158" t="s">
        <v>2723</v>
      </c>
      <c r="J21" s="256" t="s">
        <v>1568</v>
      </c>
      <c r="K21" s="256" t="s">
        <v>117</v>
      </c>
      <c r="L21" s="257"/>
      <c r="M21" s="256" t="s">
        <v>118</v>
      </c>
      <c r="N21" s="256"/>
      <c r="O21" s="259" t="s">
        <v>119</v>
      </c>
      <c r="P21" s="259"/>
      <c r="Q21" s="259"/>
      <c r="R21" s="260"/>
    </row>
    <row r="22" s="67" customFormat="true" ht="13.5" hidden="false" customHeight="true" outlineLevel="0" collapsed="false">
      <c r="A22" s="60" t="n">
        <f aca="false">ROW()-8</f>
        <v>14</v>
      </c>
      <c r="B22" s="266"/>
      <c r="C22" s="261" t="s">
        <v>2724</v>
      </c>
      <c r="D22" s="261"/>
      <c r="E22" s="261"/>
      <c r="F22" s="261"/>
      <c r="G22" s="261"/>
      <c r="H22" s="256" t="s">
        <v>2725</v>
      </c>
      <c r="I22" s="158" t="s">
        <v>1571</v>
      </c>
      <c r="J22" s="256" t="s">
        <v>1572</v>
      </c>
      <c r="K22" s="256" t="s">
        <v>117</v>
      </c>
      <c r="L22" s="257"/>
      <c r="M22" s="256" t="s">
        <v>118</v>
      </c>
      <c r="N22" s="256"/>
      <c r="O22" s="259" t="s">
        <v>119</v>
      </c>
      <c r="P22" s="259"/>
      <c r="Q22" s="259"/>
      <c r="R22" s="260"/>
    </row>
    <row r="23" s="67" customFormat="true" ht="13.5" hidden="false" customHeight="true" outlineLevel="0" collapsed="false">
      <c r="A23" s="60" t="n">
        <f aca="false">ROW()-8</f>
        <v>15</v>
      </c>
      <c r="B23" s="266"/>
      <c r="C23" s="261" t="s">
        <v>1703</v>
      </c>
      <c r="D23" s="261"/>
      <c r="E23" s="261"/>
      <c r="F23" s="261"/>
      <c r="G23" s="261"/>
      <c r="H23" s="256" t="s">
        <v>2605</v>
      </c>
      <c r="I23" s="158" t="s">
        <v>2606</v>
      </c>
      <c r="J23" s="256" t="s">
        <v>1705</v>
      </c>
      <c r="K23" s="256" t="s">
        <v>163</v>
      </c>
      <c r="L23" s="257"/>
      <c r="M23" s="256" t="s">
        <v>118</v>
      </c>
      <c r="N23" s="256"/>
      <c r="O23" s="259" t="s">
        <v>119</v>
      </c>
      <c r="P23" s="259"/>
      <c r="Q23" s="259"/>
      <c r="R23" s="260"/>
    </row>
    <row r="24" s="67" customFormat="true" ht="13.5" hidden="false" customHeight="true" outlineLevel="0" collapsed="false">
      <c r="A24" s="60" t="n">
        <f aca="false">ROW()-8</f>
        <v>16</v>
      </c>
      <c r="B24" s="266"/>
      <c r="C24" s="261" t="s">
        <v>1729</v>
      </c>
      <c r="D24" s="261"/>
      <c r="E24" s="261"/>
      <c r="F24" s="261"/>
      <c r="G24" s="261"/>
      <c r="H24" s="256" t="s">
        <v>2726</v>
      </c>
      <c r="I24" s="158" t="s">
        <v>2727</v>
      </c>
      <c r="J24" s="256" t="s">
        <v>1732</v>
      </c>
      <c r="K24" s="256" t="s">
        <v>163</v>
      </c>
      <c r="L24" s="257"/>
      <c r="M24" s="256" t="s">
        <v>118</v>
      </c>
      <c r="N24" s="256"/>
      <c r="O24" s="259" t="s">
        <v>119</v>
      </c>
      <c r="P24" s="259"/>
      <c r="Q24" s="259"/>
      <c r="R24" s="260"/>
    </row>
    <row r="25" s="67" customFormat="true" ht="13.5" hidden="false" customHeight="true" outlineLevel="0" collapsed="false">
      <c r="A25" s="60" t="n">
        <f aca="false">ROW()-8</f>
        <v>17</v>
      </c>
      <c r="B25" s="266"/>
      <c r="C25" s="261" t="s">
        <v>2607</v>
      </c>
      <c r="D25" s="261"/>
      <c r="E25" s="261"/>
      <c r="F25" s="261"/>
      <c r="G25" s="261"/>
      <c r="H25" s="256" t="s">
        <v>2728</v>
      </c>
      <c r="I25" s="158" t="s">
        <v>1709</v>
      </c>
      <c r="J25" s="256" t="s">
        <v>1710</v>
      </c>
      <c r="K25" s="256" t="s">
        <v>163</v>
      </c>
      <c r="L25" s="257"/>
      <c r="M25" s="256" t="s">
        <v>118</v>
      </c>
      <c r="N25" s="63" t="s">
        <v>1711</v>
      </c>
      <c r="O25" s="259" t="s">
        <v>119</v>
      </c>
      <c r="P25" s="259"/>
      <c r="Q25" s="259"/>
      <c r="R25" s="260"/>
    </row>
    <row r="26" s="67" customFormat="true" ht="13.5" hidden="false" customHeight="true" outlineLevel="0" collapsed="false">
      <c r="A26" s="60" t="n">
        <f aca="false">ROW()-8</f>
        <v>18</v>
      </c>
      <c r="B26" s="262"/>
      <c r="C26" s="261" t="s">
        <v>1639</v>
      </c>
      <c r="D26" s="141"/>
      <c r="E26" s="141"/>
      <c r="F26" s="141"/>
      <c r="G26" s="280"/>
      <c r="H26" s="256" t="s">
        <v>1640</v>
      </c>
      <c r="I26" s="271"/>
      <c r="J26" s="63" t="s">
        <v>1641</v>
      </c>
      <c r="K26" s="62" t="s">
        <v>1247</v>
      </c>
      <c r="L26" s="130" t="s">
        <v>119</v>
      </c>
      <c r="M26" s="149" t="s">
        <v>1641</v>
      </c>
      <c r="N26" s="64"/>
      <c r="O26" s="259" t="s">
        <v>119</v>
      </c>
      <c r="P26" s="259"/>
      <c r="Q26" s="259"/>
      <c r="R26" s="260"/>
    </row>
    <row r="27" s="67" customFormat="true" ht="13.5" hidden="false" customHeight="true" outlineLevel="0" collapsed="false">
      <c r="A27" s="60" t="n">
        <f aca="false">ROW()-8</f>
        <v>19</v>
      </c>
      <c r="B27" s="262"/>
      <c r="C27" s="261"/>
      <c r="D27" s="129" t="s">
        <v>1331</v>
      </c>
      <c r="E27" s="129"/>
      <c r="F27" s="129"/>
      <c r="G27" s="62"/>
      <c r="H27" s="62" t="s">
        <v>1642</v>
      </c>
      <c r="I27" s="63" t="s">
        <v>1643</v>
      </c>
      <c r="J27" s="63" t="s">
        <v>162</v>
      </c>
      <c r="K27" s="62" t="s">
        <v>117</v>
      </c>
      <c r="L27" s="130"/>
      <c r="M27" s="62" t="s">
        <v>118</v>
      </c>
      <c r="N27" s="137" t="s">
        <v>1644</v>
      </c>
      <c r="O27" s="259" t="s">
        <v>119</v>
      </c>
      <c r="P27" s="259"/>
      <c r="Q27" s="259"/>
      <c r="R27" s="260"/>
    </row>
    <row r="28" s="67" customFormat="true" ht="13.5" hidden="false" customHeight="true" outlineLevel="0" collapsed="false">
      <c r="A28" s="60" t="n">
        <f aca="false">ROW()-8</f>
        <v>20</v>
      </c>
      <c r="B28" s="262"/>
      <c r="C28" s="129"/>
      <c r="D28" s="129" t="s">
        <v>1335</v>
      </c>
      <c r="E28" s="129"/>
      <c r="F28" s="129"/>
      <c r="G28" s="62"/>
      <c r="H28" s="62" t="s">
        <v>1645</v>
      </c>
      <c r="I28" s="63" t="s">
        <v>1598</v>
      </c>
      <c r="J28" s="63" t="s">
        <v>1338</v>
      </c>
      <c r="K28" s="62" t="s">
        <v>117</v>
      </c>
      <c r="L28" s="130"/>
      <c r="M28" s="62" t="s">
        <v>118</v>
      </c>
      <c r="N28" s="64"/>
      <c r="O28" s="259" t="s">
        <v>119</v>
      </c>
      <c r="P28" s="259"/>
      <c r="Q28" s="259"/>
      <c r="R28" s="260"/>
    </row>
    <row r="29" s="67" customFormat="true" ht="13.5" hidden="false" customHeight="true" outlineLevel="0" collapsed="false">
      <c r="A29" s="60" t="n">
        <f aca="false">ROW()-8</f>
        <v>21</v>
      </c>
      <c r="B29" s="266"/>
      <c r="C29" s="261" t="s">
        <v>1727</v>
      </c>
      <c r="D29" s="261"/>
      <c r="E29" s="261"/>
      <c r="F29" s="261"/>
      <c r="G29" s="261"/>
      <c r="H29" s="62" t="s">
        <v>1725</v>
      </c>
      <c r="I29" s="63" t="n">
        <v>31</v>
      </c>
      <c r="J29" s="63" t="s">
        <v>1451</v>
      </c>
      <c r="K29" s="62" t="s">
        <v>163</v>
      </c>
      <c r="L29" s="130"/>
      <c r="M29" s="62" t="s">
        <v>1615</v>
      </c>
      <c r="N29" s="256"/>
      <c r="O29" s="259" t="s">
        <v>119</v>
      </c>
      <c r="P29" s="259"/>
      <c r="Q29" s="259"/>
      <c r="R29" s="260"/>
    </row>
    <row r="30" s="67" customFormat="true" ht="13.5" hidden="false" customHeight="true" outlineLevel="0" collapsed="false">
      <c r="A30" s="60" t="n">
        <f aca="false">ROW()-8</f>
        <v>22</v>
      </c>
      <c r="B30" s="266"/>
      <c r="C30" s="261" t="s">
        <v>1724</v>
      </c>
      <c r="D30" s="261"/>
      <c r="E30" s="261"/>
      <c r="F30" s="261"/>
      <c r="G30" s="261"/>
      <c r="H30" s="62" t="s">
        <v>1728</v>
      </c>
      <c r="I30" s="63" t="n">
        <v>109</v>
      </c>
      <c r="J30" s="63" t="s">
        <v>1726</v>
      </c>
      <c r="K30" s="62" t="s">
        <v>163</v>
      </c>
      <c r="L30" s="130"/>
      <c r="M30" s="62" t="s">
        <v>1615</v>
      </c>
      <c r="N30" s="256"/>
      <c r="O30" s="259" t="s">
        <v>119</v>
      </c>
      <c r="P30" s="259"/>
      <c r="Q30" s="259"/>
      <c r="R30" s="260"/>
    </row>
    <row r="31" s="67" customFormat="true" ht="13.5" hidden="false" customHeight="true" outlineLevel="0" collapsed="false">
      <c r="A31" s="60" t="n">
        <f aca="false">ROW()-8</f>
        <v>23</v>
      </c>
      <c r="B31" s="266"/>
      <c r="C31" s="261" t="s">
        <v>2729</v>
      </c>
      <c r="D31" s="261"/>
      <c r="E31" s="261"/>
      <c r="F31" s="261"/>
      <c r="G31" s="261"/>
      <c r="H31" s="256" t="s">
        <v>2730</v>
      </c>
      <c r="I31" s="158" t="s">
        <v>1545</v>
      </c>
      <c r="J31" s="256" t="s">
        <v>2731</v>
      </c>
      <c r="K31" s="256" t="s">
        <v>163</v>
      </c>
      <c r="L31" s="257"/>
      <c r="M31" s="256" t="s">
        <v>118</v>
      </c>
      <c r="N31" s="256"/>
      <c r="O31" s="259"/>
      <c r="P31" s="259"/>
      <c r="Q31" s="259"/>
      <c r="R31" s="260"/>
    </row>
    <row r="32" s="67" customFormat="true" ht="13.5" hidden="false" customHeight="true" outlineLevel="0" collapsed="false">
      <c r="A32" s="60" t="n">
        <f aca="false">ROW()-8</f>
        <v>24</v>
      </c>
      <c r="B32" s="266"/>
      <c r="C32" s="261" t="s">
        <v>2609</v>
      </c>
      <c r="D32" s="261"/>
      <c r="E32" s="261"/>
      <c r="F32" s="261"/>
      <c r="G32" s="263"/>
      <c r="H32" s="254"/>
      <c r="I32" s="264"/>
      <c r="J32" s="158" t="s">
        <v>2610</v>
      </c>
      <c r="K32" s="256" t="s">
        <v>163</v>
      </c>
      <c r="L32" s="257" t="s">
        <v>119</v>
      </c>
      <c r="M32" s="268" t="s">
        <v>2610</v>
      </c>
      <c r="N32" s="256"/>
      <c r="O32" s="259"/>
      <c r="P32" s="259"/>
      <c r="Q32" s="259"/>
      <c r="R32" s="260"/>
    </row>
    <row r="33" s="67" customFormat="true" ht="13.5" hidden="false" customHeight="true" outlineLevel="0" collapsed="false">
      <c r="A33" s="60" t="n">
        <f aca="false">ROW()-8</f>
        <v>25</v>
      </c>
      <c r="B33" s="266"/>
      <c r="C33" s="261"/>
      <c r="D33" s="261" t="s">
        <v>2611</v>
      </c>
      <c r="E33" s="261"/>
      <c r="F33" s="261"/>
      <c r="G33" s="261"/>
      <c r="H33" s="256" t="s">
        <v>2612</v>
      </c>
      <c r="I33" s="158" t="n">
        <v>92300</v>
      </c>
      <c r="J33" s="158" t="s">
        <v>1385</v>
      </c>
      <c r="K33" s="256" t="s">
        <v>117</v>
      </c>
      <c r="L33" s="257"/>
      <c r="M33" s="256" t="s">
        <v>118</v>
      </c>
      <c r="N33" s="256" t="s">
        <v>1386</v>
      </c>
      <c r="O33" s="259"/>
      <c r="P33" s="259"/>
      <c r="Q33" s="259"/>
      <c r="R33" s="260"/>
    </row>
    <row r="34" s="67" customFormat="true" ht="13.5" hidden="false" customHeight="true" outlineLevel="0" collapsed="false">
      <c r="A34" s="60" t="n">
        <f aca="false">ROW()-8</f>
        <v>26</v>
      </c>
      <c r="B34" s="266"/>
      <c r="C34" s="261"/>
      <c r="D34" s="261" t="s">
        <v>1380</v>
      </c>
      <c r="E34" s="261"/>
      <c r="F34" s="261"/>
      <c r="G34" s="261"/>
      <c r="H34" s="256" t="s">
        <v>2463</v>
      </c>
      <c r="I34" s="158" t="s">
        <v>2613</v>
      </c>
      <c r="J34" s="158" t="s">
        <v>1379</v>
      </c>
      <c r="K34" s="256" t="s">
        <v>117</v>
      </c>
      <c r="L34" s="257"/>
      <c r="M34" s="256" t="s">
        <v>118</v>
      </c>
      <c r="N34" s="256"/>
      <c r="O34" s="259"/>
      <c r="P34" s="259"/>
      <c r="Q34" s="259"/>
      <c r="R34" s="260"/>
    </row>
    <row r="35" s="67" customFormat="true" ht="12.75" hidden="false" customHeight="true" outlineLevel="0" collapsed="false">
      <c r="A35" s="60" t="n">
        <f aca="false">ROW()-8</f>
        <v>27</v>
      </c>
      <c r="B35" s="251" t="s">
        <v>2614</v>
      </c>
      <c r="C35" s="261"/>
      <c r="D35" s="261"/>
      <c r="E35" s="261"/>
      <c r="F35" s="261"/>
      <c r="G35" s="263"/>
      <c r="H35" s="254"/>
      <c r="I35" s="264"/>
      <c r="J35" s="158" t="s">
        <v>2615</v>
      </c>
      <c r="K35" s="256" t="s">
        <v>163</v>
      </c>
      <c r="L35" s="257" t="s">
        <v>119</v>
      </c>
      <c r="M35" s="258" t="s">
        <v>2615</v>
      </c>
      <c r="N35" s="256"/>
      <c r="O35" s="259"/>
      <c r="P35" s="259"/>
      <c r="Q35" s="259"/>
      <c r="R35" s="260"/>
    </row>
    <row r="36" s="67" customFormat="true" ht="13.5" hidden="false" customHeight="true" outlineLevel="0" collapsed="false">
      <c r="A36" s="60" t="n">
        <f aca="false">ROW()-8</f>
        <v>28</v>
      </c>
      <c r="B36" s="251"/>
      <c r="C36" s="261" t="s">
        <v>2616</v>
      </c>
      <c r="D36" s="261"/>
      <c r="E36" s="261"/>
      <c r="F36" s="261"/>
      <c r="G36" s="269"/>
      <c r="H36" s="254"/>
      <c r="I36" s="264"/>
      <c r="J36" s="158" t="s">
        <v>1316</v>
      </c>
      <c r="K36" s="256" t="s">
        <v>163</v>
      </c>
      <c r="L36" s="257" t="s">
        <v>119</v>
      </c>
      <c r="M36" s="258" t="s">
        <v>1316</v>
      </c>
      <c r="N36" s="256"/>
      <c r="O36" s="259"/>
      <c r="P36" s="259"/>
      <c r="Q36" s="259"/>
      <c r="R36" s="260"/>
    </row>
    <row r="37" s="67" customFormat="true" ht="13.5" hidden="false" customHeight="true" outlineLevel="0" collapsed="false">
      <c r="A37" s="60" t="n">
        <f aca="false">ROW()-8</f>
        <v>29</v>
      </c>
      <c r="B37" s="251"/>
      <c r="C37" s="261"/>
      <c r="D37" s="261" t="s">
        <v>2617</v>
      </c>
      <c r="E37" s="261"/>
      <c r="F37" s="261"/>
      <c r="G37" s="261"/>
      <c r="H37" s="256" t="s">
        <v>2618</v>
      </c>
      <c r="I37" s="158" t="s">
        <v>2619</v>
      </c>
      <c r="J37" s="158" t="s">
        <v>1281</v>
      </c>
      <c r="K37" s="256" t="s">
        <v>163</v>
      </c>
      <c r="L37" s="257"/>
      <c r="M37" s="256" t="s">
        <v>118</v>
      </c>
      <c r="N37" s="256" t="s">
        <v>2732</v>
      </c>
      <c r="O37" s="259"/>
      <c r="P37" s="259"/>
      <c r="Q37" s="259"/>
      <c r="R37" s="260"/>
    </row>
    <row r="38" s="67" customFormat="true" ht="13.5" hidden="false" customHeight="true" outlineLevel="0" collapsed="false">
      <c r="A38" s="60" t="n">
        <f aca="false">ROW()-8</f>
        <v>30</v>
      </c>
      <c r="B38" s="251"/>
      <c r="C38" s="261"/>
      <c r="D38" s="261" t="s">
        <v>2621</v>
      </c>
      <c r="E38" s="261"/>
      <c r="F38" s="261"/>
      <c r="G38" s="261"/>
      <c r="H38" s="256" t="s">
        <v>2622</v>
      </c>
      <c r="I38" s="158"/>
      <c r="J38" s="158" t="s">
        <v>2623</v>
      </c>
      <c r="K38" s="256" t="s">
        <v>163</v>
      </c>
      <c r="L38" s="257"/>
      <c r="M38" s="256" t="s">
        <v>118</v>
      </c>
      <c r="N38" s="256"/>
      <c r="O38" s="259"/>
      <c r="P38" s="259"/>
      <c r="Q38" s="259"/>
      <c r="R38" s="260"/>
    </row>
    <row r="39" s="67" customFormat="true" ht="13.5" hidden="false" customHeight="true" outlineLevel="0" collapsed="false">
      <c r="A39" s="60" t="n">
        <f aca="false">ROW()-8</f>
        <v>31</v>
      </c>
      <c r="B39" s="251"/>
      <c r="C39" s="261"/>
      <c r="D39" s="261" t="s">
        <v>2624</v>
      </c>
      <c r="E39" s="261"/>
      <c r="F39" s="261"/>
      <c r="G39" s="261"/>
      <c r="H39" s="256" t="s">
        <v>2625</v>
      </c>
      <c r="I39" s="158"/>
      <c r="J39" s="158" t="s">
        <v>2626</v>
      </c>
      <c r="K39" s="256" t="s">
        <v>163</v>
      </c>
      <c r="L39" s="257"/>
      <c r="M39" s="256" t="s">
        <v>118</v>
      </c>
      <c r="N39" s="256"/>
      <c r="O39" s="259"/>
      <c r="P39" s="259"/>
      <c r="Q39" s="259"/>
      <c r="R39" s="260"/>
    </row>
    <row r="40" s="67" customFormat="true" ht="13.5" hidden="false" customHeight="true" outlineLevel="0" collapsed="false">
      <c r="A40" s="60" t="n">
        <f aca="false">ROW()-8</f>
        <v>32</v>
      </c>
      <c r="B40" s="266"/>
      <c r="C40" s="261"/>
      <c r="D40" s="261" t="s">
        <v>2627</v>
      </c>
      <c r="E40" s="261"/>
      <c r="F40" s="261"/>
      <c r="G40" s="263"/>
      <c r="H40" s="254"/>
      <c r="I40" s="264"/>
      <c r="J40" s="158" t="s">
        <v>1341</v>
      </c>
      <c r="K40" s="256" t="s">
        <v>163</v>
      </c>
      <c r="L40" s="257" t="s">
        <v>119</v>
      </c>
      <c r="M40" s="258" t="s">
        <v>1341</v>
      </c>
      <c r="N40" s="256"/>
      <c r="O40" s="259"/>
      <c r="P40" s="259"/>
      <c r="Q40" s="259"/>
      <c r="R40" s="260"/>
    </row>
    <row r="41" s="67" customFormat="true" ht="13.5" hidden="false" customHeight="true" outlineLevel="0" collapsed="false">
      <c r="A41" s="60" t="n">
        <f aca="false">ROW()-8</f>
        <v>33</v>
      </c>
      <c r="B41" s="262"/>
      <c r="C41" s="261"/>
      <c r="D41" s="261"/>
      <c r="E41" s="141" t="s">
        <v>1356</v>
      </c>
      <c r="F41" s="281"/>
      <c r="G41" s="261"/>
      <c r="H41" s="136" t="s">
        <v>2733</v>
      </c>
      <c r="I41" s="137" t="s">
        <v>2734</v>
      </c>
      <c r="J41" s="137" t="s">
        <v>1359</v>
      </c>
      <c r="K41" s="62" t="s">
        <v>117</v>
      </c>
      <c r="L41" s="130"/>
      <c r="M41" s="62" t="s">
        <v>118</v>
      </c>
      <c r="N41" s="62" t="s">
        <v>1360</v>
      </c>
      <c r="O41" s="259"/>
      <c r="P41" s="259"/>
      <c r="Q41" s="259"/>
      <c r="R41" s="260"/>
    </row>
    <row r="42" s="67" customFormat="true" ht="13.5" hidden="false" customHeight="true" outlineLevel="0" collapsed="false">
      <c r="A42" s="60" t="n">
        <f aca="false">ROW()-8</f>
        <v>34</v>
      </c>
      <c r="B42" s="262"/>
      <c r="C42" s="261"/>
      <c r="D42" s="261"/>
      <c r="E42" s="141" t="s">
        <v>1361</v>
      </c>
      <c r="F42" s="176"/>
      <c r="G42" s="261"/>
      <c r="H42" s="136" t="s">
        <v>2459</v>
      </c>
      <c r="I42" s="137" t="s">
        <v>1363</v>
      </c>
      <c r="J42" s="137" t="s">
        <v>1364</v>
      </c>
      <c r="K42" s="62" t="s">
        <v>163</v>
      </c>
      <c r="L42" s="130"/>
      <c r="M42" s="62" t="s">
        <v>118</v>
      </c>
      <c r="N42" s="62"/>
      <c r="O42" s="259"/>
      <c r="P42" s="259"/>
      <c r="Q42" s="259"/>
      <c r="R42" s="260"/>
    </row>
    <row r="43" s="67" customFormat="true" ht="13.5" hidden="false" customHeight="true" outlineLevel="0" collapsed="false">
      <c r="A43" s="60" t="n">
        <f aca="false">ROW()-8</f>
        <v>35</v>
      </c>
      <c r="B43" s="262"/>
      <c r="C43" s="261"/>
      <c r="D43" s="261"/>
      <c r="E43" s="141" t="s">
        <v>1365</v>
      </c>
      <c r="F43" s="176"/>
      <c r="G43" s="269"/>
      <c r="H43" s="282"/>
      <c r="I43" s="283"/>
      <c r="J43" s="137" t="s">
        <v>1367</v>
      </c>
      <c r="K43" s="62" t="s">
        <v>163</v>
      </c>
      <c r="L43" s="130" t="s">
        <v>119</v>
      </c>
      <c r="M43" s="140" t="s">
        <v>1367</v>
      </c>
      <c r="N43" s="62"/>
      <c r="O43" s="259"/>
      <c r="P43" s="259"/>
      <c r="Q43" s="259"/>
      <c r="R43" s="260"/>
    </row>
    <row r="44" s="67" customFormat="true" ht="13.5" hidden="false" customHeight="true" outlineLevel="0" collapsed="false">
      <c r="A44" s="60" t="n">
        <f aca="false">ROW()-8</f>
        <v>36</v>
      </c>
      <c r="B44" s="262"/>
      <c r="C44" s="261"/>
      <c r="D44" s="261"/>
      <c r="E44" s="141"/>
      <c r="F44" s="141" t="s">
        <v>1368</v>
      </c>
      <c r="G44" s="261"/>
      <c r="H44" s="62" t="s">
        <v>1369</v>
      </c>
      <c r="I44" s="137" t="s">
        <v>1370</v>
      </c>
      <c r="J44" s="137" t="s">
        <v>1359</v>
      </c>
      <c r="K44" s="62" t="s">
        <v>117</v>
      </c>
      <c r="L44" s="130"/>
      <c r="M44" s="62" t="s">
        <v>118</v>
      </c>
      <c r="N44" s="62" t="s">
        <v>1371</v>
      </c>
      <c r="O44" s="259"/>
      <c r="P44" s="259"/>
      <c r="Q44" s="259"/>
      <c r="R44" s="260"/>
    </row>
    <row r="45" s="67" customFormat="true" ht="13.5" hidden="false" customHeight="true" outlineLevel="0" collapsed="false">
      <c r="A45" s="60" t="n">
        <f aca="false">ROW()-8</f>
        <v>37</v>
      </c>
      <c r="B45" s="262"/>
      <c r="C45" s="261"/>
      <c r="D45" s="261"/>
      <c r="E45" s="141"/>
      <c r="F45" s="141" t="s">
        <v>1372</v>
      </c>
      <c r="G45" s="261"/>
      <c r="H45" s="62" t="s">
        <v>1373</v>
      </c>
      <c r="I45" s="158" t="s">
        <v>1374</v>
      </c>
      <c r="J45" s="137" t="s">
        <v>1281</v>
      </c>
      <c r="K45" s="62" t="s">
        <v>163</v>
      </c>
      <c r="L45" s="130"/>
      <c r="M45" s="62" t="s">
        <v>118</v>
      </c>
      <c r="N45" s="62"/>
      <c r="O45" s="259"/>
      <c r="P45" s="259"/>
      <c r="Q45" s="259"/>
      <c r="R45" s="260"/>
    </row>
    <row r="46" s="67" customFormat="true" ht="13.5" hidden="false" customHeight="true" outlineLevel="0" collapsed="false">
      <c r="A46" s="60" t="n">
        <f aca="false">ROW()-8</f>
        <v>38</v>
      </c>
      <c r="B46" s="262"/>
      <c r="C46" s="261"/>
      <c r="D46" s="261"/>
      <c r="E46" s="141"/>
      <c r="F46" s="141" t="s">
        <v>1345</v>
      </c>
      <c r="G46" s="261"/>
      <c r="H46" s="62" t="s">
        <v>1375</v>
      </c>
      <c r="I46" s="158" t="s">
        <v>1376</v>
      </c>
      <c r="J46" s="137" t="s">
        <v>126</v>
      </c>
      <c r="K46" s="62" t="s">
        <v>163</v>
      </c>
      <c r="L46" s="257"/>
      <c r="M46" s="62" t="s">
        <v>118</v>
      </c>
      <c r="N46" s="256"/>
      <c r="O46" s="259"/>
      <c r="P46" s="259"/>
      <c r="Q46" s="259"/>
      <c r="R46" s="260"/>
    </row>
    <row r="47" s="67" customFormat="true" ht="13.5" hidden="false" customHeight="true" outlineLevel="0" collapsed="false">
      <c r="A47" s="60" t="n">
        <f aca="false">ROW()-8</f>
        <v>39</v>
      </c>
      <c r="B47" s="251"/>
      <c r="C47" s="261"/>
      <c r="D47" s="261"/>
      <c r="E47" s="261" t="s">
        <v>1383</v>
      </c>
      <c r="F47" s="261"/>
      <c r="G47" s="261"/>
      <c r="H47" s="256" t="s">
        <v>2628</v>
      </c>
      <c r="I47" s="158" t="n">
        <v>92300</v>
      </c>
      <c r="J47" s="158" t="s">
        <v>1385</v>
      </c>
      <c r="K47" s="256" t="s">
        <v>117</v>
      </c>
      <c r="L47" s="257"/>
      <c r="M47" s="256" t="s">
        <v>118</v>
      </c>
      <c r="N47" s="62" t="s">
        <v>1386</v>
      </c>
      <c r="O47" s="259"/>
      <c r="P47" s="259"/>
      <c r="Q47" s="259"/>
      <c r="R47" s="260"/>
    </row>
    <row r="48" s="67" customFormat="true" ht="13.5" hidden="false" customHeight="true" outlineLevel="0" collapsed="false">
      <c r="A48" s="60" t="n">
        <f aca="false">ROW()-8</f>
        <v>40</v>
      </c>
      <c r="B48" s="251"/>
      <c r="C48" s="261"/>
      <c r="D48" s="261"/>
      <c r="E48" s="261" t="s">
        <v>1380</v>
      </c>
      <c r="F48" s="261"/>
      <c r="G48" s="261"/>
      <c r="H48" s="256" t="s">
        <v>2463</v>
      </c>
      <c r="I48" s="158" t="s">
        <v>2613</v>
      </c>
      <c r="J48" s="158" t="s">
        <v>1379</v>
      </c>
      <c r="K48" s="256" t="s">
        <v>163</v>
      </c>
      <c r="L48" s="257"/>
      <c r="M48" s="256" t="s">
        <v>118</v>
      </c>
      <c r="N48" s="256"/>
      <c r="O48" s="259"/>
      <c r="P48" s="259"/>
      <c r="Q48" s="259"/>
      <c r="R48" s="260"/>
    </row>
    <row r="49" s="67" customFormat="true" ht="13.5" hidden="false" customHeight="true" outlineLevel="0" collapsed="false">
      <c r="A49" s="60" t="n">
        <f aca="false">ROW()-8</f>
        <v>41</v>
      </c>
      <c r="B49" s="266" t="s">
        <v>2735</v>
      </c>
      <c r="C49" s="261"/>
      <c r="D49" s="261"/>
      <c r="E49" s="261"/>
      <c r="F49" s="261"/>
      <c r="G49" s="269"/>
      <c r="H49" s="284"/>
      <c r="I49" s="271"/>
      <c r="J49" s="158" t="s">
        <v>2736</v>
      </c>
      <c r="K49" s="256" t="s">
        <v>163</v>
      </c>
      <c r="L49" s="147" t="s">
        <v>119</v>
      </c>
      <c r="M49" s="146" t="s">
        <v>2736</v>
      </c>
      <c r="N49" s="256"/>
      <c r="O49" s="259" t="s">
        <v>119</v>
      </c>
      <c r="P49" s="259"/>
      <c r="Q49" s="259"/>
      <c r="R49" s="260"/>
    </row>
    <row r="50" s="67" customFormat="true" ht="13.5" hidden="false" customHeight="true" outlineLevel="0" collapsed="false">
      <c r="A50" s="60" t="n">
        <f aca="false">ROW()-8</f>
        <v>42</v>
      </c>
      <c r="B50" s="266"/>
      <c r="C50" s="261" t="s">
        <v>2737</v>
      </c>
      <c r="D50" s="261"/>
      <c r="E50" s="261"/>
      <c r="F50" s="261"/>
      <c r="G50" s="261"/>
      <c r="H50" s="256" t="s">
        <v>2738</v>
      </c>
      <c r="I50" s="158" t="s">
        <v>2739</v>
      </c>
      <c r="J50" s="158" t="s">
        <v>2662</v>
      </c>
      <c r="K50" s="256" t="s">
        <v>1247</v>
      </c>
      <c r="L50" s="272"/>
      <c r="M50" s="256" t="s">
        <v>118</v>
      </c>
      <c r="N50" s="256"/>
      <c r="O50" s="259" t="s">
        <v>119</v>
      </c>
      <c r="P50" s="259"/>
      <c r="Q50" s="259"/>
      <c r="R50" s="260"/>
    </row>
    <row r="51" s="67" customFormat="true" ht="13.5" hidden="false" customHeight="true" outlineLevel="0" collapsed="false">
      <c r="A51" s="60" t="n">
        <f aca="false">ROW()-8</f>
        <v>43</v>
      </c>
      <c r="B51" s="266"/>
      <c r="C51" s="285" t="s">
        <v>2663</v>
      </c>
      <c r="D51" s="261"/>
      <c r="E51" s="261"/>
      <c r="F51" s="261"/>
      <c r="G51" s="261"/>
      <c r="H51" s="256" t="s">
        <v>2740</v>
      </c>
      <c r="I51" s="158" t="s">
        <v>2665</v>
      </c>
      <c r="J51" s="158" t="s">
        <v>1752</v>
      </c>
      <c r="K51" s="256" t="s">
        <v>163</v>
      </c>
      <c r="L51" s="257"/>
      <c r="M51" s="256" t="s">
        <v>118</v>
      </c>
      <c r="N51" s="256"/>
      <c r="O51" s="259" t="s">
        <v>119</v>
      </c>
      <c r="P51" s="259"/>
      <c r="Q51" s="259"/>
      <c r="R51" s="260"/>
    </row>
    <row r="52" s="67" customFormat="true" ht="13.5" hidden="false" customHeight="true" outlineLevel="0" collapsed="false">
      <c r="A52" s="60" t="n">
        <f aca="false">ROW()-8</f>
        <v>44</v>
      </c>
      <c r="B52" s="266"/>
      <c r="C52" s="285" t="s">
        <v>2666</v>
      </c>
      <c r="D52" s="261"/>
      <c r="E52" s="261"/>
      <c r="F52" s="261"/>
      <c r="G52" s="261"/>
      <c r="H52" s="256" t="s">
        <v>2740</v>
      </c>
      <c r="I52" s="158" t="s">
        <v>2668</v>
      </c>
      <c r="J52" s="158" t="s">
        <v>2669</v>
      </c>
      <c r="K52" s="256" t="s">
        <v>1247</v>
      </c>
      <c r="L52" s="257"/>
      <c r="M52" s="256" t="s">
        <v>118</v>
      </c>
      <c r="N52" s="256"/>
      <c r="O52" s="259" t="s">
        <v>119</v>
      </c>
      <c r="P52" s="259"/>
      <c r="Q52" s="259"/>
      <c r="R52" s="260"/>
    </row>
    <row r="53" s="67" customFormat="true" ht="13.5" hidden="false" customHeight="true" outlineLevel="0" collapsed="false">
      <c r="A53" s="160" t="n">
        <f aca="false">ROW()-8</f>
        <v>45</v>
      </c>
      <c r="B53" s="262"/>
      <c r="C53" s="141" t="s">
        <v>2741</v>
      </c>
      <c r="D53" s="261"/>
      <c r="E53" s="261"/>
      <c r="F53" s="261"/>
      <c r="G53" s="269"/>
      <c r="H53" s="284"/>
      <c r="I53" s="271"/>
      <c r="J53" s="137" t="s">
        <v>2742</v>
      </c>
      <c r="K53" s="136" t="s">
        <v>1247</v>
      </c>
      <c r="L53" s="147" t="s">
        <v>119</v>
      </c>
      <c r="M53" s="146" t="s">
        <v>2743</v>
      </c>
      <c r="N53" s="256"/>
      <c r="O53" s="259" t="s">
        <v>119</v>
      </c>
      <c r="P53" s="259"/>
      <c r="Q53" s="259"/>
      <c r="R53" s="260"/>
    </row>
    <row r="54" s="67" customFormat="true" ht="13.5" hidden="false" customHeight="true" outlineLevel="0" collapsed="false">
      <c r="A54" s="276" t="n">
        <f aca="false">ROW()-8</f>
        <v>46</v>
      </c>
      <c r="B54" s="262"/>
      <c r="C54" s="277"/>
      <c r="D54" s="261" t="s">
        <v>2744</v>
      </c>
      <c r="E54" s="261"/>
      <c r="F54" s="261"/>
      <c r="G54" s="261"/>
      <c r="H54" s="256" t="s">
        <v>2745</v>
      </c>
      <c r="I54" s="256" t="s">
        <v>2746</v>
      </c>
      <c r="J54" s="158" t="s">
        <v>1281</v>
      </c>
      <c r="K54" s="256" t="s">
        <v>117</v>
      </c>
      <c r="L54" s="130"/>
      <c r="M54" s="62" t="s">
        <v>118</v>
      </c>
      <c r="N54" s="256" t="s">
        <v>2747</v>
      </c>
      <c r="O54" s="259" t="s">
        <v>119</v>
      </c>
      <c r="P54" s="259"/>
      <c r="Q54" s="259"/>
      <c r="R54" s="260"/>
    </row>
    <row r="55" s="67" customFormat="true" ht="13.5" hidden="false" customHeight="true" outlineLevel="0" collapsed="false">
      <c r="A55" s="160" t="n">
        <f aca="false">ROW()-8</f>
        <v>47</v>
      </c>
      <c r="B55" s="262"/>
      <c r="C55" s="277"/>
      <c r="D55" s="261" t="s">
        <v>2748</v>
      </c>
      <c r="E55" s="261"/>
      <c r="F55" s="261"/>
      <c r="G55" s="261"/>
      <c r="H55" s="256" t="s">
        <v>2749</v>
      </c>
      <c r="I55" s="158"/>
      <c r="J55" s="158" t="s">
        <v>1338</v>
      </c>
      <c r="K55" s="256" t="s">
        <v>117</v>
      </c>
      <c r="L55" s="286"/>
      <c r="M55" s="62" t="s">
        <v>118</v>
      </c>
      <c r="N55" s="256"/>
      <c r="O55" s="259" t="s">
        <v>119</v>
      </c>
      <c r="P55" s="259"/>
      <c r="Q55" s="259"/>
      <c r="R55" s="260"/>
    </row>
    <row r="56" s="67" customFormat="true" ht="13.5" hidden="false" customHeight="true" outlineLevel="0" collapsed="false">
      <c r="A56" s="160" t="n">
        <f aca="false">ROW()-8</f>
        <v>48</v>
      </c>
      <c r="B56" s="262"/>
      <c r="C56" s="277"/>
      <c r="D56" s="261" t="s">
        <v>2750</v>
      </c>
      <c r="E56" s="261"/>
      <c r="F56" s="261"/>
      <c r="G56" s="261"/>
      <c r="H56" s="256" t="s">
        <v>2751</v>
      </c>
      <c r="I56" s="256" t="s">
        <v>2752</v>
      </c>
      <c r="J56" s="158" t="s">
        <v>1461</v>
      </c>
      <c r="K56" s="256" t="s">
        <v>163</v>
      </c>
      <c r="L56" s="286"/>
      <c r="M56" s="256" t="s">
        <v>118</v>
      </c>
      <c r="N56" s="256"/>
      <c r="O56" s="259" t="s">
        <v>119</v>
      </c>
      <c r="P56" s="259"/>
      <c r="Q56" s="259"/>
      <c r="R56" s="260"/>
    </row>
    <row r="57" s="67" customFormat="true" ht="13.5" hidden="false" customHeight="true" outlineLevel="0" collapsed="false">
      <c r="A57" s="276" t="n">
        <f aca="false">ROW()-8</f>
        <v>49</v>
      </c>
      <c r="B57" s="262"/>
      <c r="C57" s="261" t="s">
        <v>1736</v>
      </c>
      <c r="D57" s="261"/>
      <c r="E57" s="261"/>
      <c r="F57" s="261"/>
      <c r="G57" s="261"/>
      <c r="H57" s="256" t="s">
        <v>2753</v>
      </c>
      <c r="I57" s="158"/>
      <c r="J57" s="158" t="s">
        <v>1739</v>
      </c>
      <c r="K57" s="256" t="s">
        <v>163</v>
      </c>
      <c r="L57" s="257"/>
      <c r="M57" s="256" t="s">
        <v>118</v>
      </c>
      <c r="N57" s="256"/>
      <c r="O57" s="259" t="s">
        <v>119</v>
      </c>
      <c r="P57" s="259"/>
      <c r="Q57" s="259"/>
      <c r="R57" s="260"/>
    </row>
    <row r="58" s="67" customFormat="true" ht="13.5" hidden="false" customHeight="true" outlineLevel="0" collapsed="false">
      <c r="A58" s="276" t="n">
        <f aca="false">ROW()-8</f>
        <v>50</v>
      </c>
      <c r="B58" s="262"/>
      <c r="C58" s="261" t="s">
        <v>2754</v>
      </c>
      <c r="D58" s="261"/>
      <c r="E58" s="261"/>
      <c r="F58" s="261"/>
      <c r="G58" s="261"/>
      <c r="H58" s="256" t="s">
        <v>2755</v>
      </c>
      <c r="I58" s="158"/>
      <c r="J58" s="158" t="s">
        <v>1743</v>
      </c>
      <c r="K58" s="256" t="s">
        <v>163</v>
      </c>
      <c r="L58" s="257"/>
      <c r="M58" s="256" t="s">
        <v>118</v>
      </c>
      <c r="N58" s="256"/>
      <c r="O58" s="259" t="s">
        <v>119</v>
      </c>
      <c r="P58" s="259"/>
      <c r="Q58" s="259"/>
      <c r="R58" s="260"/>
    </row>
    <row r="59" s="67" customFormat="true" ht="13.5" hidden="false" customHeight="true" outlineLevel="0" collapsed="false">
      <c r="A59" s="273" t="n">
        <f aca="false">ROW()-8</f>
        <v>51</v>
      </c>
      <c r="B59" s="262"/>
      <c r="C59" s="261" t="s">
        <v>1838</v>
      </c>
      <c r="D59" s="261"/>
      <c r="E59" s="261"/>
      <c r="F59" s="261"/>
      <c r="G59" s="261"/>
      <c r="H59" s="256" t="s">
        <v>2756</v>
      </c>
      <c r="I59" s="158"/>
      <c r="J59" s="158" t="s">
        <v>1313</v>
      </c>
      <c r="K59" s="136" t="s">
        <v>1247</v>
      </c>
      <c r="L59" s="257"/>
      <c r="M59" s="256" t="s">
        <v>118</v>
      </c>
      <c r="N59" s="256"/>
      <c r="O59" s="259" t="s">
        <v>119</v>
      </c>
      <c r="P59" s="259"/>
      <c r="Q59" s="259"/>
      <c r="R59" s="260"/>
    </row>
    <row r="60" s="67" customFormat="true" ht="12" hidden="false" customHeight="true" outlineLevel="0" collapsed="false">
      <c r="A60" s="60"/>
      <c r="C60" s="60"/>
      <c r="D60" s="60"/>
      <c r="E60" s="60"/>
      <c r="F60" s="60"/>
      <c r="G60" s="60"/>
      <c r="H60" s="60"/>
      <c r="I60" s="60"/>
      <c r="J60" s="69"/>
      <c r="K60" s="60"/>
      <c r="L60" s="70"/>
      <c r="M60" s="60"/>
      <c r="N60" s="60"/>
      <c r="O60" s="60"/>
      <c r="P60" s="60"/>
      <c r="Q60" s="60"/>
    </row>
  </sheetData>
  <conditionalFormatting sqref="A61:F62 A82:F922">
    <cfRule type="expression" priority="2" aboveAverage="0" equalAverage="0" bottom="0" percent="0" rank="0" text="" dxfId="4103">
      <formula>OR(#ref!="X",#ref!="X")</formula>
    </cfRule>
    <cfRule type="expression" priority="3" aboveAverage="0" equalAverage="0" bottom="0" percent="0" rank="0" text="" dxfId="4104">
      <formula>AND(#ref!=1,#ref!=1)</formula>
    </cfRule>
    <cfRule type="expression" priority="4" aboveAverage="0" equalAverage="0" bottom="0" percent="0" rank="0" text="" dxfId="4105">
      <formula>#ref!=1</formula>
    </cfRule>
    <cfRule type="expression" priority="5" aboveAverage="0" equalAverage="0" bottom="0" percent="0" rank="0" text="" dxfId="4106">
      <formula>#ref!=1</formula>
    </cfRule>
  </conditionalFormatting>
  <conditionalFormatting sqref="C28">
    <cfRule type="expression" priority="6" aboveAverage="0" equalAverage="0" bottom="0" percent="0" rank="0" text="" dxfId="4107">
      <formula>OR(#ref!="X",#ref!="X")</formula>
    </cfRule>
    <cfRule type="expression" priority="7" aboveAverage="0" equalAverage="0" bottom="0" percent="0" rank="0" text="" dxfId="4108">
      <formula>AND(#ref!=1,#ref!=1)</formula>
    </cfRule>
    <cfRule type="expression" priority="8" aboveAverage="0" equalAverage="0" bottom="0" percent="0" rank="0" text="" dxfId="4109">
      <formula>#ref!=1</formula>
    </cfRule>
    <cfRule type="expression" priority="9" aboveAverage="0" equalAverage="0" bottom="0" percent="0" rank="0" text="" dxfId="4110">
      <formula>AND($L28="X",OR(#ref!&lt;&gt;"",$B28&lt;&gt;""))</formula>
    </cfRule>
  </conditionalFormatting>
  <conditionalFormatting sqref="C28:F28 D26:F27">
    <cfRule type="expression" priority="10" aboveAverage="0" equalAverage="0" bottom="0" percent="0" rank="0" text="" dxfId="4111">
      <formula>#ref!=1</formula>
    </cfRule>
  </conditionalFormatting>
  <conditionalFormatting sqref="D26">
    <cfRule type="expression" priority="11" aboveAverage="0" equalAverage="0" bottom="0" percent="0" rank="0" text="" dxfId="4112">
      <formula>AND($L26="X",OR($B26&lt;&gt;"",$C26&lt;&gt;"",$D26&lt;&gt;""))</formula>
    </cfRule>
  </conditionalFormatting>
  <conditionalFormatting sqref="D26:D28">
    <cfRule type="expression" priority="12" aboveAverage="0" equalAverage="0" bottom="0" percent="0" rank="0" text="" dxfId="4113">
      <formula>AND($L26="X",OR($B26&lt;&gt;"",$C26&lt;&gt;""))</formula>
    </cfRule>
  </conditionalFormatting>
  <conditionalFormatting sqref="D26:F27 C28:F28">
    <cfRule type="expression" priority="13" aboveAverage="0" equalAverage="0" bottom="0" percent="0" rank="0" text="" dxfId="4114">
      <formula>AND(NOT(ISBLANK(#ref!)),ISBLANK(#ref!),ISBLANK(#ref!))</formula>
    </cfRule>
  </conditionalFormatting>
  <conditionalFormatting sqref="D26:F28">
    <cfRule type="expression" priority="14" aboveAverage="0" equalAverage="0" bottom="0" percent="0" rank="0" text="" dxfId="4115">
      <formula>OR(#ref!="X",#ref!="X")</formula>
    </cfRule>
    <cfRule type="expression" priority="15" aboveAverage="0" equalAverage="0" bottom="0" percent="0" rank="0" text="" dxfId="4116">
      <formula>AND(#ref!=1,#ref!=1)</formula>
    </cfRule>
    <cfRule type="expression" priority="16" aboveAverage="0" equalAverage="0" bottom="0" percent="0" rank="0" text="" dxfId="4117">
      <formula>#ref!=1</formula>
    </cfRule>
  </conditionalFormatting>
  <conditionalFormatting sqref="D26:G26">
    <cfRule type="expression" priority="17" aboveAverage="0" equalAverage="0" bottom="0" percent="0" rank="0" text="" dxfId="4118">
      <formula>OR(#ref!="X",#ref!="X")</formula>
    </cfRule>
    <cfRule type="expression" priority="18" aboveAverage="0" equalAverage="0" bottom="0" percent="0" rank="0" text="" dxfId="4119">
      <formula>AND(#ref!=1,#ref!=1)</formula>
    </cfRule>
    <cfRule type="expression" priority="19" aboveAverage="0" equalAverage="0" bottom="0" percent="0" rank="0" text="" dxfId="4120">
      <formula>#ref!=1</formula>
    </cfRule>
    <cfRule type="expression" priority="20" aboveAverage="0" equalAverage="0" bottom="0" percent="0" rank="0" text="" dxfId="4121">
      <formula>AND($L26="X",OR($B26&lt;&gt;"",$C26&lt;&gt;"",$D26&lt;&gt;"",$E26&lt;&gt;""))</formula>
    </cfRule>
    <cfRule type="expression" priority="21" aboveAverage="0" equalAverage="0" bottom="0" percent="0" rank="0" text="" dxfId="4122">
      <formula>AND($L26="X",OR($B26&lt;&gt;"",$C26&lt;&gt;"",$E26&lt;&gt;"",#ref!&lt;&gt;""))</formula>
    </cfRule>
    <cfRule type="expression" priority="22" aboveAverage="0" equalAverage="0" bottom="0" percent="0" rank="0" text="" dxfId="4123">
      <formula>#ref!=1</formula>
    </cfRule>
    <cfRule type="expression" priority="23" aboveAverage="0" equalAverage="0" bottom="0" percent="0" rank="0" text="" dxfId="4124">
      <formula>AND($L26="X",OR($B26&lt;&gt;"",$C26&lt;&gt;"",$D26&lt;&gt;""))</formula>
    </cfRule>
    <cfRule type="expression" priority="24" aboveAverage="0" equalAverage="0" bottom="0" percent="0" rank="0" text="" dxfId="4125">
      <formula>AND(#ref!=1,#ref!=1)</formula>
    </cfRule>
    <cfRule type="expression" priority="25" aboveAverage="0" equalAverage="0" bottom="0" percent="0" rank="0" text="" dxfId="4126">
      <formula>#ref!=1</formula>
    </cfRule>
    <cfRule type="expression" priority="26" aboveAverage="0" equalAverage="0" bottom="0" percent="0" rank="0" text="" dxfId="4127">
      <formula>AND($L26="X",$B26&lt;&gt;"")</formula>
    </cfRule>
    <cfRule type="expression" priority="27" aboveAverage="0" equalAverage="0" bottom="0" percent="0" rank="0" text="" dxfId="4128">
      <formula>AND($L26="X",OR($B26&lt;&gt;"",$C26&lt;&gt;""))</formula>
    </cfRule>
  </conditionalFormatting>
  <conditionalFormatting sqref="E3">
    <cfRule type="dataBar" priority="28">
      <dataBar showValue="1" minLength="10" maxLength="90">
        <cfvo type="num" val="0"/>
        <cfvo type="num" val="1"/>
        <color rgb="FF63C384"/>
      </dataBar>
      <extLst>
        <ext xmlns:x14="http://schemas.microsoft.com/office/spreadsheetml/2009/9/main" uri="{B025F937-C7B1-47D3-B67F-A62EFF666E3E}">
          <x14:id>{165F8A60-5E7B-47C0-933C-94223E5C7AAB}</x14:id>
        </ext>
      </extLst>
    </cfRule>
  </conditionalFormatting>
  <conditionalFormatting sqref="E26">
    <cfRule type="expression" priority="29" aboveAverage="0" equalAverage="0" bottom="0" percent="0" rank="0" text="" dxfId="4129">
      <formula>AND($L26="X",OR($B26&lt;&gt;"",$C26&lt;&gt;"",$D26&lt;&gt;"",$E26&lt;&gt;""))</formula>
    </cfRule>
  </conditionalFormatting>
  <conditionalFormatting sqref="E26:E28">
    <cfRule type="expression" priority="30" aboveAverage="0" equalAverage="0" bottom="0" percent="0" rank="0" text="" dxfId="4130">
      <formula>AND($L26="X",OR($B26&lt;&gt;"",$C26&lt;&gt;"",$E26&lt;&gt;"",#ref!&lt;&gt;""))</formula>
    </cfRule>
  </conditionalFormatting>
  <conditionalFormatting sqref="E26:G26">
    <cfRule type="expression" priority="31" aboveAverage="0" equalAverage="0" bottom="0" percent="0" rank="0" text="" dxfId="4131">
      <formula>AND($L26="X",OR($B26&lt;&gt;"",$C26&lt;&gt;"",$D26&lt;&gt;""))</formula>
    </cfRule>
    <cfRule type="expression" priority="32" aboveAverage="0" equalAverage="0" bottom="0" percent="0" rank="0" text="" dxfId="4132">
      <formula>AND($L26="X",OR($B26&lt;&gt;"",$C26&lt;&gt;""))</formula>
    </cfRule>
  </conditionalFormatting>
  <conditionalFormatting sqref="F1">
    <cfRule type="dataBar" priority="33">
      <dataBar showValue="1" minLength="10" maxLength="90">
        <cfvo type="num" val="0"/>
        <cfvo type="num" val="1"/>
        <color rgb="FF63C384"/>
      </dataBar>
      <extLst>
        <ext xmlns:x14="http://schemas.microsoft.com/office/spreadsheetml/2009/9/main" uri="{B025F937-C7B1-47D3-B67F-A62EFF666E3E}">
          <x14:id>{1E8ED817-9C53-45A9-95FD-429CA81D2185}</x14:id>
        </ext>
      </extLst>
    </cfRule>
  </conditionalFormatting>
  <conditionalFormatting sqref="F26:F28">
    <cfRule type="expression" priority="34" aboveAverage="0" equalAverage="0" bottom="0" percent="0" rank="0" text="" dxfId="4133">
      <formula>AND($L26="X",OR($B26&lt;&gt;"",$C26&lt;&gt;"",$E26&lt;&gt;"",#ref!&lt;&gt;"",$F26&lt;&gt;""))</formula>
    </cfRule>
  </conditionalFormatting>
  <conditionalFormatting sqref="F26:G26">
    <cfRule type="expression" priority="35" aboveAverage="0" equalAverage="0" bottom="0" percent="0" rank="0" text="" dxfId="4134">
      <formula>AND($L26="X",OR($B26&lt;&gt;"",$C26&lt;&gt;"",$D26&lt;&gt;"",$E26&lt;&gt;"",$F26&lt;&gt;""))</formula>
    </cfRule>
    <cfRule type="expression" priority="36" aboveAverage="0" equalAverage="0" bottom="0" percent="0" rank="0" text="" dxfId="4135">
      <formula>AND($L26="X",OR($B26&lt;&gt;"",$C26&lt;&gt;"",$E26&lt;&gt;"",#ref!&lt;&gt;""))</formula>
    </cfRule>
    <cfRule type="expression" priority="37" aboveAverage="0" equalAverage="0" bottom="0" percent="0" rank="0" text="" dxfId="4136">
      <formula>AND($L26="X",OR($B26&lt;&gt;"",$C26&lt;&gt;"",$D26&lt;&gt;"",$E26&lt;&gt;""))</formula>
    </cfRule>
  </conditionalFormatting>
  <conditionalFormatting sqref="G26">
    <cfRule type="expression" priority="38" aboveAverage="0" equalAverage="0" bottom="0" percent="0" rank="0" text="" dxfId="4137">
      <formula>OR(#ref!="X",#ref!="X")</formula>
    </cfRule>
    <cfRule type="expression" priority="39" aboveAverage="0" equalAverage="0" bottom="0" percent="0" rank="0" text="" dxfId="4138">
      <formula>AND(#ref!=1,#ref!=1)</formula>
    </cfRule>
    <cfRule type="expression" priority="40" aboveAverage="0" equalAverage="0" bottom="0" percent="0" rank="0" text="" dxfId="4139">
      <formula>#ref!=1</formula>
    </cfRule>
    <cfRule type="expression" priority="41" aboveAverage="0" equalAverage="0" bottom="0" percent="0" rank="0" text="" dxfId="4140">
      <formula>#ref!=1</formula>
    </cfRule>
    <cfRule type="expression" priority="42" aboveAverage="0" equalAverage="0" bottom="0" percent="0" rank="0" text="" dxfId="4141">
      <formula>AND(NOT(ISBLANK(#ref!)),ISBLANK(#ref!),ISBLANK(#ref!))</formula>
    </cfRule>
    <cfRule type="expression" priority="43" aboveAverage="0" equalAverage="0" bottom="0" percent="0" rank="0" text="" dxfId="4142">
      <formula>AND($L26="X",OR($B26&lt;&gt;"",$C26&lt;&gt;"",$E26&lt;&gt;"",#ref!&lt;&gt;"",$F26&lt;&gt;""))</formula>
    </cfRule>
  </conditionalFormatting>
  <conditionalFormatting sqref="H27:H28">
    <cfRule type="expression" priority="44" aboveAverage="0" equalAverage="0" bottom="0" percent="0" rank="0" text="" dxfId="4143">
      <formula>$L27="X"</formula>
    </cfRule>
  </conditionalFormatting>
  <conditionalFormatting sqref="H61:H62 H82:H922">
    <cfRule type="expression" priority="45" aboveAverage="0" equalAverage="0" bottom="0" percent="0" rank="0" text="" dxfId="4144">
      <formula>$K61="X"</formula>
    </cfRule>
  </conditionalFormatting>
  <conditionalFormatting sqref="I27:I30">
    <cfRule type="expression" priority="46" aboveAverage="0" equalAverage="0" bottom="0" percent="0" rank="0" text="" dxfId="4145">
      <formula>$L27="X"</formula>
    </cfRule>
  </conditionalFormatting>
  <conditionalFormatting sqref="K9:K59">
    <cfRule type="cellIs" priority="47" operator="equal" aboveAverage="0" equalAverage="0" bottom="0" percent="0" rank="0" text="" dxfId="4146">
      <formula>"1..1"</formula>
    </cfRule>
    <cfRule type="cellIs" priority="48" operator="equal" aboveAverage="0" equalAverage="0" bottom="0" percent="0" rank="0" text="" dxfId="4147">
      <formula>"0..n"</formula>
    </cfRule>
    <cfRule type="cellIs" priority="49" operator="equal" aboveAverage="0" equalAverage="0" bottom="0" percent="0" rank="0" text="" dxfId="4148">
      <formula>"0..1"</formula>
    </cfRule>
  </conditionalFormatting>
  <hyperlinks>
    <hyperlink ref="I17"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165F8A60-5E7B-47C0-933C-94223E5C7AA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1E8ED817-9C53-45A9-95FD-429CA81D2185}">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23.12"/>
    <col collapsed="false" customWidth="true" hidden="false" outlineLevel="0" max="3" min="3" style="30" width="19.37"/>
    <col collapsed="false" customWidth="true" hidden="false" outlineLevel="0" max="5" min="4" style="30" width="11.13"/>
    <col collapsed="false" customWidth="true" hidden="false" outlineLevel="0" max="6" min="6" style="30" width="11"/>
    <col collapsed="false" customWidth="true" hidden="false" outlineLevel="0" max="7" min="7" style="31" width="10.13"/>
    <col collapsed="false" customWidth="true" hidden="false" outlineLevel="0" max="8" min="8" style="31" width="26.12"/>
    <col collapsed="false" customWidth="true" hidden="false" outlineLevel="0" max="9" min="9" style="60" width="20.62"/>
    <col collapsed="false" customWidth="true" hidden="false" outlineLevel="0" max="10" min="10" style="32" width="17.8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6" min="16" style="0" width="4.38"/>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0" t="s">
        <v>2757</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2758</v>
      </c>
      <c r="B3" s="75" t="s">
        <v>2361</v>
      </c>
      <c r="C3" s="80" t="s">
        <v>2759</v>
      </c>
      <c r="D3" s="75" t="s">
        <v>2760</v>
      </c>
      <c r="E3" s="75"/>
      <c r="F3" s="75"/>
      <c r="G3" s="75" t="s">
        <v>90</v>
      </c>
      <c r="H3" s="75" t="s">
        <v>91</v>
      </c>
      <c r="I3" s="75" t="s">
        <v>90</v>
      </c>
      <c r="J3" s="81" t="s">
        <v>2761</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2361</v>
      </c>
      <c r="P8" s="249" t="s">
        <v>111</v>
      </c>
    </row>
    <row r="9" s="67" customFormat="true" ht="13.5" hidden="false" customHeight="true" outlineLevel="0" collapsed="false">
      <c r="A9" s="273" t="n">
        <f aca="false">ROW()-8</f>
        <v>1</v>
      </c>
      <c r="B9" s="261" t="s">
        <v>2762</v>
      </c>
      <c r="C9" s="261"/>
      <c r="D9" s="261"/>
      <c r="E9" s="261"/>
      <c r="F9" s="261"/>
      <c r="G9" s="261"/>
      <c r="H9" s="62" t="s">
        <v>2700</v>
      </c>
      <c r="I9" s="158" t="s">
        <v>1205</v>
      </c>
      <c r="J9" s="158" t="s">
        <v>1206</v>
      </c>
      <c r="K9" s="256" t="s">
        <v>117</v>
      </c>
      <c r="L9" s="257"/>
      <c r="M9" s="256" t="s">
        <v>118</v>
      </c>
      <c r="N9" s="287" t="s">
        <v>2763</v>
      </c>
      <c r="O9" s="259" t="s">
        <v>119</v>
      </c>
      <c r="P9" s="260"/>
    </row>
    <row r="10" s="67" customFormat="true" ht="13.5" hidden="false" customHeight="true" outlineLevel="0" collapsed="false">
      <c r="A10" s="273" t="n">
        <f aca="false">ROW()-8</f>
        <v>2</v>
      </c>
      <c r="B10" s="261" t="s">
        <v>2764</v>
      </c>
      <c r="C10" s="261"/>
      <c r="D10" s="261"/>
      <c r="E10" s="261"/>
      <c r="F10" s="261"/>
      <c r="G10" s="261"/>
      <c r="H10" s="256" t="s">
        <v>2765</v>
      </c>
      <c r="I10" s="63" t="s">
        <v>1633</v>
      </c>
      <c r="J10" s="63" t="s">
        <v>1634</v>
      </c>
      <c r="K10" s="62" t="s">
        <v>163</v>
      </c>
      <c r="L10" s="130"/>
      <c r="M10" s="63" t="s">
        <v>118</v>
      </c>
      <c r="N10" s="63" t="s">
        <v>1635</v>
      </c>
      <c r="O10" s="259" t="s">
        <v>119</v>
      </c>
      <c r="P10" s="260"/>
    </row>
    <row r="11" s="67" customFormat="true" ht="13.5" hidden="false" customHeight="true" outlineLevel="0" collapsed="false">
      <c r="A11" s="273" t="n">
        <f aca="false">ROW()-8</f>
        <v>3</v>
      </c>
      <c r="B11" s="261" t="s">
        <v>2713</v>
      </c>
      <c r="C11" s="261"/>
      <c r="D11" s="261"/>
      <c r="E11" s="261"/>
      <c r="F11" s="261"/>
      <c r="G11" s="261"/>
      <c r="H11" s="256" t="s">
        <v>2766</v>
      </c>
      <c r="I11" s="158" t="s">
        <v>1214</v>
      </c>
      <c r="J11" s="158" t="s">
        <v>1215</v>
      </c>
      <c r="K11" s="256" t="s">
        <v>117</v>
      </c>
      <c r="L11" s="257"/>
      <c r="M11" s="256" t="s">
        <v>134</v>
      </c>
      <c r="N11" s="256"/>
      <c r="O11" s="259"/>
      <c r="P11" s="260"/>
    </row>
    <row r="12" s="67" customFormat="true" ht="13.5" hidden="false" customHeight="true" outlineLevel="0" collapsed="false">
      <c r="A12" s="276" t="n">
        <f aca="false">ROW()-8</f>
        <v>4</v>
      </c>
      <c r="B12" s="262" t="s">
        <v>2767</v>
      </c>
      <c r="C12" s="269"/>
      <c r="D12" s="269"/>
      <c r="E12" s="269"/>
      <c r="F12" s="269"/>
      <c r="G12" s="269"/>
      <c r="H12" s="284"/>
      <c r="I12" s="271"/>
      <c r="J12" s="158" t="s">
        <v>2768</v>
      </c>
      <c r="K12" s="256" t="s">
        <v>163</v>
      </c>
      <c r="L12" s="257" t="s">
        <v>119</v>
      </c>
      <c r="M12" s="268" t="s">
        <v>2768</v>
      </c>
      <c r="N12" s="256"/>
      <c r="O12" s="288"/>
      <c r="P12" s="260"/>
    </row>
    <row r="13" s="67" customFormat="true" ht="13.5" hidden="false" customHeight="true" outlineLevel="0" collapsed="false">
      <c r="A13" s="276" t="n">
        <f aca="false">ROW()-8</f>
        <v>5</v>
      </c>
      <c r="B13" s="262"/>
      <c r="C13" s="261" t="s">
        <v>2769</v>
      </c>
      <c r="D13" s="261"/>
      <c r="E13" s="261"/>
      <c r="F13" s="261"/>
      <c r="G13" s="261"/>
      <c r="H13" s="256" t="s">
        <v>2770</v>
      </c>
      <c r="I13" s="158" t="s">
        <v>2771</v>
      </c>
      <c r="J13" s="158" t="s">
        <v>2772</v>
      </c>
      <c r="K13" s="256" t="s">
        <v>163</v>
      </c>
      <c r="L13" s="257"/>
      <c r="M13" s="275" t="s">
        <v>118</v>
      </c>
      <c r="N13" s="256"/>
      <c r="O13" s="288"/>
      <c r="P13" s="260"/>
    </row>
    <row r="14" s="67" customFormat="true" ht="13.5" hidden="false" customHeight="true" outlineLevel="0" collapsed="false">
      <c r="A14" s="276" t="n">
        <f aca="false">ROW()-8</f>
        <v>6</v>
      </c>
      <c r="B14" s="262"/>
      <c r="C14" s="261" t="s">
        <v>2773</v>
      </c>
      <c r="D14" s="261"/>
      <c r="E14" s="261"/>
      <c r="F14" s="261"/>
      <c r="G14" s="261"/>
      <c r="H14" s="256" t="s">
        <v>2774</v>
      </c>
      <c r="I14" s="158" t="s">
        <v>2775</v>
      </c>
      <c r="J14" s="158" t="s">
        <v>2776</v>
      </c>
      <c r="K14" s="256" t="s">
        <v>163</v>
      </c>
      <c r="L14" s="257"/>
      <c r="M14" s="275" t="s">
        <v>118</v>
      </c>
      <c r="N14" s="256"/>
      <c r="O14" s="288"/>
      <c r="P14" s="260"/>
    </row>
    <row r="15" s="67" customFormat="true" ht="13.5" hidden="false" customHeight="true" outlineLevel="0" collapsed="false">
      <c r="A15" s="276" t="n">
        <f aca="false">ROW()-8</f>
        <v>7</v>
      </c>
      <c r="B15" s="262" t="s">
        <v>2777</v>
      </c>
      <c r="C15" s="261"/>
      <c r="D15" s="261"/>
      <c r="E15" s="261"/>
      <c r="F15" s="261"/>
      <c r="G15" s="261"/>
      <c r="H15" s="256" t="s">
        <v>2778</v>
      </c>
      <c r="I15" s="158" t="s">
        <v>2779</v>
      </c>
      <c r="J15" s="158" t="s">
        <v>1252</v>
      </c>
      <c r="K15" s="256" t="s">
        <v>163</v>
      </c>
      <c r="L15" s="257"/>
      <c r="M15" s="256" t="s">
        <v>118</v>
      </c>
      <c r="N15" s="256"/>
      <c r="O15" s="259" t="s">
        <v>119</v>
      </c>
      <c r="P15" s="260"/>
    </row>
    <row r="16" s="67" customFormat="true" ht="13.5" hidden="false" customHeight="true" outlineLevel="0" collapsed="false">
      <c r="A16" s="273" t="n">
        <f aca="false">ROW()-8</f>
        <v>8</v>
      </c>
      <c r="B16" s="141" t="s">
        <v>2780</v>
      </c>
      <c r="C16" s="280"/>
      <c r="D16" s="269"/>
      <c r="E16" s="269"/>
      <c r="F16" s="269"/>
      <c r="G16" s="263"/>
      <c r="H16" s="254"/>
      <c r="I16" s="264"/>
      <c r="J16" s="137" t="s">
        <v>2781</v>
      </c>
      <c r="K16" s="244" t="s">
        <v>148</v>
      </c>
      <c r="L16" s="147" t="s">
        <v>119</v>
      </c>
      <c r="M16" s="146" t="s">
        <v>2781</v>
      </c>
      <c r="N16" s="256"/>
      <c r="O16" s="259" t="s">
        <v>119</v>
      </c>
      <c r="P16" s="260"/>
    </row>
    <row r="17" s="67" customFormat="true" ht="13.5" hidden="false" customHeight="true" outlineLevel="0" collapsed="false">
      <c r="A17" s="273" t="n">
        <f aca="false">ROW()-8</f>
        <v>9</v>
      </c>
      <c r="B17" s="141"/>
      <c r="C17" s="141" t="s">
        <v>2782</v>
      </c>
      <c r="D17" s="261"/>
      <c r="E17" s="261"/>
      <c r="F17" s="261"/>
      <c r="G17" s="261"/>
      <c r="H17" s="256" t="s">
        <v>2783</v>
      </c>
      <c r="I17" s="158" t="s">
        <v>2784</v>
      </c>
      <c r="J17" s="137" t="s">
        <v>2785</v>
      </c>
      <c r="K17" s="62" t="s">
        <v>163</v>
      </c>
      <c r="L17" s="147"/>
      <c r="M17" s="275" t="s">
        <v>118</v>
      </c>
      <c r="N17" s="256"/>
      <c r="O17" s="259" t="s">
        <v>119</v>
      </c>
      <c r="P17" s="260"/>
    </row>
    <row r="18" s="67" customFormat="true" ht="13.5" hidden="false" customHeight="true" outlineLevel="0" collapsed="false">
      <c r="A18" s="273" t="n">
        <f aca="false">ROW()-8</f>
        <v>10</v>
      </c>
      <c r="B18" s="262"/>
      <c r="C18" s="277" t="s">
        <v>2715</v>
      </c>
      <c r="D18" s="261"/>
      <c r="E18" s="261"/>
      <c r="F18" s="261"/>
      <c r="G18" s="261"/>
      <c r="H18" s="256" t="s">
        <v>2786</v>
      </c>
      <c r="I18" s="274" t="s">
        <v>2717</v>
      </c>
      <c r="J18" s="137" t="s">
        <v>2718</v>
      </c>
      <c r="K18" s="62" t="s">
        <v>117</v>
      </c>
      <c r="L18" s="257"/>
      <c r="M18" s="275" t="s">
        <v>118</v>
      </c>
      <c r="N18" s="256"/>
      <c r="O18" s="259" t="s">
        <v>119</v>
      </c>
      <c r="P18" s="260"/>
    </row>
    <row r="19" s="67" customFormat="true" ht="12" hidden="false" customHeight="true" outlineLevel="0" collapsed="false">
      <c r="A19" s="60"/>
      <c r="C19" s="60"/>
      <c r="D19" s="60"/>
      <c r="E19" s="60"/>
      <c r="F19" s="60"/>
      <c r="G19" s="60"/>
      <c r="H19" s="60"/>
      <c r="I19" s="60"/>
      <c r="J19" s="69"/>
      <c r="K19" s="60"/>
      <c r="L19" s="70"/>
      <c r="M19" s="60"/>
      <c r="N19" s="60"/>
      <c r="O19" s="60"/>
    </row>
  </sheetData>
  <conditionalFormatting sqref="A20:F21 A41:F881">
    <cfRule type="expression" priority="2" aboveAverage="0" equalAverage="0" bottom="0" percent="0" rank="0" text="" dxfId="4149">
      <formula>OR(#ref!="X",#ref!="X")</formula>
    </cfRule>
    <cfRule type="expression" priority="3" aboveAverage="0" equalAverage="0" bottom="0" percent="0" rank="0" text="" dxfId="4150">
      <formula>AND(#ref!=1,#ref!=1)</formula>
    </cfRule>
    <cfRule type="expression" priority="4" aboveAverage="0" equalAverage="0" bottom="0" percent="0" rank="0" text="" dxfId="4151">
      <formula>#ref!=1</formula>
    </cfRule>
    <cfRule type="expression" priority="5" aboveAverage="0" equalAverage="0" bottom="0" percent="0" rank="0" text="" dxfId="4152">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{70D8926F-AF37-47B0-92E5-5ECA159050F6}</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{D8C2C863-5BA8-4A3B-882F-70C74978A45B}</x14:id>
        </ext>
      </extLst>
    </cfRule>
  </conditionalFormatting>
  <conditionalFormatting sqref="H20:H21 H41:H881">
    <cfRule type="expression" priority="8" aboveAverage="0" equalAverage="0" bottom="0" percent="0" rank="0" text="" dxfId="4153">
      <formula>$K20="X"</formula>
    </cfRule>
  </conditionalFormatting>
  <conditionalFormatting sqref="I10">
    <cfRule type="expression" priority="9" aboveAverage="0" equalAverage="0" bottom="0" percent="0" rank="0" text="" dxfId="4154">
      <formula>$L10="X"</formula>
    </cfRule>
  </conditionalFormatting>
  <conditionalFormatting sqref="K9:K18">
    <cfRule type="cellIs" priority="10" operator="equal" aboveAverage="0" equalAverage="0" bottom="0" percent="0" rank="0" text="" dxfId="4155">
      <formula>"1..1"</formula>
    </cfRule>
    <cfRule type="cellIs" priority="11" operator="equal" aboveAverage="0" equalAverage="0" bottom="0" percent="0" rank="0" text="" dxfId="4156">
      <formula>"0..n"</formula>
    </cfRule>
    <cfRule type="cellIs" priority="12" operator="equal" aboveAverage="0" equalAverage="0" bottom="0" percent="0" rank="0" text="" dxfId="4157">
      <formula>"0..1"</formula>
    </cfRule>
  </conditionalFormatting>
  <hyperlinks>
    <hyperlink ref="I18"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70D8926F-AF37-47B0-92E5-5ECA159050F6}">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D8C2C863-5BA8-4A3B-882F-70C74978A45B}">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R92"/>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J13" activeCellId="0" sqref="J13"/>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41.63"/>
    <col collapsed="false" customWidth="true" hidden="false" outlineLevel="0" max="3" min="3" style="30" width="39.64"/>
    <col collapsed="false" customWidth="true" hidden="false" outlineLevel="0" max="4" min="4" style="30" width="34.13"/>
    <col collapsed="false" customWidth="true" hidden="false" outlineLevel="0" max="5" min="5" style="30" width="10.51"/>
    <col collapsed="false" customWidth="true" hidden="false" outlineLevel="0" max="6" min="6" style="30" width="11"/>
    <col collapsed="false" customWidth="true" hidden="false" outlineLevel="0" max="7" min="7" style="31" width="9.63"/>
    <col collapsed="false" customWidth="true" hidden="false" outlineLevel="0" max="8" min="8" style="31" width="62.87"/>
    <col collapsed="false" customWidth="true" hidden="false" outlineLevel="0" max="9" min="9" style="60" width="26.5"/>
    <col collapsed="false" customWidth="true" hidden="false" outlineLevel="0" max="10" min="10" style="32" width="17"/>
    <col collapsed="false" customWidth="true" hidden="false" outlineLevel="0" max="11" min="11" style="31" width="10.51"/>
    <col collapsed="false" customWidth="true" hidden="false" outlineLevel="0" max="12" min="12" style="31" width="6"/>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7" min="16" style="31" width="8.13"/>
    <col collapsed="false" customWidth="true" hidden="false" outlineLevel="0" max="18" min="18" style="0" width="5.13"/>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2787</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7"/>
      <c r="O2" s="77"/>
      <c r="P2" s="77"/>
      <c r="Q2" s="77"/>
    </row>
    <row r="3" s="76" customFormat="true" ht="13.5" hidden="false" customHeight="true" outlineLevel="0" collapsed="false">
      <c r="A3" s="75" t="s">
        <v>2788</v>
      </c>
      <c r="B3" s="75" t="s">
        <v>2361</v>
      </c>
      <c r="C3" s="80" t="s">
        <v>2789</v>
      </c>
      <c r="D3" s="75" t="s">
        <v>2790</v>
      </c>
      <c r="E3" s="75"/>
      <c r="F3" s="75"/>
      <c r="G3" s="75" t="s">
        <v>90</v>
      </c>
      <c r="H3" s="75" t="s">
        <v>91</v>
      </c>
      <c r="I3" s="75" t="s">
        <v>90</v>
      </c>
      <c r="J3" s="81"/>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289" t="s">
        <v>93</v>
      </c>
      <c r="P7" s="289"/>
      <c r="Q7" s="289"/>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2361</v>
      </c>
      <c r="Q8" s="123" t="s">
        <v>2791</v>
      </c>
      <c r="R8" s="124" t="s">
        <v>111</v>
      </c>
    </row>
    <row r="9" s="67" customFormat="true" ht="13.5" hidden="false" customHeight="true" outlineLevel="0" collapsed="false">
      <c r="A9" s="60" t="n">
        <v>1</v>
      </c>
      <c r="B9" s="285" t="s">
        <v>2792</v>
      </c>
      <c r="C9" s="141"/>
      <c r="D9" s="129"/>
      <c r="E9" s="129"/>
      <c r="F9" s="129"/>
      <c r="G9" s="129"/>
      <c r="H9" s="62" t="s">
        <v>2793</v>
      </c>
      <c r="I9" s="98" t="s">
        <v>1936</v>
      </c>
      <c r="J9" s="63" t="s">
        <v>1206</v>
      </c>
      <c r="K9" s="62" t="s">
        <v>117</v>
      </c>
      <c r="L9" s="64"/>
      <c r="M9" s="62" t="s">
        <v>118</v>
      </c>
      <c r="N9" s="62"/>
      <c r="O9" s="65"/>
      <c r="P9" s="65" t="s">
        <v>119</v>
      </c>
      <c r="Q9" s="65"/>
      <c r="R9" s="290"/>
    </row>
    <row r="10" s="67" customFormat="true" ht="13.5" hidden="false" customHeight="true" outlineLevel="0" collapsed="false">
      <c r="A10" s="60" t="n">
        <v>2</v>
      </c>
      <c r="B10" s="285" t="s">
        <v>2794</v>
      </c>
      <c r="C10" s="141"/>
      <c r="D10" s="133"/>
      <c r="E10" s="133"/>
      <c r="F10" s="133"/>
      <c r="G10" s="133"/>
      <c r="H10" s="62" t="s">
        <v>2795</v>
      </c>
      <c r="I10" s="61" t="s">
        <v>2002</v>
      </c>
      <c r="J10" s="63" t="s">
        <v>1211</v>
      </c>
      <c r="K10" s="62" t="s">
        <v>163</v>
      </c>
      <c r="L10" s="64"/>
      <c r="M10" s="62" t="s">
        <v>118</v>
      </c>
      <c r="N10" s="62"/>
      <c r="O10" s="65"/>
      <c r="P10" s="65" t="s">
        <v>119</v>
      </c>
      <c r="Q10" s="65"/>
      <c r="R10" s="290"/>
    </row>
    <row r="11" s="67" customFormat="true" ht="13.5" hidden="false" customHeight="true" outlineLevel="0" collapsed="false">
      <c r="A11" s="60" t="n">
        <v>3</v>
      </c>
      <c r="B11" s="127" t="s">
        <v>2796</v>
      </c>
      <c r="C11" s="141"/>
      <c r="D11" s="129"/>
      <c r="E11" s="129"/>
      <c r="F11" s="129"/>
      <c r="G11" s="129"/>
      <c r="H11" s="62"/>
      <c r="I11" s="63" t="s">
        <v>1214</v>
      </c>
      <c r="J11" s="63" t="s">
        <v>1215</v>
      </c>
      <c r="K11" s="62" t="s">
        <v>117</v>
      </c>
      <c r="L11" s="64"/>
      <c r="M11" s="62" t="s">
        <v>134</v>
      </c>
      <c r="N11" s="62"/>
      <c r="O11" s="65"/>
      <c r="P11" s="65" t="s">
        <v>119</v>
      </c>
      <c r="Q11" s="65"/>
      <c r="R11" s="290"/>
    </row>
    <row r="12" s="67" customFormat="true" ht="13.5" hidden="false" customHeight="true" outlineLevel="0" collapsed="false">
      <c r="A12" s="60" t="n">
        <v>4</v>
      </c>
      <c r="B12" s="164" t="s">
        <v>1600</v>
      </c>
      <c r="C12" s="291"/>
      <c r="D12" s="292"/>
      <c r="E12" s="292"/>
      <c r="F12" s="292"/>
      <c r="G12" s="292"/>
      <c r="H12" s="293"/>
      <c r="I12" s="294"/>
      <c r="J12" s="63" t="s">
        <v>1602</v>
      </c>
      <c r="K12" s="62" t="s">
        <v>117</v>
      </c>
      <c r="L12" s="64" t="s">
        <v>119</v>
      </c>
      <c r="M12" s="149" t="s">
        <v>1602</v>
      </c>
      <c r="N12" s="62"/>
      <c r="O12" s="65"/>
      <c r="P12" s="65" t="s">
        <v>119</v>
      </c>
      <c r="Q12" s="65"/>
      <c r="R12" s="290"/>
    </row>
    <row r="13" s="67" customFormat="true" ht="13.5" hidden="false" customHeight="true" outlineLevel="0" collapsed="false">
      <c r="A13" s="60" t="n">
        <v>5</v>
      </c>
      <c r="B13" s="127"/>
      <c r="C13" s="127" t="s">
        <v>2797</v>
      </c>
      <c r="D13" s="129"/>
      <c r="E13" s="129"/>
      <c r="F13" s="129"/>
      <c r="G13" s="129"/>
      <c r="H13" s="62"/>
      <c r="I13" s="63"/>
      <c r="J13" s="63" t="s">
        <v>2718</v>
      </c>
      <c r="K13" s="62" t="s">
        <v>117</v>
      </c>
      <c r="L13" s="64"/>
      <c r="M13" s="152" t="s">
        <v>118</v>
      </c>
      <c r="N13" s="62"/>
      <c r="O13" s="65"/>
      <c r="P13" s="65" t="s">
        <v>119</v>
      </c>
      <c r="Q13" s="65"/>
      <c r="R13" s="290"/>
    </row>
    <row r="14" s="67" customFormat="true" ht="13.5" hidden="false" customHeight="true" outlineLevel="0" collapsed="false">
      <c r="A14" s="60" t="n">
        <v>6</v>
      </c>
      <c r="B14" s="127"/>
      <c r="C14" s="141" t="s">
        <v>2798</v>
      </c>
      <c r="D14" s="129"/>
      <c r="E14" s="129"/>
      <c r="F14" s="129"/>
      <c r="G14" s="129"/>
      <c r="H14" s="62"/>
      <c r="I14" s="63"/>
      <c r="J14" s="63" t="s">
        <v>2799</v>
      </c>
      <c r="K14" s="62" t="s">
        <v>117</v>
      </c>
      <c r="L14" s="64"/>
      <c r="M14" s="152" t="s">
        <v>118</v>
      </c>
      <c r="N14" s="62"/>
      <c r="O14" s="65"/>
      <c r="P14" s="65" t="s">
        <v>119</v>
      </c>
      <c r="Q14" s="65"/>
      <c r="R14" s="290"/>
    </row>
    <row r="15" s="67" customFormat="true" ht="13.5" hidden="false" customHeight="true" outlineLevel="0" collapsed="false">
      <c r="A15" s="60" t="n">
        <v>7</v>
      </c>
      <c r="B15" s="127"/>
      <c r="C15" s="141" t="s">
        <v>2800</v>
      </c>
      <c r="D15" s="129"/>
      <c r="E15" s="129"/>
      <c r="F15" s="129"/>
      <c r="G15" s="129"/>
      <c r="H15" s="62"/>
      <c r="I15" s="63"/>
      <c r="J15" s="63" t="s">
        <v>2801</v>
      </c>
      <c r="K15" s="62" t="s">
        <v>163</v>
      </c>
      <c r="L15" s="64"/>
      <c r="M15" s="152" t="s">
        <v>118</v>
      </c>
      <c r="N15" s="62"/>
      <c r="O15" s="65"/>
      <c r="P15" s="65" t="s">
        <v>119</v>
      </c>
      <c r="Q15" s="65"/>
      <c r="R15" s="290"/>
    </row>
    <row r="16" s="67" customFormat="true" ht="13.5" hidden="false" customHeight="true" outlineLevel="0" collapsed="false">
      <c r="A16" s="60" t="n">
        <v>8</v>
      </c>
      <c r="B16" s="127"/>
      <c r="C16" s="141" t="s">
        <v>2802</v>
      </c>
      <c r="D16" s="129"/>
      <c r="E16" s="129"/>
      <c r="F16" s="129"/>
      <c r="G16" s="129"/>
      <c r="H16" s="62"/>
      <c r="I16" s="63"/>
      <c r="J16" s="63" t="s">
        <v>1840</v>
      </c>
      <c r="K16" s="62" t="s">
        <v>1247</v>
      </c>
      <c r="L16" s="64"/>
      <c r="M16" s="152" t="s">
        <v>118</v>
      </c>
      <c r="N16" s="62"/>
      <c r="O16" s="65"/>
      <c r="P16" s="65" t="s">
        <v>119</v>
      </c>
      <c r="Q16" s="65"/>
      <c r="R16" s="290"/>
    </row>
    <row r="17" s="67" customFormat="true" ht="13.5" hidden="false" customHeight="true" outlineLevel="0" collapsed="false">
      <c r="A17" s="60" t="n">
        <v>9</v>
      </c>
      <c r="B17" s="164" t="s">
        <v>2803</v>
      </c>
      <c r="C17" s="291"/>
      <c r="D17" s="292"/>
      <c r="E17" s="292"/>
      <c r="F17" s="292"/>
      <c r="G17" s="292"/>
      <c r="H17" s="293"/>
      <c r="I17" s="293"/>
      <c r="J17" s="63" t="s">
        <v>1630</v>
      </c>
      <c r="K17" s="62" t="s">
        <v>117</v>
      </c>
      <c r="L17" s="64" t="s">
        <v>119</v>
      </c>
      <c r="M17" s="149" t="s">
        <v>1630</v>
      </c>
      <c r="N17" s="62"/>
      <c r="O17" s="65"/>
      <c r="P17" s="65" t="s">
        <v>119</v>
      </c>
      <c r="Q17" s="65"/>
      <c r="R17" s="290"/>
    </row>
    <row r="18" s="67" customFormat="true" ht="13.5" hidden="false" customHeight="true" outlineLevel="0" collapsed="false">
      <c r="A18" s="60" t="n">
        <v>10</v>
      </c>
      <c r="B18" s="127"/>
      <c r="C18" s="141" t="s">
        <v>1631</v>
      </c>
      <c r="D18" s="129"/>
      <c r="E18" s="129"/>
      <c r="F18" s="129"/>
      <c r="G18" s="129"/>
      <c r="H18" s="62" t="s">
        <v>2804</v>
      </c>
      <c r="I18" s="62" t="s">
        <v>2805</v>
      </c>
      <c r="J18" s="63" t="s">
        <v>2806</v>
      </c>
      <c r="K18" s="62" t="s">
        <v>117</v>
      </c>
      <c r="L18" s="64"/>
      <c r="M18" s="63" t="s">
        <v>118</v>
      </c>
      <c r="N18" s="62"/>
      <c r="O18" s="65"/>
      <c r="P18" s="65" t="s">
        <v>119</v>
      </c>
      <c r="Q18" s="65"/>
      <c r="R18" s="290"/>
    </row>
    <row r="19" s="67" customFormat="true" ht="13.5" hidden="false" customHeight="true" outlineLevel="0" collapsed="false">
      <c r="A19" s="60" t="n">
        <v>11</v>
      </c>
      <c r="B19" s="127"/>
      <c r="C19" s="141" t="s">
        <v>2807</v>
      </c>
      <c r="D19" s="129"/>
      <c r="E19" s="129"/>
      <c r="F19" s="129"/>
      <c r="G19" s="129"/>
      <c r="H19" s="62"/>
      <c r="I19" s="62" t="s">
        <v>2808</v>
      </c>
      <c r="J19" s="63" t="s">
        <v>2809</v>
      </c>
      <c r="K19" s="62" t="s">
        <v>163</v>
      </c>
      <c r="L19" s="64"/>
      <c r="M19" s="152" t="s">
        <v>118</v>
      </c>
      <c r="N19" s="62"/>
      <c r="O19" s="65"/>
      <c r="P19" s="65" t="s">
        <v>119</v>
      </c>
      <c r="Q19" s="65"/>
      <c r="R19" s="290"/>
    </row>
    <row r="20" s="67" customFormat="true" ht="13.5" hidden="false" customHeight="true" outlineLevel="0" collapsed="false">
      <c r="A20" s="60" t="n">
        <v>12</v>
      </c>
      <c r="B20" s="132"/>
      <c r="C20" s="141" t="s">
        <v>1345</v>
      </c>
      <c r="D20" s="133"/>
      <c r="E20" s="133"/>
      <c r="F20" s="133"/>
      <c r="G20" s="133"/>
      <c r="H20" s="62" t="s">
        <v>2810</v>
      </c>
      <c r="I20" s="62" t="s">
        <v>1404</v>
      </c>
      <c r="J20" s="63" t="s">
        <v>1568</v>
      </c>
      <c r="K20" s="62" t="s">
        <v>163</v>
      </c>
      <c r="L20" s="64"/>
      <c r="M20" s="62" t="s">
        <v>118</v>
      </c>
      <c r="N20" s="62"/>
      <c r="O20" s="65"/>
      <c r="P20" s="65" t="s">
        <v>119</v>
      </c>
      <c r="Q20" s="65"/>
      <c r="R20" s="290"/>
    </row>
    <row r="21" s="67" customFormat="true" ht="13.5" hidden="false" customHeight="true" outlineLevel="0" collapsed="false">
      <c r="A21" s="60" t="n">
        <v>13</v>
      </c>
      <c r="B21" s="127"/>
      <c r="C21" s="141" t="s">
        <v>1569</v>
      </c>
      <c r="D21" s="129"/>
      <c r="E21" s="129"/>
      <c r="F21" s="129"/>
      <c r="G21" s="129"/>
      <c r="H21" s="62" t="s">
        <v>2725</v>
      </c>
      <c r="I21" s="63" t="s">
        <v>1571</v>
      </c>
      <c r="J21" s="63" t="s">
        <v>1572</v>
      </c>
      <c r="K21" s="62" t="s">
        <v>163</v>
      </c>
      <c r="L21" s="64"/>
      <c r="M21" s="62" t="s">
        <v>118</v>
      </c>
      <c r="N21" s="62"/>
      <c r="O21" s="65"/>
      <c r="P21" s="65" t="s">
        <v>119</v>
      </c>
      <c r="Q21" s="65"/>
      <c r="R21" s="290"/>
    </row>
    <row r="22" s="67" customFormat="true" ht="13.5" hidden="false" customHeight="true" outlineLevel="0" collapsed="false">
      <c r="A22" s="60" t="n">
        <v>14</v>
      </c>
      <c r="B22" s="127"/>
      <c r="C22" s="141" t="s">
        <v>1703</v>
      </c>
      <c r="D22" s="129"/>
      <c r="E22" s="129"/>
      <c r="F22" s="129"/>
      <c r="G22" s="129"/>
      <c r="H22" s="62" t="s">
        <v>2605</v>
      </c>
      <c r="I22" s="62"/>
      <c r="J22" s="63" t="s">
        <v>1705</v>
      </c>
      <c r="K22" s="62" t="s">
        <v>163</v>
      </c>
      <c r="L22" s="64"/>
      <c r="M22" s="62" t="s">
        <v>1706</v>
      </c>
      <c r="N22" s="62"/>
      <c r="O22" s="65"/>
      <c r="P22" s="65" t="s">
        <v>119</v>
      </c>
      <c r="Q22" s="65"/>
      <c r="R22" s="290"/>
    </row>
    <row r="23" s="67" customFormat="true" ht="13.5" hidden="false" customHeight="true" outlineLevel="0" collapsed="false">
      <c r="A23" s="60" t="n">
        <v>15</v>
      </c>
      <c r="B23" s="127"/>
      <c r="C23" s="141" t="s">
        <v>2811</v>
      </c>
      <c r="D23" s="129"/>
      <c r="E23" s="129"/>
      <c r="F23" s="129"/>
      <c r="G23" s="129"/>
      <c r="H23" s="62" t="s">
        <v>2726</v>
      </c>
      <c r="I23" s="63" t="n">
        <v>69</v>
      </c>
      <c r="J23" s="63" t="s">
        <v>1732</v>
      </c>
      <c r="K23" s="62" t="s">
        <v>163</v>
      </c>
      <c r="L23" s="64"/>
      <c r="M23" s="152" t="s">
        <v>118</v>
      </c>
      <c r="N23" s="62"/>
      <c r="O23" s="65"/>
      <c r="P23" s="65" t="s">
        <v>119</v>
      </c>
      <c r="Q23" s="65"/>
      <c r="R23" s="290"/>
    </row>
    <row r="24" s="67" customFormat="true" ht="13.5" hidden="false" customHeight="true" outlineLevel="0" collapsed="false">
      <c r="A24" s="60" t="n">
        <v>16</v>
      </c>
      <c r="B24" s="127"/>
      <c r="C24" s="141" t="s">
        <v>2607</v>
      </c>
      <c r="D24" s="129"/>
      <c r="E24" s="129"/>
      <c r="F24" s="129"/>
      <c r="G24" s="129"/>
      <c r="H24" s="62"/>
      <c r="I24" s="63" t="s">
        <v>1709</v>
      </c>
      <c r="J24" s="63" t="s">
        <v>1710</v>
      </c>
      <c r="K24" s="62" t="s">
        <v>163</v>
      </c>
      <c r="L24" s="64"/>
      <c r="M24" s="152" t="s">
        <v>118</v>
      </c>
      <c r="N24" s="62"/>
      <c r="O24" s="65"/>
      <c r="P24" s="65" t="s">
        <v>119</v>
      </c>
      <c r="Q24" s="65"/>
      <c r="R24" s="290"/>
    </row>
    <row r="25" s="67" customFormat="true" ht="13.5" hidden="false" customHeight="true" outlineLevel="0" collapsed="false">
      <c r="A25" s="60" t="n">
        <v>17</v>
      </c>
      <c r="B25" s="127"/>
      <c r="C25" s="141" t="s">
        <v>2729</v>
      </c>
      <c r="D25" s="129"/>
      <c r="E25" s="129"/>
      <c r="F25" s="129"/>
      <c r="G25" s="129"/>
      <c r="H25" s="62" t="s">
        <v>2730</v>
      </c>
      <c r="I25" s="63" t="s">
        <v>1545</v>
      </c>
      <c r="J25" s="63" t="s">
        <v>2731</v>
      </c>
      <c r="K25" s="62" t="s">
        <v>163</v>
      </c>
      <c r="L25" s="64"/>
      <c r="M25" s="152" t="s">
        <v>118</v>
      </c>
      <c r="N25" s="62"/>
      <c r="O25" s="65" t="s">
        <v>119</v>
      </c>
      <c r="P25" s="65"/>
      <c r="Q25" s="65"/>
      <c r="R25" s="290"/>
    </row>
    <row r="26" s="67" customFormat="true" ht="13.5" hidden="false" customHeight="true" outlineLevel="0" collapsed="false">
      <c r="A26" s="60" t="n">
        <v>18</v>
      </c>
      <c r="B26" s="164"/>
      <c r="C26" s="295" t="s">
        <v>2609</v>
      </c>
      <c r="D26" s="292"/>
      <c r="E26" s="292"/>
      <c r="F26" s="292"/>
      <c r="G26" s="292"/>
      <c r="H26" s="293"/>
      <c r="I26" s="294"/>
      <c r="J26" s="63" t="s">
        <v>2610</v>
      </c>
      <c r="K26" s="62" t="s">
        <v>163</v>
      </c>
      <c r="L26" s="64" t="s">
        <v>119</v>
      </c>
      <c r="M26" s="149" t="s">
        <v>2610</v>
      </c>
      <c r="N26" s="62"/>
      <c r="O26" s="65"/>
      <c r="P26" s="65" t="s">
        <v>119</v>
      </c>
      <c r="Q26" s="65"/>
      <c r="R26" s="290"/>
    </row>
    <row r="27" s="67" customFormat="true" ht="13.5" hidden="false" customHeight="true" outlineLevel="0" collapsed="false">
      <c r="A27" s="60" t="n">
        <v>19</v>
      </c>
      <c r="B27" s="164"/>
      <c r="C27" s="129"/>
      <c r="D27" s="296" t="s">
        <v>2611</v>
      </c>
      <c r="E27" s="129"/>
      <c r="F27" s="129"/>
      <c r="G27" s="129"/>
      <c r="H27" s="62" t="s">
        <v>2612</v>
      </c>
      <c r="I27" s="63" t="n">
        <v>92300</v>
      </c>
      <c r="J27" s="63" t="s">
        <v>1379</v>
      </c>
      <c r="K27" s="62" t="s">
        <v>117</v>
      </c>
      <c r="L27" s="64"/>
      <c r="M27" s="62" t="s">
        <v>118</v>
      </c>
      <c r="N27" s="62"/>
      <c r="O27" s="65"/>
      <c r="P27" s="65" t="s">
        <v>119</v>
      </c>
      <c r="Q27" s="65"/>
      <c r="R27" s="290"/>
    </row>
    <row r="28" s="67" customFormat="true" ht="13.5" hidden="false" customHeight="true" outlineLevel="0" collapsed="false">
      <c r="A28" s="60" t="n">
        <v>20</v>
      </c>
      <c r="B28" s="164"/>
      <c r="C28" s="129"/>
      <c r="D28" s="296" t="s">
        <v>1380</v>
      </c>
      <c r="E28" s="129"/>
      <c r="F28" s="129"/>
      <c r="G28" s="129"/>
      <c r="H28" s="62" t="s">
        <v>2463</v>
      </c>
      <c r="I28" s="63" t="s">
        <v>2613</v>
      </c>
      <c r="J28" s="63" t="s">
        <v>2812</v>
      </c>
      <c r="K28" s="62" t="s">
        <v>117</v>
      </c>
      <c r="L28" s="64"/>
      <c r="M28" s="62" t="s">
        <v>118</v>
      </c>
      <c r="N28" s="62"/>
      <c r="O28" s="65"/>
      <c r="P28" s="65" t="s">
        <v>119</v>
      </c>
      <c r="Q28" s="65"/>
      <c r="R28" s="290"/>
    </row>
    <row r="29" customFormat="false" ht="15" hidden="false" customHeight="true" outlineLevel="0" collapsed="false">
      <c r="A29" s="60" t="n">
        <v>21</v>
      </c>
      <c r="B29" s="128" t="s">
        <v>2616</v>
      </c>
      <c r="C29" s="292"/>
      <c r="D29" s="292"/>
      <c r="E29" s="292"/>
      <c r="F29" s="292"/>
      <c r="G29" s="292"/>
      <c r="H29" s="293"/>
      <c r="I29" s="294"/>
      <c r="J29" s="63" t="s">
        <v>1316</v>
      </c>
      <c r="K29" s="62" t="s">
        <v>117</v>
      </c>
      <c r="L29" s="64" t="s">
        <v>119</v>
      </c>
      <c r="M29" s="140" t="s">
        <v>1316</v>
      </c>
      <c r="N29" s="62"/>
      <c r="O29" s="65"/>
      <c r="P29" s="65" t="s">
        <v>119</v>
      </c>
      <c r="Q29" s="65"/>
      <c r="R29" s="290"/>
    </row>
    <row r="30" customFormat="false" ht="15" hidden="false" customHeight="true" outlineLevel="0" collapsed="false">
      <c r="A30" s="60" t="n">
        <v>22</v>
      </c>
      <c r="B30" s="127"/>
      <c r="C30" s="164" t="s">
        <v>1340</v>
      </c>
      <c r="D30" s="292"/>
      <c r="E30" s="292"/>
      <c r="F30" s="292"/>
      <c r="G30" s="292"/>
      <c r="H30" s="293"/>
      <c r="I30" s="294"/>
      <c r="J30" s="63" t="s">
        <v>1341</v>
      </c>
      <c r="K30" s="62" t="s">
        <v>163</v>
      </c>
      <c r="L30" s="64" t="s">
        <v>119</v>
      </c>
      <c r="M30" s="140" t="s">
        <v>1341</v>
      </c>
      <c r="N30" s="62"/>
      <c r="O30" s="65"/>
      <c r="P30" s="65" t="s">
        <v>119</v>
      </c>
      <c r="Q30" s="65"/>
      <c r="R30" s="290"/>
    </row>
    <row r="31" customFormat="false" ht="15" hidden="false" customHeight="true" outlineLevel="0" collapsed="false">
      <c r="A31" s="60" t="n">
        <v>23</v>
      </c>
      <c r="B31" s="129"/>
      <c r="C31" s="127"/>
      <c r="D31" s="129" t="s">
        <v>1356</v>
      </c>
      <c r="E31" s="132"/>
      <c r="F31" s="129"/>
      <c r="G31" s="62"/>
      <c r="H31" s="62" t="s">
        <v>2733</v>
      </c>
      <c r="I31" s="63" t="s">
        <v>1358</v>
      </c>
      <c r="J31" s="63" t="s">
        <v>1359</v>
      </c>
      <c r="K31" s="62" t="s">
        <v>117</v>
      </c>
      <c r="L31" s="64"/>
      <c r="M31" s="62" t="s">
        <v>118</v>
      </c>
      <c r="N31" s="62" t="s">
        <v>1360</v>
      </c>
      <c r="O31" s="65"/>
      <c r="P31" s="65" t="s">
        <v>119</v>
      </c>
      <c r="Q31" s="65"/>
      <c r="R31" s="290"/>
    </row>
    <row r="32" customFormat="false" ht="15" hidden="false" customHeight="true" outlineLevel="0" collapsed="false">
      <c r="A32" s="60" t="n">
        <v>24</v>
      </c>
      <c r="B32" s="129"/>
      <c r="C32" s="150"/>
      <c r="D32" s="129" t="s">
        <v>1361</v>
      </c>
      <c r="E32" s="133"/>
      <c r="F32" s="129"/>
      <c r="G32" s="62"/>
      <c r="H32" s="62" t="s">
        <v>2459</v>
      </c>
      <c r="I32" s="63" t="s">
        <v>1363</v>
      </c>
      <c r="J32" s="63" t="s">
        <v>1364</v>
      </c>
      <c r="K32" s="62" t="s">
        <v>163</v>
      </c>
      <c r="L32" s="64"/>
      <c r="M32" s="62" t="s">
        <v>118</v>
      </c>
      <c r="N32" s="62"/>
      <c r="O32" s="65"/>
      <c r="P32" s="65" t="s">
        <v>119</v>
      </c>
      <c r="Q32" s="65"/>
      <c r="R32" s="290"/>
    </row>
    <row r="33" customFormat="false" ht="15" hidden="false" customHeight="true" outlineLevel="0" collapsed="false">
      <c r="A33" s="60" t="n">
        <v>25</v>
      </c>
      <c r="B33" s="127"/>
      <c r="C33" s="150"/>
      <c r="D33" s="128" t="s">
        <v>1365</v>
      </c>
      <c r="E33" s="297"/>
      <c r="F33" s="292"/>
      <c r="G33" s="292"/>
      <c r="H33" s="293"/>
      <c r="I33" s="294"/>
      <c r="J33" s="63" t="s">
        <v>1367</v>
      </c>
      <c r="K33" s="62" t="s">
        <v>163</v>
      </c>
      <c r="L33" s="64" t="s">
        <v>119</v>
      </c>
      <c r="M33" s="140" t="s">
        <v>1367</v>
      </c>
      <c r="N33" s="62"/>
      <c r="O33" s="65"/>
      <c r="P33" s="65" t="s">
        <v>119</v>
      </c>
      <c r="Q33" s="65"/>
      <c r="R33" s="290"/>
    </row>
    <row r="34" customFormat="false" ht="15" hidden="false" customHeight="true" outlineLevel="0" collapsed="false">
      <c r="A34" s="60" t="n">
        <v>26</v>
      </c>
      <c r="B34" s="127"/>
      <c r="C34" s="150"/>
      <c r="D34" s="129"/>
      <c r="E34" s="129" t="s">
        <v>1368</v>
      </c>
      <c r="F34" s="129"/>
      <c r="G34" s="129"/>
      <c r="H34" s="62" t="s">
        <v>2460</v>
      </c>
      <c r="I34" s="63" t="s">
        <v>1370</v>
      </c>
      <c r="J34" s="63" t="s">
        <v>1359</v>
      </c>
      <c r="K34" s="62" t="s">
        <v>117</v>
      </c>
      <c r="L34" s="64"/>
      <c r="M34" s="62" t="s">
        <v>118</v>
      </c>
      <c r="N34" s="62" t="s">
        <v>1371</v>
      </c>
      <c r="O34" s="65"/>
      <c r="P34" s="65" t="s">
        <v>119</v>
      </c>
      <c r="Q34" s="65"/>
      <c r="R34" s="290"/>
    </row>
    <row r="35" customFormat="false" ht="15" hidden="false" customHeight="true" outlineLevel="0" collapsed="false">
      <c r="A35" s="60" t="n">
        <v>27</v>
      </c>
      <c r="B35" s="127"/>
      <c r="C35" s="127"/>
      <c r="D35" s="129"/>
      <c r="E35" s="129" t="s">
        <v>1372</v>
      </c>
      <c r="F35" s="129"/>
      <c r="G35" s="129"/>
      <c r="H35" s="62"/>
      <c r="I35" s="63" t="s">
        <v>1374</v>
      </c>
      <c r="J35" s="63" t="s">
        <v>1281</v>
      </c>
      <c r="K35" s="62" t="s">
        <v>163</v>
      </c>
      <c r="L35" s="64"/>
      <c r="M35" s="62" t="s">
        <v>118</v>
      </c>
      <c r="N35" s="62"/>
      <c r="O35" s="65"/>
      <c r="P35" s="65" t="s">
        <v>119</v>
      </c>
      <c r="Q35" s="65"/>
      <c r="R35" s="290"/>
    </row>
    <row r="36" customFormat="false" ht="15" hidden="false" customHeight="true" outlineLevel="0" collapsed="false">
      <c r="A36" s="60" t="n">
        <v>28</v>
      </c>
      <c r="B36" s="127"/>
      <c r="C36" s="127"/>
      <c r="D36" s="129"/>
      <c r="E36" s="129" t="s">
        <v>1345</v>
      </c>
      <c r="F36" s="129"/>
      <c r="G36" s="129"/>
      <c r="H36" s="62"/>
      <c r="I36" s="63" t="s">
        <v>1376</v>
      </c>
      <c r="J36" s="63" t="s">
        <v>126</v>
      </c>
      <c r="K36" s="62" t="s">
        <v>163</v>
      </c>
      <c r="L36" s="64"/>
      <c r="M36" s="62" t="s">
        <v>118</v>
      </c>
      <c r="N36" s="62"/>
      <c r="O36" s="65"/>
      <c r="P36" s="65" t="s">
        <v>119</v>
      </c>
      <c r="Q36" s="65"/>
      <c r="R36" s="290"/>
    </row>
    <row r="37" customFormat="false" ht="15" hidden="false" customHeight="true" outlineLevel="0" collapsed="false">
      <c r="A37" s="60" t="n">
        <v>29</v>
      </c>
      <c r="B37" s="127"/>
      <c r="C37" s="164" t="s">
        <v>1377</v>
      </c>
      <c r="D37" s="297"/>
      <c r="E37" s="297"/>
      <c r="F37" s="292"/>
      <c r="G37" s="292"/>
      <c r="H37" s="293"/>
      <c r="I37" s="294"/>
      <c r="J37" s="63" t="s">
        <v>1379</v>
      </c>
      <c r="K37" s="62" t="s">
        <v>163</v>
      </c>
      <c r="L37" s="64" t="s">
        <v>119</v>
      </c>
      <c r="M37" s="140" t="s">
        <v>1379</v>
      </c>
      <c r="N37" s="62"/>
      <c r="O37" s="65"/>
      <c r="P37" s="65" t="s">
        <v>119</v>
      </c>
      <c r="Q37" s="65"/>
      <c r="R37" s="290"/>
    </row>
    <row r="38" customFormat="false" ht="15" hidden="false" customHeight="true" outlineLevel="0" collapsed="false">
      <c r="A38" s="60" t="n">
        <v>30</v>
      </c>
      <c r="B38" s="127"/>
      <c r="C38" s="127"/>
      <c r="D38" s="129" t="s">
        <v>1380</v>
      </c>
      <c r="E38" s="127"/>
      <c r="F38" s="129"/>
      <c r="G38" s="129"/>
      <c r="H38" s="62" t="s">
        <v>2463</v>
      </c>
      <c r="I38" s="63" t="s">
        <v>1382</v>
      </c>
      <c r="J38" s="63" t="s">
        <v>126</v>
      </c>
      <c r="K38" s="62" t="s">
        <v>163</v>
      </c>
      <c r="L38" s="64"/>
      <c r="M38" s="62" t="s">
        <v>118</v>
      </c>
      <c r="N38" s="62"/>
      <c r="O38" s="65"/>
      <c r="P38" s="65" t="s">
        <v>119</v>
      </c>
      <c r="Q38" s="65"/>
      <c r="R38" s="290"/>
    </row>
    <row r="39" customFormat="false" ht="15" hidden="false" customHeight="true" outlineLevel="0" collapsed="false">
      <c r="A39" s="60" t="n">
        <v>31</v>
      </c>
      <c r="B39" s="127"/>
      <c r="C39" s="127"/>
      <c r="D39" s="129" t="s">
        <v>1383</v>
      </c>
      <c r="E39" s="127"/>
      <c r="F39" s="129"/>
      <c r="G39" s="129"/>
      <c r="H39" s="62" t="s">
        <v>2464</v>
      </c>
      <c r="I39" s="63" t="n">
        <v>59350</v>
      </c>
      <c r="J39" s="63" t="s">
        <v>1385</v>
      </c>
      <c r="K39" s="62" t="s">
        <v>163</v>
      </c>
      <c r="L39" s="64"/>
      <c r="M39" s="62" t="s">
        <v>118</v>
      </c>
      <c r="N39" s="62" t="s">
        <v>1386</v>
      </c>
      <c r="O39" s="65"/>
      <c r="P39" s="65" t="s">
        <v>119</v>
      </c>
      <c r="Q39" s="65"/>
      <c r="R39" s="290"/>
    </row>
    <row r="40" customFormat="false" ht="15" hidden="false" customHeight="true" outlineLevel="0" collapsed="false">
      <c r="A40" s="60" t="n">
        <v>32</v>
      </c>
      <c r="B40" s="127"/>
      <c r="C40" s="127"/>
      <c r="D40" s="129" t="s">
        <v>1387</v>
      </c>
      <c r="E40" s="129"/>
      <c r="F40" s="129"/>
      <c r="G40" s="129"/>
      <c r="H40" s="136" t="s">
        <v>2813</v>
      </c>
      <c r="I40" s="63" t="s">
        <v>1389</v>
      </c>
      <c r="J40" s="63" t="s">
        <v>1390</v>
      </c>
      <c r="K40" s="62" t="s">
        <v>163</v>
      </c>
      <c r="L40" s="64"/>
      <c r="M40" s="62" t="s">
        <v>118</v>
      </c>
      <c r="N40" s="62"/>
      <c r="O40" s="62"/>
      <c r="P40" s="65" t="s">
        <v>119</v>
      </c>
      <c r="Q40" s="62"/>
      <c r="R40" s="290"/>
    </row>
    <row r="41" customFormat="false" ht="15" hidden="false" customHeight="true" outlineLevel="0" collapsed="false">
      <c r="A41" s="60" t="n">
        <v>33</v>
      </c>
      <c r="B41" s="164" t="s">
        <v>2735</v>
      </c>
      <c r="C41" s="291"/>
      <c r="D41" s="292"/>
      <c r="E41" s="292"/>
      <c r="F41" s="292"/>
      <c r="G41" s="292"/>
      <c r="H41" s="293"/>
      <c r="I41" s="294"/>
      <c r="J41" s="63" t="s">
        <v>2736</v>
      </c>
      <c r="K41" s="62" t="s">
        <v>117</v>
      </c>
      <c r="L41" s="64" t="s">
        <v>119</v>
      </c>
      <c r="M41" s="149" t="s">
        <v>2736</v>
      </c>
      <c r="N41" s="62"/>
      <c r="O41" s="65" t="s">
        <v>91</v>
      </c>
      <c r="P41" s="65" t="s">
        <v>119</v>
      </c>
      <c r="Q41" s="65"/>
      <c r="R41" s="290"/>
    </row>
    <row r="42" customFormat="false" ht="15" hidden="false" customHeight="true" outlineLevel="0" collapsed="false">
      <c r="A42" s="60" t="n">
        <v>34</v>
      </c>
      <c r="B42" s="127"/>
      <c r="C42" s="176" t="s">
        <v>2814</v>
      </c>
      <c r="D42" s="291"/>
      <c r="E42" s="292"/>
      <c r="F42" s="292"/>
      <c r="G42" s="292"/>
      <c r="H42" s="293"/>
      <c r="I42" s="294"/>
      <c r="J42" s="63" t="s">
        <v>2815</v>
      </c>
      <c r="K42" s="62" t="s">
        <v>163</v>
      </c>
      <c r="L42" s="64" t="s">
        <v>119</v>
      </c>
      <c r="M42" s="149" t="s">
        <v>2816</v>
      </c>
      <c r="N42" s="62"/>
      <c r="O42" s="65" t="s">
        <v>91</v>
      </c>
      <c r="P42" s="65" t="s">
        <v>119</v>
      </c>
      <c r="Q42" s="65"/>
      <c r="R42" s="290"/>
    </row>
    <row r="43" customFormat="false" ht="15" hidden="false" customHeight="true" outlineLevel="0" collapsed="false">
      <c r="A43" s="60" t="n">
        <v>35</v>
      </c>
      <c r="B43" s="127"/>
      <c r="C43" s="141"/>
      <c r="D43" s="141" t="s">
        <v>1736</v>
      </c>
      <c r="E43" s="129"/>
      <c r="F43" s="129"/>
      <c r="G43" s="129"/>
      <c r="H43" s="62" t="s">
        <v>2817</v>
      </c>
      <c r="I43" s="63"/>
      <c r="J43" s="63" t="s">
        <v>1739</v>
      </c>
      <c r="K43" s="62" t="s">
        <v>163</v>
      </c>
      <c r="L43" s="64"/>
      <c r="M43" s="62" t="s">
        <v>118</v>
      </c>
      <c r="N43" s="62"/>
      <c r="O43" s="65" t="s">
        <v>91</v>
      </c>
      <c r="P43" s="65" t="s">
        <v>119</v>
      </c>
      <c r="Q43" s="65"/>
      <c r="R43" s="290"/>
    </row>
    <row r="44" customFormat="false" ht="15" hidden="false" customHeight="true" outlineLevel="0" collapsed="false">
      <c r="A44" s="60" t="n">
        <v>36</v>
      </c>
      <c r="B44" s="127"/>
      <c r="C44" s="141"/>
      <c r="D44" s="141" t="s">
        <v>1740</v>
      </c>
      <c r="E44" s="129"/>
      <c r="F44" s="129"/>
      <c r="G44" s="129"/>
      <c r="H44" s="62" t="s">
        <v>2818</v>
      </c>
      <c r="I44" s="63"/>
      <c r="J44" s="63" t="s">
        <v>2819</v>
      </c>
      <c r="K44" s="62" t="s">
        <v>163</v>
      </c>
      <c r="L44" s="64"/>
      <c r="M44" s="62" t="s">
        <v>118</v>
      </c>
      <c r="N44" s="62"/>
      <c r="O44" s="65" t="s">
        <v>91</v>
      </c>
      <c r="P44" s="65" t="s">
        <v>119</v>
      </c>
      <c r="Q44" s="65"/>
      <c r="R44" s="290"/>
    </row>
    <row r="45" customFormat="false" ht="15" hidden="false" customHeight="true" outlineLevel="0" collapsed="false">
      <c r="A45" s="60" t="n">
        <v>37</v>
      </c>
      <c r="B45" s="127"/>
      <c r="C45" s="141"/>
      <c r="D45" s="141" t="s">
        <v>1744</v>
      </c>
      <c r="E45" s="129"/>
      <c r="F45" s="129"/>
      <c r="G45" s="129"/>
      <c r="H45" s="62" t="s">
        <v>2820</v>
      </c>
      <c r="I45" s="63"/>
      <c r="J45" s="63" t="s">
        <v>1746</v>
      </c>
      <c r="K45" s="62" t="s">
        <v>163</v>
      </c>
      <c r="L45" s="64"/>
      <c r="M45" s="62" t="s">
        <v>118</v>
      </c>
      <c r="N45" s="62"/>
      <c r="O45" s="65" t="s">
        <v>91</v>
      </c>
      <c r="P45" s="65" t="s">
        <v>119</v>
      </c>
      <c r="Q45" s="65"/>
      <c r="R45" s="290"/>
    </row>
    <row r="46" customFormat="false" ht="15" hidden="false" customHeight="true" outlineLevel="0" collapsed="false">
      <c r="A46" s="60" t="n">
        <v>38</v>
      </c>
      <c r="B46" s="127"/>
      <c r="C46" s="141"/>
      <c r="D46" s="129" t="s">
        <v>2821</v>
      </c>
      <c r="E46" s="129"/>
      <c r="F46" s="129"/>
      <c r="G46" s="129"/>
      <c r="H46" s="62" t="s">
        <v>2822</v>
      </c>
      <c r="I46" s="63"/>
      <c r="J46" s="63" t="s">
        <v>2823</v>
      </c>
      <c r="K46" s="62" t="s">
        <v>163</v>
      </c>
      <c r="L46" s="64"/>
      <c r="M46" s="62" t="s">
        <v>118</v>
      </c>
      <c r="N46" s="62"/>
      <c r="O46" s="65" t="s">
        <v>91</v>
      </c>
      <c r="P46" s="65" t="s">
        <v>119</v>
      </c>
      <c r="Q46" s="65"/>
      <c r="R46" s="290"/>
    </row>
    <row r="47" customFormat="false" ht="15" hidden="false" customHeight="true" outlineLevel="0" collapsed="false">
      <c r="A47" s="60" t="n">
        <v>39</v>
      </c>
      <c r="B47" s="127"/>
      <c r="C47" s="176" t="s">
        <v>2824</v>
      </c>
      <c r="D47" s="292"/>
      <c r="E47" s="292"/>
      <c r="F47" s="292"/>
      <c r="G47" s="292"/>
      <c r="H47" s="293"/>
      <c r="I47" s="294"/>
      <c r="J47" s="63" t="s">
        <v>2743</v>
      </c>
      <c r="K47" s="62" t="s">
        <v>163</v>
      </c>
      <c r="L47" s="64"/>
      <c r="M47" s="149" t="s">
        <v>2743</v>
      </c>
      <c r="N47" s="62"/>
      <c r="O47" s="65" t="s">
        <v>119</v>
      </c>
      <c r="P47" s="65" t="s">
        <v>119</v>
      </c>
      <c r="Q47" s="65"/>
      <c r="R47" s="290"/>
    </row>
    <row r="48" customFormat="false" ht="15" hidden="false" customHeight="true" outlineLevel="0" collapsed="false">
      <c r="A48" s="60" t="n">
        <v>40</v>
      </c>
      <c r="B48" s="127"/>
      <c r="C48" s="141"/>
      <c r="D48" s="141" t="s">
        <v>2825</v>
      </c>
      <c r="E48" s="129"/>
      <c r="F48" s="129"/>
      <c r="G48" s="129"/>
      <c r="H48" s="62" t="s">
        <v>2826</v>
      </c>
      <c r="I48" s="63"/>
      <c r="J48" s="63" t="s">
        <v>2827</v>
      </c>
      <c r="K48" s="62" t="s">
        <v>163</v>
      </c>
      <c r="L48" s="64"/>
      <c r="M48" s="62" t="s">
        <v>118</v>
      </c>
      <c r="N48" s="62"/>
      <c r="O48" s="65" t="s">
        <v>119</v>
      </c>
      <c r="P48" s="65" t="s">
        <v>119</v>
      </c>
      <c r="Q48" s="65"/>
      <c r="R48" s="290"/>
    </row>
    <row r="49" customFormat="false" ht="15" hidden="false" customHeight="true" outlineLevel="0" collapsed="false">
      <c r="A49" s="60" t="n">
        <v>41</v>
      </c>
      <c r="B49" s="127"/>
      <c r="C49" s="141"/>
      <c r="D49" s="141" t="s">
        <v>2828</v>
      </c>
      <c r="E49" s="129"/>
      <c r="F49" s="129"/>
      <c r="G49" s="129"/>
      <c r="H49" s="62" t="s">
        <v>2829</v>
      </c>
      <c r="I49" s="63"/>
      <c r="J49" s="63" t="s">
        <v>2830</v>
      </c>
      <c r="K49" s="62" t="s">
        <v>163</v>
      </c>
      <c r="L49" s="64"/>
      <c r="M49" s="62" t="s">
        <v>184</v>
      </c>
      <c r="N49" s="62"/>
      <c r="O49" s="65" t="s">
        <v>119</v>
      </c>
      <c r="P49" s="65" t="s">
        <v>119</v>
      </c>
      <c r="Q49" s="65"/>
      <c r="R49" s="290"/>
    </row>
    <row r="50" customFormat="false" ht="15" hidden="false" customHeight="true" outlineLevel="0" collapsed="false">
      <c r="A50" s="60" t="n">
        <v>42</v>
      </c>
      <c r="B50" s="127"/>
      <c r="C50" s="141"/>
      <c r="D50" s="141" t="s">
        <v>2831</v>
      </c>
      <c r="E50" s="129"/>
      <c r="F50" s="129"/>
      <c r="G50" s="129"/>
      <c r="H50" s="62"/>
      <c r="I50" s="63"/>
      <c r="J50" s="63" t="s">
        <v>2832</v>
      </c>
      <c r="K50" s="62" t="s">
        <v>163</v>
      </c>
      <c r="L50" s="64"/>
      <c r="M50" s="62" t="s">
        <v>118</v>
      </c>
      <c r="N50" s="62"/>
      <c r="O50" s="65" t="s">
        <v>119</v>
      </c>
      <c r="P50" s="65" t="s">
        <v>119</v>
      </c>
      <c r="Q50" s="65"/>
      <c r="R50" s="290"/>
    </row>
    <row r="51" customFormat="false" ht="15" hidden="false" customHeight="true" outlineLevel="0" collapsed="false">
      <c r="A51" s="60" t="n">
        <v>43</v>
      </c>
      <c r="B51" s="127"/>
      <c r="C51" s="141"/>
      <c r="D51" s="141" t="s">
        <v>2833</v>
      </c>
      <c r="E51" s="129"/>
      <c r="F51" s="129"/>
      <c r="G51" s="129"/>
      <c r="H51" s="62"/>
      <c r="I51" s="63"/>
      <c r="J51" s="63" t="s">
        <v>2834</v>
      </c>
      <c r="K51" s="62" t="s">
        <v>163</v>
      </c>
      <c r="L51" s="64"/>
      <c r="M51" s="62" t="s">
        <v>118</v>
      </c>
      <c r="N51" s="62"/>
      <c r="O51" s="65" t="s">
        <v>119</v>
      </c>
      <c r="P51" s="65" t="s">
        <v>119</v>
      </c>
      <c r="Q51" s="65"/>
      <c r="R51" s="290"/>
    </row>
    <row r="52" customFormat="false" ht="15" hidden="false" customHeight="true" outlineLevel="0" collapsed="false">
      <c r="A52" s="60" t="n">
        <v>44</v>
      </c>
      <c r="B52" s="127"/>
      <c r="C52" s="141"/>
      <c r="D52" s="141" t="s">
        <v>2835</v>
      </c>
      <c r="E52" s="129"/>
      <c r="F52" s="129"/>
      <c r="G52" s="129"/>
      <c r="H52" s="62" t="s">
        <v>2836</v>
      </c>
      <c r="I52" s="63"/>
      <c r="J52" s="63" t="s">
        <v>2837</v>
      </c>
      <c r="K52" s="62" t="s">
        <v>163</v>
      </c>
      <c r="L52" s="64"/>
      <c r="M52" s="62" t="s">
        <v>118</v>
      </c>
      <c r="N52" s="62"/>
      <c r="O52" s="65" t="s">
        <v>119</v>
      </c>
      <c r="P52" s="65" t="s">
        <v>119</v>
      </c>
      <c r="Q52" s="65"/>
      <c r="R52" s="290"/>
    </row>
    <row r="53" customFormat="false" ht="15" hidden="false" customHeight="true" outlineLevel="0" collapsed="false">
      <c r="A53" s="60" t="n">
        <v>45</v>
      </c>
      <c r="B53" s="127"/>
      <c r="C53" s="141"/>
      <c r="D53" s="141" t="s">
        <v>2838</v>
      </c>
      <c r="E53" s="129"/>
      <c r="F53" s="129"/>
      <c r="G53" s="129"/>
      <c r="H53" s="62"/>
      <c r="I53" s="63"/>
      <c r="J53" s="63" t="s">
        <v>2839</v>
      </c>
      <c r="K53" s="62" t="s">
        <v>163</v>
      </c>
      <c r="L53" s="64"/>
      <c r="M53" s="62" t="s">
        <v>118</v>
      </c>
      <c r="N53" s="62"/>
      <c r="O53" s="65" t="s">
        <v>119</v>
      </c>
      <c r="P53" s="65" t="s">
        <v>119</v>
      </c>
      <c r="Q53" s="65"/>
      <c r="R53" s="290"/>
    </row>
    <row r="54" customFormat="false" ht="15" hidden="false" customHeight="true" outlineLevel="0" collapsed="false">
      <c r="A54" s="60" t="n">
        <v>46</v>
      </c>
      <c r="B54" s="127"/>
      <c r="C54" s="141"/>
      <c r="D54" s="141" t="s">
        <v>2840</v>
      </c>
      <c r="E54" s="129"/>
      <c r="F54" s="129"/>
      <c r="G54" s="129"/>
      <c r="H54" s="62"/>
      <c r="I54" s="63"/>
      <c r="J54" s="63" t="s">
        <v>2841</v>
      </c>
      <c r="K54" s="62" t="s">
        <v>163</v>
      </c>
      <c r="L54" s="64"/>
      <c r="M54" s="62" t="s">
        <v>184</v>
      </c>
      <c r="N54" s="62"/>
      <c r="O54" s="65" t="s">
        <v>119</v>
      </c>
      <c r="P54" s="65" t="s">
        <v>119</v>
      </c>
      <c r="Q54" s="65"/>
      <c r="R54" s="290"/>
    </row>
    <row r="55" customFormat="false" ht="15" hidden="false" customHeight="true" outlineLevel="0" collapsed="false">
      <c r="A55" s="60" t="n">
        <v>47</v>
      </c>
      <c r="B55" s="127"/>
      <c r="C55" s="141"/>
      <c r="D55" s="141" t="s">
        <v>2842</v>
      </c>
      <c r="E55" s="129"/>
      <c r="F55" s="129"/>
      <c r="G55" s="129"/>
      <c r="H55" s="62"/>
      <c r="I55" s="63"/>
      <c r="J55" s="63" t="s">
        <v>2843</v>
      </c>
      <c r="K55" s="62" t="s">
        <v>163</v>
      </c>
      <c r="L55" s="64"/>
      <c r="M55" s="62" t="s">
        <v>118</v>
      </c>
      <c r="N55" s="62"/>
      <c r="O55" s="65" t="s">
        <v>119</v>
      </c>
      <c r="P55" s="65" t="s">
        <v>119</v>
      </c>
      <c r="Q55" s="65"/>
      <c r="R55" s="290"/>
    </row>
    <row r="56" customFormat="false" ht="15" hidden="false" customHeight="true" outlineLevel="0" collapsed="false">
      <c r="A56" s="60" t="n">
        <v>48</v>
      </c>
      <c r="B56" s="127"/>
      <c r="C56" s="141"/>
      <c r="D56" s="141" t="s">
        <v>2844</v>
      </c>
      <c r="E56" s="129"/>
      <c r="F56" s="129"/>
      <c r="G56" s="129"/>
      <c r="H56" s="62"/>
      <c r="I56" s="63"/>
      <c r="J56" s="63" t="s">
        <v>2845</v>
      </c>
      <c r="K56" s="62" t="s">
        <v>163</v>
      </c>
      <c r="L56" s="64"/>
      <c r="M56" s="62" t="s">
        <v>118</v>
      </c>
      <c r="N56" s="62"/>
      <c r="O56" s="65" t="s">
        <v>119</v>
      </c>
      <c r="P56" s="65" t="s">
        <v>119</v>
      </c>
      <c r="Q56" s="65"/>
      <c r="R56" s="290"/>
    </row>
    <row r="57" customFormat="false" ht="15" hidden="false" customHeight="true" outlineLevel="0" collapsed="false">
      <c r="A57" s="60" t="n">
        <v>49</v>
      </c>
      <c r="B57" s="127"/>
      <c r="C57" s="176" t="s">
        <v>2846</v>
      </c>
      <c r="D57" s="292"/>
      <c r="E57" s="292"/>
      <c r="F57" s="292"/>
      <c r="G57" s="292"/>
      <c r="H57" s="293"/>
      <c r="I57" s="294"/>
      <c r="J57" s="63" t="s">
        <v>2847</v>
      </c>
      <c r="K57" s="62" t="s">
        <v>163</v>
      </c>
      <c r="L57" s="64"/>
      <c r="M57" s="149" t="s">
        <v>2847</v>
      </c>
      <c r="N57" s="62"/>
      <c r="O57" s="65"/>
      <c r="P57" s="65" t="s">
        <v>119</v>
      </c>
      <c r="Q57" s="65"/>
      <c r="R57" s="290"/>
    </row>
    <row r="58" customFormat="false" ht="15" hidden="false" customHeight="true" outlineLevel="0" collapsed="false">
      <c r="A58" s="60" t="n">
        <v>50</v>
      </c>
      <c r="B58" s="127"/>
      <c r="C58" s="141"/>
      <c r="D58" s="141" t="s">
        <v>2848</v>
      </c>
      <c r="E58" s="129"/>
      <c r="F58" s="129"/>
      <c r="G58" s="129"/>
      <c r="H58" s="62"/>
      <c r="I58" s="63"/>
      <c r="J58" s="63" t="s">
        <v>2849</v>
      </c>
      <c r="K58" s="62" t="s">
        <v>163</v>
      </c>
      <c r="L58" s="64"/>
      <c r="M58" s="62" t="s">
        <v>184</v>
      </c>
      <c r="N58" s="62"/>
      <c r="O58" s="65"/>
      <c r="P58" s="65" t="s">
        <v>119</v>
      </c>
      <c r="Q58" s="65"/>
      <c r="R58" s="290"/>
    </row>
    <row r="59" customFormat="false" ht="15" hidden="false" customHeight="true" outlineLevel="0" collapsed="false">
      <c r="A59" s="60" t="n">
        <v>51</v>
      </c>
      <c r="B59" s="127"/>
      <c r="C59" s="141"/>
      <c r="D59" s="141" t="s">
        <v>2850</v>
      </c>
      <c r="E59" s="129"/>
      <c r="F59" s="129"/>
      <c r="G59" s="129"/>
      <c r="H59" s="62" t="s">
        <v>2851</v>
      </c>
      <c r="I59" s="63"/>
      <c r="J59" s="63" t="s">
        <v>2852</v>
      </c>
      <c r="K59" s="62" t="s">
        <v>163</v>
      </c>
      <c r="L59" s="64"/>
      <c r="M59" s="62" t="s">
        <v>118</v>
      </c>
      <c r="N59" s="62"/>
      <c r="O59" s="65"/>
      <c r="P59" s="65" t="s">
        <v>119</v>
      </c>
      <c r="Q59" s="65"/>
      <c r="R59" s="290"/>
    </row>
    <row r="60" customFormat="false" ht="15" hidden="false" customHeight="true" outlineLevel="0" collapsed="false">
      <c r="A60" s="60" t="n">
        <v>52</v>
      </c>
      <c r="B60" s="127"/>
      <c r="C60" s="141"/>
      <c r="D60" s="141" t="s">
        <v>2853</v>
      </c>
      <c r="E60" s="129"/>
      <c r="F60" s="129"/>
      <c r="G60" s="129"/>
      <c r="H60" s="62" t="s">
        <v>2854</v>
      </c>
      <c r="I60" s="63"/>
      <c r="J60" s="63" t="s">
        <v>2855</v>
      </c>
      <c r="K60" s="62" t="s">
        <v>163</v>
      </c>
      <c r="L60" s="64"/>
      <c r="M60" s="62" t="s">
        <v>118</v>
      </c>
      <c r="N60" s="62"/>
      <c r="O60" s="65"/>
      <c r="P60" s="65" t="s">
        <v>119</v>
      </c>
      <c r="Q60" s="65"/>
      <c r="R60" s="290"/>
    </row>
    <row r="61" customFormat="false" ht="15" hidden="false" customHeight="true" outlineLevel="0" collapsed="false">
      <c r="A61" s="60" t="n">
        <v>53</v>
      </c>
      <c r="B61" s="127"/>
      <c r="C61" s="141"/>
      <c r="D61" s="296" t="s">
        <v>2856</v>
      </c>
      <c r="E61" s="129"/>
      <c r="F61" s="129"/>
      <c r="G61" s="129"/>
      <c r="H61" s="62"/>
      <c r="I61" s="63"/>
      <c r="J61" s="63" t="s">
        <v>2857</v>
      </c>
      <c r="K61" s="62" t="s">
        <v>163</v>
      </c>
      <c r="L61" s="64"/>
      <c r="M61" s="62" t="s">
        <v>184</v>
      </c>
      <c r="N61" s="62"/>
      <c r="O61" s="65"/>
      <c r="P61" s="65" t="s">
        <v>119</v>
      </c>
      <c r="Q61" s="65"/>
      <c r="R61" s="290"/>
    </row>
    <row r="62" customFormat="false" ht="15" hidden="false" customHeight="true" outlineLevel="0" collapsed="false">
      <c r="A62" s="60" t="n">
        <v>54</v>
      </c>
      <c r="B62" s="127"/>
      <c r="C62" s="141"/>
      <c r="D62" s="296" t="s">
        <v>2858</v>
      </c>
      <c r="E62" s="129"/>
      <c r="F62" s="129"/>
      <c r="G62" s="129"/>
      <c r="H62" s="62"/>
      <c r="I62" s="63"/>
      <c r="J62" s="63" t="s">
        <v>2859</v>
      </c>
      <c r="K62" s="62" t="s">
        <v>163</v>
      </c>
      <c r="L62" s="64"/>
      <c r="M62" s="62" t="s">
        <v>184</v>
      </c>
      <c r="N62" s="62"/>
      <c r="O62" s="65"/>
      <c r="P62" s="65" t="s">
        <v>119</v>
      </c>
      <c r="Q62" s="65"/>
      <c r="R62" s="290"/>
    </row>
    <row r="63" customFormat="false" ht="15" hidden="false" customHeight="true" outlineLevel="0" collapsed="false">
      <c r="A63" s="60" t="n">
        <v>55</v>
      </c>
      <c r="B63" s="127"/>
      <c r="C63" s="141"/>
      <c r="D63" s="296" t="s">
        <v>2860</v>
      </c>
      <c r="E63" s="129"/>
      <c r="F63" s="129"/>
      <c r="G63" s="129"/>
      <c r="H63" s="62"/>
      <c r="I63" s="63"/>
      <c r="J63" s="63" t="s">
        <v>2861</v>
      </c>
      <c r="K63" s="62" t="s">
        <v>163</v>
      </c>
      <c r="L63" s="64"/>
      <c r="M63" s="62" t="s">
        <v>184</v>
      </c>
      <c r="N63" s="62"/>
      <c r="O63" s="65"/>
      <c r="P63" s="65" t="s">
        <v>119</v>
      </c>
      <c r="Q63" s="65"/>
      <c r="R63" s="290"/>
    </row>
    <row r="64" customFormat="false" ht="15" hidden="false" customHeight="true" outlineLevel="0" collapsed="false">
      <c r="A64" s="60" t="n">
        <v>56</v>
      </c>
      <c r="B64" s="127"/>
      <c r="C64" s="141"/>
      <c r="D64" s="296" t="s">
        <v>2862</v>
      </c>
      <c r="E64" s="129"/>
      <c r="F64" s="129"/>
      <c r="G64" s="129"/>
      <c r="H64" s="62"/>
      <c r="I64" s="63"/>
      <c r="J64" s="63" t="s">
        <v>2863</v>
      </c>
      <c r="K64" s="62" t="s">
        <v>163</v>
      </c>
      <c r="L64" s="64"/>
      <c r="M64" s="62" t="s">
        <v>184</v>
      </c>
      <c r="N64" s="62"/>
      <c r="O64" s="65"/>
      <c r="P64" s="65" t="s">
        <v>119</v>
      </c>
      <c r="Q64" s="65"/>
      <c r="R64" s="290"/>
    </row>
    <row r="65" customFormat="false" ht="15" hidden="false" customHeight="true" outlineLevel="0" collapsed="false">
      <c r="A65" s="60" t="n">
        <v>58</v>
      </c>
      <c r="B65" s="127"/>
      <c r="C65" s="141"/>
      <c r="D65" s="296" t="s">
        <v>2864</v>
      </c>
      <c r="E65" s="129"/>
      <c r="F65" s="129"/>
      <c r="G65" s="129"/>
      <c r="H65" s="62"/>
      <c r="I65" s="63"/>
      <c r="J65" s="63" t="s">
        <v>2865</v>
      </c>
      <c r="K65" s="62" t="s">
        <v>163</v>
      </c>
      <c r="L65" s="64"/>
      <c r="M65" s="62" t="s">
        <v>184</v>
      </c>
      <c r="N65" s="62"/>
      <c r="O65" s="65"/>
      <c r="P65" s="65" t="s">
        <v>119</v>
      </c>
      <c r="Q65" s="65"/>
      <c r="R65" s="290"/>
    </row>
    <row r="66" customFormat="false" ht="15" hidden="false" customHeight="true" outlineLevel="0" collapsed="false">
      <c r="A66" s="60" t="n">
        <v>59</v>
      </c>
      <c r="B66" s="127"/>
      <c r="C66" s="141"/>
      <c r="D66" s="296" t="s">
        <v>2866</v>
      </c>
      <c r="E66" s="129"/>
      <c r="F66" s="129"/>
      <c r="G66" s="129"/>
      <c r="H66" s="62"/>
      <c r="I66" s="63"/>
      <c r="J66" s="63" t="s">
        <v>2867</v>
      </c>
      <c r="K66" s="62" t="s">
        <v>163</v>
      </c>
      <c r="L66" s="64"/>
      <c r="M66" s="62" t="s">
        <v>184</v>
      </c>
      <c r="N66" s="62"/>
      <c r="O66" s="65"/>
      <c r="P66" s="65" t="s">
        <v>119</v>
      </c>
      <c r="Q66" s="65"/>
      <c r="R66" s="290"/>
    </row>
    <row r="67" customFormat="false" ht="15" hidden="false" customHeight="true" outlineLevel="0" collapsed="false">
      <c r="A67" s="60" t="n">
        <v>60</v>
      </c>
      <c r="B67" s="127"/>
      <c r="C67" s="141"/>
      <c r="D67" s="296" t="s">
        <v>2868</v>
      </c>
      <c r="E67" s="129"/>
      <c r="F67" s="129"/>
      <c r="G67" s="129"/>
      <c r="H67" s="62"/>
      <c r="I67" s="63"/>
      <c r="J67" s="63" t="s">
        <v>2869</v>
      </c>
      <c r="K67" s="62" t="s">
        <v>163</v>
      </c>
      <c r="L67" s="64"/>
      <c r="M67" s="62" t="s">
        <v>184</v>
      </c>
      <c r="N67" s="62"/>
      <c r="O67" s="65"/>
      <c r="P67" s="65" t="s">
        <v>119</v>
      </c>
      <c r="Q67" s="65"/>
      <c r="R67" s="290"/>
    </row>
    <row r="68" customFormat="false" ht="15" hidden="false" customHeight="true" outlineLevel="0" collapsed="false">
      <c r="A68" s="60" t="n">
        <v>61</v>
      </c>
      <c r="B68" s="164" t="s">
        <v>2870</v>
      </c>
      <c r="C68" s="291"/>
      <c r="D68" s="292"/>
      <c r="E68" s="292"/>
      <c r="F68" s="292"/>
      <c r="G68" s="292"/>
      <c r="H68" s="293"/>
      <c r="I68" s="294"/>
      <c r="J68" s="63" t="s">
        <v>2156</v>
      </c>
      <c r="K68" s="62" t="s">
        <v>163</v>
      </c>
      <c r="L68" s="64"/>
      <c r="M68" s="62"/>
      <c r="N68" s="62"/>
      <c r="O68" s="65"/>
      <c r="P68" s="65" t="s">
        <v>119</v>
      </c>
      <c r="Q68" s="65"/>
      <c r="R68" s="290"/>
    </row>
    <row r="69" customFormat="false" ht="15" hidden="false" customHeight="true" outlineLevel="0" collapsed="false">
      <c r="A69" s="60" t="n">
        <v>62</v>
      </c>
      <c r="B69" s="127"/>
      <c r="C69" s="141" t="s">
        <v>2871</v>
      </c>
      <c r="D69" s="129"/>
      <c r="E69" s="129"/>
      <c r="F69" s="129"/>
      <c r="G69" s="129"/>
      <c r="H69" s="62" t="s">
        <v>2872</v>
      </c>
      <c r="I69" s="63"/>
      <c r="J69" s="63" t="s">
        <v>2873</v>
      </c>
      <c r="K69" s="62" t="s">
        <v>163</v>
      </c>
      <c r="L69" s="64"/>
      <c r="M69" s="62"/>
      <c r="N69" s="62"/>
      <c r="O69" s="65"/>
      <c r="P69" s="65" t="s">
        <v>119</v>
      </c>
      <c r="Q69" s="65"/>
      <c r="R69" s="290"/>
    </row>
    <row r="70" customFormat="false" ht="15" hidden="false" customHeight="true" outlineLevel="0" collapsed="false">
      <c r="A70" s="60" t="n">
        <v>63</v>
      </c>
      <c r="B70" s="127"/>
      <c r="C70" s="141" t="s">
        <v>2874</v>
      </c>
      <c r="D70" s="129"/>
      <c r="E70" s="129"/>
      <c r="F70" s="129"/>
      <c r="G70" s="129"/>
      <c r="H70" s="62" t="s">
        <v>2875</v>
      </c>
      <c r="I70" s="63"/>
      <c r="J70" s="63" t="s">
        <v>2834</v>
      </c>
      <c r="K70" s="62" t="s">
        <v>163</v>
      </c>
      <c r="L70" s="64"/>
      <c r="M70" s="62"/>
      <c r="N70" s="62"/>
      <c r="O70" s="65"/>
      <c r="P70" s="65" t="s">
        <v>119</v>
      </c>
      <c r="Q70" s="65"/>
      <c r="R70" s="290"/>
    </row>
    <row r="71" customFormat="false" ht="15" hidden="false" customHeight="true" outlineLevel="0" collapsed="false">
      <c r="A71" s="60" t="n">
        <v>64</v>
      </c>
      <c r="B71" s="127"/>
      <c r="C71" s="141" t="s">
        <v>2876</v>
      </c>
      <c r="D71" s="129"/>
      <c r="E71" s="129"/>
      <c r="F71" s="129"/>
      <c r="G71" s="129"/>
      <c r="H71" s="62"/>
      <c r="I71" s="63"/>
      <c r="J71" s="63" t="s">
        <v>2877</v>
      </c>
      <c r="K71" s="62" t="s">
        <v>163</v>
      </c>
      <c r="L71" s="64"/>
      <c r="M71" s="62" t="s">
        <v>184</v>
      </c>
      <c r="N71" s="62"/>
      <c r="O71" s="65"/>
      <c r="P71" s="65" t="s">
        <v>119</v>
      </c>
      <c r="Q71" s="65"/>
      <c r="R71" s="290"/>
    </row>
    <row r="72" customFormat="false" ht="15" hidden="false" customHeight="true" outlineLevel="0" collapsed="false">
      <c r="A72" s="60" t="n">
        <v>65</v>
      </c>
      <c r="B72" s="127"/>
      <c r="C72" s="141" t="s">
        <v>2878</v>
      </c>
      <c r="D72" s="129"/>
      <c r="E72" s="129"/>
      <c r="F72" s="129"/>
      <c r="G72" s="129"/>
      <c r="H72" s="62"/>
      <c r="I72" s="63"/>
      <c r="J72" s="63"/>
      <c r="K72" s="62" t="s">
        <v>163</v>
      </c>
      <c r="L72" s="64"/>
      <c r="M72" s="62" t="s">
        <v>184</v>
      </c>
      <c r="N72" s="62"/>
      <c r="O72" s="65"/>
      <c r="P72" s="65" t="s">
        <v>119</v>
      </c>
      <c r="Q72" s="65"/>
      <c r="R72" s="290"/>
    </row>
    <row r="73" customFormat="false" ht="15" hidden="false" customHeight="true" outlineLevel="0" collapsed="false">
      <c r="A73" s="60" t="n">
        <v>66</v>
      </c>
      <c r="B73" s="127"/>
      <c r="C73" s="141" t="s">
        <v>2879</v>
      </c>
      <c r="D73" s="129"/>
      <c r="E73" s="129"/>
      <c r="F73" s="129"/>
      <c r="G73" s="129"/>
      <c r="H73" s="62"/>
      <c r="I73" s="63"/>
      <c r="J73" s="63" t="s">
        <v>2880</v>
      </c>
      <c r="K73" s="62" t="s">
        <v>163</v>
      </c>
      <c r="L73" s="64"/>
      <c r="M73" s="62" t="s">
        <v>184</v>
      </c>
      <c r="N73" s="62"/>
      <c r="O73" s="65"/>
      <c r="P73" s="65" t="s">
        <v>119</v>
      </c>
      <c r="Q73" s="65"/>
      <c r="R73" s="290"/>
    </row>
    <row r="74" customFormat="false" ht="15" hidden="false" customHeight="true" outlineLevel="0" collapsed="false">
      <c r="A74" s="60" t="n">
        <v>67</v>
      </c>
      <c r="B74" s="127"/>
      <c r="C74" s="141" t="s">
        <v>2881</v>
      </c>
      <c r="D74" s="129"/>
      <c r="E74" s="129"/>
      <c r="F74" s="129"/>
      <c r="G74" s="129"/>
      <c r="H74" s="62"/>
      <c r="I74" s="63"/>
      <c r="J74" s="63" t="s">
        <v>2882</v>
      </c>
      <c r="K74" s="62" t="s">
        <v>163</v>
      </c>
      <c r="L74" s="64"/>
      <c r="M74" s="62" t="s">
        <v>184</v>
      </c>
      <c r="N74" s="62"/>
      <c r="O74" s="65"/>
      <c r="P74" s="65" t="s">
        <v>119</v>
      </c>
      <c r="Q74" s="65"/>
      <c r="R74" s="290"/>
    </row>
    <row r="75" customFormat="false" ht="15" hidden="false" customHeight="true" outlineLevel="0" collapsed="false">
      <c r="A75" s="60" t="n">
        <v>68</v>
      </c>
      <c r="B75" s="127"/>
      <c r="C75" s="298" t="s">
        <v>2883</v>
      </c>
      <c r="D75" s="129"/>
      <c r="E75" s="129"/>
      <c r="F75" s="129"/>
      <c r="G75" s="129"/>
      <c r="H75" s="62" t="s">
        <v>2884</v>
      </c>
      <c r="I75" s="63"/>
      <c r="J75" s="63"/>
      <c r="K75" s="62" t="s">
        <v>163</v>
      </c>
      <c r="L75" s="64"/>
      <c r="M75" s="62" t="s">
        <v>184</v>
      </c>
      <c r="N75" s="62"/>
      <c r="O75" s="65"/>
      <c r="P75" s="65" t="s">
        <v>119</v>
      </c>
      <c r="Q75" s="65"/>
      <c r="R75" s="290"/>
    </row>
    <row r="76" customFormat="false" ht="15" hidden="false" customHeight="true" outlineLevel="0" collapsed="false">
      <c r="A76" s="60" t="n">
        <v>69</v>
      </c>
      <c r="B76" s="127"/>
      <c r="C76" s="298" t="s">
        <v>2885</v>
      </c>
      <c r="D76" s="129"/>
      <c r="E76" s="129"/>
      <c r="F76" s="129"/>
      <c r="G76" s="129"/>
      <c r="H76" s="62" t="s">
        <v>2886</v>
      </c>
      <c r="I76" s="63"/>
      <c r="J76" s="63"/>
      <c r="K76" s="62" t="s">
        <v>163</v>
      </c>
      <c r="L76" s="64"/>
      <c r="M76" s="62" t="s">
        <v>184</v>
      </c>
      <c r="N76" s="62"/>
      <c r="O76" s="65"/>
      <c r="P76" s="65" t="s">
        <v>119</v>
      </c>
      <c r="Q76" s="65"/>
      <c r="R76" s="290"/>
    </row>
    <row r="77" customFormat="false" ht="15" hidden="false" customHeight="true" outlineLevel="0" collapsed="false">
      <c r="A77" s="60" t="n">
        <v>70</v>
      </c>
      <c r="B77" s="127"/>
      <c r="C77" s="298" t="s">
        <v>2887</v>
      </c>
      <c r="D77" s="129"/>
      <c r="E77" s="129"/>
      <c r="F77" s="129"/>
      <c r="G77" s="129"/>
      <c r="H77" s="136" t="s">
        <v>2888</v>
      </c>
      <c r="I77" s="63"/>
      <c r="J77" s="63"/>
      <c r="K77" s="62" t="s">
        <v>163</v>
      </c>
      <c r="L77" s="64"/>
      <c r="M77" s="62" t="s">
        <v>184</v>
      </c>
      <c r="N77" s="62"/>
      <c r="O77" s="65"/>
      <c r="P77" s="65" t="s">
        <v>119</v>
      </c>
      <c r="Q77" s="65"/>
      <c r="R77" s="290"/>
    </row>
    <row r="78" customFormat="false" ht="15" hidden="false" customHeight="true" outlineLevel="0" collapsed="false">
      <c r="A78" s="60" t="n">
        <v>71</v>
      </c>
      <c r="B78" s="127"/>
      <c r="C78" s="298" t="s">
        <v>2889</v>
      </c>
      <c r="D78" s="129"/>
      <c r="E78" s="129"/>
      <c r="F78" s="129"/>
      <c r="G78" s="129"/>
      <c r="H78" s="62" t="s">
        <v>2890</v>
      </c>
      <c r="I78" s="63"/>
      <c r="J78" s="63"/>
      <c r="K78" s="62" t="s">
        <v>163</v>
      </c>
      <c r="L78" s="64"/>
      <c r="M78" s="62" t="s">
        <v>184</v>
      </c>
      <c r="N78" s="62"/>
      <c r="O78" s="65"/>
      <c r="P78" s="65" t="s">
        <v>119</v>
      </c>
      <c r="Q78" s="65"/>
      <c r="R78" s="290"/>
    </row>
    <row r="79" customFormat="false" ht="15" hidden="false" customHeight="true" outlineLevel="0" collapsed="false">
      <c r="A79" s="60" t="n">
        <v>72</v>
      </c>
      <c r="B79" s="127"/>
      <c r="C79" s="298" t="s">
        <v>2891</v>
      </c>
      <c r="D79" s="129"/>
      <c r="E79" s="129"/>
      <c r="F79" s="129"/>
      <c r="G79" s="129"/>
      <c r="H79" s="136" t="s">
        <v>2892</v>
      </c>
      <c r="I79" s="63"/>
      <c r="J79" s="63"/>
      <c r="K79" s="62" t="s">
        <v>163</v>
      </c>
      <c r="L79" s="64"/>
      <c r="M79" s="62" t="s">
        <v>184</v>
      </c>
      <c r="N79" s="62"/>
      <c r="O79" s="65"/>
      <c r="P79" s="65" t="s">
        <v>119</v>
      </c>
      <c r="Q79" s="65"/>
      <c r="R79" s="290"/>
    </row>
    <row r="80" customFormat="false" ht="15" hidden="false" customHeight="true" outlineLevel="0" collapsed="false">
      <c r="A80" s="60" t="n">
        <v>73</v>
      </c>
      <c r="B80" s="127"/>
      <c r="C80" s="298" t="s">
        <v>2893</v>
      </c>
      <c r="D80" s="129"/>
      <c r="E80" s="129"/>
      <c r="F80" s="129"/>
      <c r="G80" s="129"/>
      <c r="H80" s="62" t="s">
        <v>2894</v>
      </c>
      <c r="I80" s="63"/>
      <c r="J80" s="63"/>
      <c r="K80" s="62" t="s">
        <v>163</v>
      </c>
      <c r="L80" s="64"/>
      <c r="M80" s="62" t="s">
        <v>184</v>
      </c>
      <c r="N80" s="62"/>
      <c r="O80" s="65"/>
      <c r="P80" s="65" t="s">
        <v>119</v>
      </c>
      <c r="Q80" s="65"/>
      <c r="R80" s="290"/>
    </row>
    <row r="81" customFormat="false" ht="15" hidden="false" customHeight="true" outlineLevel="0" collapsed="false">
      <c r="A81" s="60" t="n">
        <v>74</v>
      </c>
      <c r="B81" s="127"/>
      <c r="C81" s="298" t="s">
        <v>2895</v>
      </c>
      <c r="D81" s="129"/>
      <c r="E81" s="129"/>
      <c r="F81" s="129"/>
      <c r="G81" s="129"/>
      <c r="H81" s="62" t="s">
        <v>2896</v>
      </c>
      <c r="I81" s="63"/>
      <c r="J81" s="63"/>
      <c r="K81" s="62" t="s">
        <v>163</v>
      </c>
      <c r="L81" s="64"/>
      <c r="M81" s="62" t="s">
        <v>184</v>
      </c>
      <c r="N81" s="62"/>
      <c r="O81" s="65"/>
      <c r="P81" s="65" t="s">
        <v>119</v>
      </c>
      <c r="Q81" s="65"/>
      <c r="R81" s="290"/>
    </row>
    <row r="82" customFormat="false" ht="15" hidden="false" customHeight="true" outlineLevel="0" collapsed="false">
      <c r="A82" s="60" t="n">
        <v>75</v>
      </c>
      <c r="B82" s="164" t="s">
        <v>2897</v>
      </c>
      <c r="C82" s="291"/>
      <c r="D82" s="292"/>
      <c r="E82" s="292"/>
      <c r="F82" s="292"/>
      <c r="G82" s="292"/>
      <c r="H82" s="293"/>
      <c r="I82" s="294"/>
      <c r="J82" s="63" t="s">
        <v>2671</v>
      </c>
      <c r="K82" s="62"/>
      <c r="L82" s="64"/>
      <c r="M82" s="62"/>
      <c r="N82" s="62"/>
      <c r="O82" s="65"/>
      <c r="P82" s="65"/>
      <c r="Q82" s="299"/>
      <c r="R82" s="290"/>
    </row>
    <row r="83" customFormat="false" ht="15" hidden="false" customHeight="true" outlineLevel="0" collapsed="false">
      <c r="A83" s="60" t="n">
        <v>76</v>
      </c>
      <c r="B83" s="164"/>
      <c r="C83" s="164" t="s">
        <v>2898</v>
      </c>
      <c r="D83" s="291"/>
      <c r="E83" s="292"/>
      <c r="F83" s="292"/>
      <c r="G83" s="292"/>
      <c r="H83" s="293"/>
      <c r="I83" s="294"/>
      <c r="J83" s="63" t="s">
        <v>2899</v>
      </c>
      <c r="K83" s="62" t="s">
        <v>163</v>
      </c>
      <c r="L83" s="64" t="s">
        <v>119</v>
      </c>
      <c r="M83" s="63" t="s">
        <v>2900</v>
      </c>
      <c r="N83" s="62"/>
      <c r="O83" s="65"/>
      <c r="P83" s="65"/>
      <c r="Q83" s="299"/>
      <c r="R83" s="290"/>
    </row>
    <row r="84" customFormat="false" ht="15" hidden="false" customHeight="true" outlineLevel="0" collapsed="false">
      <c r="A84" s="60" t="n">
        <v>77</v>
      </c>
      <c r="B84" s="127"/>
      <c r="C84" s="141"/>
      <c r="D84" s="129" t="s">
        <v>1813</v>
      </c>
      <c r="E84" s="129"/>
      <c r="F84" s="129"/>
      <c r="G84" s="129"/>
      <c r="H84" s="62" t="s">
        <v>2901</v>
      </c>
      <c r="I84" s="63"/>
      <c r="J84" s="63" t="s">
        <v>1281</v>
      </c>
      <c r="K84" s="62"/>
      <c r="L84" s="64"/>
      <c r="M84" s="62"/>
      <c r="N84" s="62"/>
      <c r="O84" s="65"/>
      <c r="P84" s="65"/>
      <c r="Q84" s="299"/>
      <c r="R84" s="290"/>
    </row>
    <row r="85" customFormat="false" ht="15" hidden="false" customHeight="true" outlineLevel="0" collapsed="false">
      <c r="A85" s="60" t="n">
        <v>78</v>
      </c>
      <c r="B85" s="127"/>
      <c r="C85" s="127"/>
      <c r="D85" s="141" t="s">
        <v>2902</v>
      </c>
      <c r="E85" s="129"/>
      <c r="F85" s="129"/>
      <c r="G85" s="129"/>
      <c r="H85" s="62"/>
      <c r="I85" s="63"/>
      <c r="J85" s="63" t="s">
        <v>2903</v>
      </c>
      <c r="K85" s="62" t="s">
        <v>163</v>
      </c>
      <c r="L85" s="64"/>
      <c r="M85" s="62"/>
      <c r="N85" s="62"/>
      <c r="O85" s="65"/>
      <c r="P85" s="65"/>
      <c r="Q85" s="299"/>
      <c r="R85" s="290"/>
    </row>
    <row r="86" customFormat="false" ht="15" hidden="false" customHeight="true" outlineLevel="0" collapsed="false">
      <c r="A86" s="60" t="n">
        <v>79</v>
      </c>
      <c r="B86" s="127"/>
      <c r="C86" s="127"/>
      <c r="D86" s="141" t="s">
        <v>2904</v>
      </c>
      <c r="E86" s="129"/>
      <c r="F86" s="129"/>
      <c r="G86" s="129"/>
      <c r="H86" s="62"/>
      <c r="I86" s="63"/>
      <c r="J86" s="63" t="s">
        <v>1820</v>
      </c>
      <c r="K86" s="62" t="s">
        <v>163</v>
      </c>
      <c r="L86" s="64" t="s">
        <v>119</v>
      </c>
      <c r="M86" s="149" t="s">
        <v>1820</v>
      </c>
      <c r="N86" s="62"/>
      <c r="O86" s="65"/>
      <c r="P86" s="65"/>
      <c r="Q86" s="299"/>
      <c r="R86" s="290"/>
    </row>
    <row r="87" customFormat="false" ht="15" hidden="false" customHeight="true" outlineLevel="0" collapsed="false">
      <c r="A87" s="60" t="n">
        <v>80</v>
      </c>
      <c r="B87" s="127"/>
      <c r="C87" s="127"/>
      <c r="D87" s="141"/>
      <c r="E87" s="141" t="s">
        <v>2905</v>
      </c>
      <c r="F87" s="129"/>
      <c r="G87" s="129"/>
      <c r="H87" s="62"/>
      <c r="I87" s="63"/>
      <c r="J87" s="63" t="s">
        <v>2906</v>
      </c>
      <c r="K87" s="62" t="s">
        <v>163</v>
      </c>
      <c r="L87" s="64"/>
      <c r="M87" s="62"/>
      <c r="N87" s="62"/>
      <c r="O87" s="65"/>
      <c r="P87" s="65"/>
      <c r="Q87" s="299"/>
      <c r="R87" s="290"/>
    </row>
    <row r="88" customFormat="false" ht="15" hidden="false" customHeight="true" outlineLevel="0" collapsed="false">
      <c r="A88" s="60" t="n">
        <v>81</v>
      </c>
      <c r="B88" s="127"/>
      <c r="C88" s="127"/>
      <c r="D88" s="141"/>
      <c r="E88" s="141" t="s">
        <v>1804</v>
      </c>
      <c r="F88" s="129"/>
      <c r="G88" s="129"/>
      <c r="H88" s="62"/>
      <c r="I88" s="63"/>
      <c r="J88" s="63" t="s">
        <v>1802</v>
      </c>
      <c r="K88" s="62" t="s">
        <v>163</v>
      </c>
      <c r="L88" s="64"/>
      <c r="M88" s="62"/>
      <c r="N88" s="62"/>
      <c r="O88" s="65"/>
      <c r="P88" s="65"/>
      <c r="Q88" s="299"/>
      <c r="R88" s="290"/>
    </row>
    <row r="89" customFormat="false" ht="15" hidden="false" customHeight="true" outlineLevel="0" collapsed="false">
      <c r="A89" s="60" t="n">
        <v>82</v>
      </c>
      <c r="B89" s="127"/>
      <c r="C89" s="141"/>
      <c r="D89" s="129"/>
      <c r="E89" s="141" t="s">
        <v>2907</v>
      </c>
      <c r="F89" s="129"/>
      <c r="G89" s="129"/>
      <c r="H89" s="62"/>
      <c r="I89" s="63"/>
      <c r="J89" s="63" t="s">
        <v>2371</v>
      </c>
      <c r="K89" s="62" t="s">
        <v>163</v>
      </c>
      <c r="L89" s="64"/>
      <c r="M89" s="62"/>
      <c r="N89" s="62"/>
      <c r="O89" s="65"/>
      <c r="P89" s="65"/>
      <c r="Q89" s="299"/>
      <c r="R89" s="290"/>
    </row>
    <row r="90" customFormat="false" ht="15" hidden="false" customHeight="true" outlineLevel="0" collapsed="false">
      <c r="A90" s="60" t="n">
        <v>80</v>
      </c>
      <c r="B90" s="127"/>
      <c r="C90" s="127" t="s">
        <v>2908</v>
      </c>
      <c r="D90" s="127"/>
      <c r="E90" s="129"/>
      <c r="F90" s="129"/>
      <c r="G90" s="129"/>
      <c r="H90" s="62"/>
      <c r="I90" s="63"/>
      <c r="J90" s="63" t="s">
        <v>2909</v>
      </c>
      <c r="K90" s="62" t="s">
        <v>163</v>
      </c>
      <c r="L90" s="64"/>
      <c r="M90" s="62" t="s">
        <v>134</v>
      </c>
      <c r="N90" s="62"/>
      <c r="O90" s="65"/>
      <c r="P90" s="65"/>
      <c r="Q90" s="65"/>
      <c r="R90" s="290"/>
    </row>
    <row r="91" customFormat="false" ht="15" hidden="false" customHeight="true" outlineLevel="0" collapsed="false">
      <c r="A91" s="60" t="n">
        <v>81</v>
      </c>
      <c r="B91" s="127"/>
      <c r="C91" s="127" t="s">
        <v>2910</v>
      </c>
      <c r="D91" s="127"/>
      <c r="E91" s="129"/>
      <c r="F91" s="129"/>
      <c r="G91" s="129"/>
      <c r="H91" s="62"/>
      <c r="I91" s="63"/>
      <c r="J91" s="63" t="s">
        <v>2911</v>
      </c>
      <c r="K91" s="62" t="s">
        <v>163</v>
      </c>
      <c r="L91" s="64"/>
      <c r="M91" s="62" t="s">
        <v>134</v>
      </c>
      <c r="N91" s="62"/>
      <c r="O91" s="65"/>
      <c r="P91" s="65"/>
      <c r="Q91" s="65"/>
      <c r="R91" s="290"/>
    </row>
    <row r="92" customFormat="false" ht="16.5" hidden="false" customHeight="true" outlineLevel="0" collapsed="false">
      <c r="A92" s="60"/>
      <c r="B92" s="67"/>
      <c r="C92" s="60"/>
      <c r="D92" s="60"/>
      <c r="E92" s="60"/>
      <c r="F92" s="60"/>
      <c r="G92" s="60"/>
      <c r="H92" s="60"/>
      <c r="J92" s="69"/>
      <c r="K92" s="60"/>
      <c r="L92" s="60"/>
      <c r="M92" s="60"/>
      <c r="N92" s="60"/>
      <c r="O92" s="60"/>
      <c r="P92" s="60"/>
      <c r="Q92" s="60"/>
    </row>
  </sheetData>
  <mergeCells count="1">
    <mergeCell ref="O7:Q7"/>
  </mergeCells>
  <conditionalFormatting sqref="A93:F94 A114:F954">
    <cfRule type="expression" priority="2" aboveAverage="0" equalAverage="0" bottom="0" percent="0" rank="0" text="" dxfId="4158">
      <formula>OR(#ref!="X",#ref!="X")</formula>
    </cfRule>
    <cfRule type="expression" priority="3" aboveAverage="0" equalAverage="0" bottom="0" percent="0" rank="0" text="" dxfId="4159">
      <formula>AND(#ref!=1,#ref!=1)</formula>
    </cfRule>
    <cfRule type="expression" priority="4" aboveAverage="0" equalAverage="0" bottom="0" percent="0" rank="0" text="" dxfId="4160">
      <formula>#ref!=1</formula>
    </cfRule>
    <cfRule type="expression" priority="5" aboveAverage="0" equalAverage="0" bottom="0" percent="0" rank="0" text="" dxfId="4161">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{50927F12-196D-4880-B6CD-A8BE3176925C}</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{DC5E7F91-9374-4A98-A320-B5A460BC3A2F}</x14:id>
        </ext>
      </extLst>
    </cfRule>
  </conditionalFormatting>
  <conditionalFormatting sqref="H93:H94 H114:H954">
    <cfRule type="expression" priority="8" aboveAverage="0" equalAverage="0" bottom="0" percent="0" rank="0" text="" dxfId="4162">
      <formula>$K93="X"</formula>
    </cfRule>
  </conditionalFormatting>
  <conditionalFormatting sqref="K9:K91">
    <cfRule type="cellIs" priority="9" operator="equal" aboveAverage="0" equalAverage="0" bottom="0" percent="0" rank="0" text="" dxfId="4163">
      <formula>"1..1"</formula>
    </cfRule>
    <cfRule type="cellIs" priority="10" operator="equal" aboveAverage="0" equalAverage="0" bottom="0" percent="0" rank="0" text="" dxfId="4164">
      <formula>"0..n"</formula>
    </cfRule>
    <cfRule type="cellIs" priority="11" operator="equal" aboveAverage="0" equalAverage="0" bottom="0" percent="0" rank="0" text="" dxfId="416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0927F12-196D-4880-B6CD-A8BE3176925C}">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DC5E7F91-9374-4A98-A320-B5A460BC3A2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A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6" activeCellId="0" sqref="S26"/>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19.37"/>
    <col collapsed="false" customWidth="true" hidden="false" outlineLevel="0" max="3" min="3" style="30" width="18.13"/>
    <col collapsed="false" customWidth="true" hidden="false" outlineLevel="0" max="4" min="4" style="30" width="25"/>
    <col collapsed="false" customWidth="true" hidden="false" outlineLevel="0" max="5" min="5" style="30" width="20"/>
    <col collapsed="false" customWidth="true" hidden="false" outlineLevel="0" max="6" min="6" style="30" width="8.64"/>
    <col collapsed="false" customWidth="true" hidden="false" outlineLevel="0" max="7" min="7" style="31" width="14.62"/>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true" outlineLevel="0" max="12" min="11" style="31" width="4.88"/>
    <col collapsed="false" customWidth="true" hidden="true" outlineLevel="0" max="14" min="13" style="31" width="6.13"/>
    <col collapsed="false" customWidth="true" hidden="true" outlineLevel="0" max="15" min="15" style="55" width="6.62"/>
    <col collapsed="false" customWidth="true" hidden="false" outlineLevel="0" max="16" min="16" style="31" width="10.51"/>
    <col collapsed="false" customWidth="true" hidden="false" outlineLevel="0" max="17" min="17" style="55" width="6"/>
    <col collapsed="false" customWidth="true" hidden="false" outlineLevel="0" max="18" min="18" style="31" width="18.5"/>
    <col collapsed="false" customWidth="true" hidden="false" outlineLevel="0" max="19" min="19" style="31" width="22.5"/>
    <col collapsed="false" customWidth="false" hidden="false" outlineLevel="0" max="22" min="20" style="31" width="9.51"/>
    <col collapsed="false" customWidth="true" hidden="false" outlineLevel="0" max="23" min="23" style="0" width="3.62"/>
    <col collapsed="false" customWidth="true" hidden="false" outlineLevel="0" max="24" min="24" style="180" width="10.87"/>
    <col collapsed="false" customWidth="true" hidden="false" outlineLevel="0" max="25" min="25" style="31" width="10.87"/>
    <col collapsed="false" customWidth="true" hidden="false" outlineLevel="0" max="26" min="26" style="32" width="10.87"/>
    <col collapsed="false" customWidth="true" hidden="false" outlineLevel="0" max="27" min="27" style="31" width="10.87"/>
    <col collapsed="false" customWidth="true" hidden="false" outlineLevel="0" max="29" min="29" style="31" width="8"/>
    <col collapsed="false" customWidth="false" hidden="false" outlineLevel="0" max="1011" min="31" style="30" width="9.51"/>
    <col collapsed="false" customWidth="true" hidden="false" outlineLevel="0" max="1012" min="1012" style="30" width="9"/>
    <col collapsed="false" customWidth="true" hidden="false" outlineLevel="0" max="1014" min="1013" style="0" width="9"/>
  </cols>
  <sheetData>
    <row r="1" customFormat="false" ht="13.5" hidden="false" customHeight="true" outlineLevel="0" collapsed="false">
      <c r="A1" s="71" t="s">
        <v>2912</v>
      </c>
      <c r="C1" s="72"/>
      <c r="F1" s="37"/>
      <c r="G1" s="30"/>
      <c r="H1" s="38"/>
      <c r="I1" s="38"/>
      <c r="N1" s="300" t="s">
        <v>2913</v>
      </c>
      <c r="O1" s="300"/>
      <c r="AB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AB2" s="31"/>
    </row>
    <row r="3" customFormat="false" ht="13.5" hidden="false" customHeight="true" outlineLevel="0" collapsed="false">
      <c r="A3" s="39" t="s">
        <v>84</v>
      </c>
      <c r="B3" s="39" t="s">
        <v>85</v>
      </c>
      <c r="C3" s="40" t="s">
        <v>2914</v>
      </c>
      <c r="D3" s="39" t="s">
        <v>87</v>
      </c>
      <c r="E3" s="301"/>
      <c r="F3" s="39"/>
      <c r="G3" s="39" t="s">
        <v>91</v>
      </c>
      <c r="H3" s="39" t="s">
        <v>91</v>
      </c>
      <c r="I3" s="39" t="s">
        <v>91</v>
      </c>
      <c r="AB3" s="31"/>
    </row>
    <row r="4" customFormat="false" ht="13.5" hidden="false" customHeight="true" outlineLevel="0" collapsed="false">
      <c r="C4" s="42"/>
      <c r="G4" s="43"/>
      <c r="AB4" s="31"/>
    </row>
    <row r="5" s="46" customFormat="true" ht="13.5" hidden="false" customHeight="true" outlineLevel="0" collapsed="false">
      <c r="A5" s="30"/>
      <c r="B5" s="30"/>
      <c r="C5" s="44"/>
      <c r="D5" s="45"/>
      <c r="E5" s="45"/>
      <c r="F5" s="45"/>
      <c r="G5" s="47"/>
      <c r="H5" s="47"/>
      <c r="I5" s="302"/>
      <c r="J5" s="48"/>
      <c r="K5" s="47"/>
      <c r="L5" s="47"/>
      <c r="M5" s="47"/>
      <c r="N5" s="47"/>
      <c r="O5" s="303"/>
      <c r="P5" s="47"/>
      <c r="Q5" s="303"/>
      <c r="R5" s="47"/>
      <c r="S5" s="47"/>
      <c r="T5" s="47"/>
      <c r="U5" s="47"/>
      <c r="V5" s="47"/>
      <c r="X5" s="181"/>
      <c r="Y5" s="47"/>
      <c r="Z5" s="48"/>
      <c r="AA5" s="47"/>
      <c r="AB5" s="47"/>
      <c r="AC5" s="47"/>
    </row>
    <row r="6" customFormat="false" ht="13.5" hidden="false" customHeight="true" outlineLevel="0" collapsed="false">
      <c r="C6" s="50"/>
      <c r="D6" s="51"/>
      <c r="F6" s="51"/>
      <c r="AB6" s="31"/>
    </row>
    <row r="7" customFormat="false" ht="13.5" hidden="false" customHeight="true" outlineLevel="0" collapsed="false">
      <c r="C7" s="51"/>
      <c r="D7" s="118"/>
      <c r="E7" s="51"/>
      <c r="F7" s="51"/>
      <c r="K7" s="304" t="s">
        <v>170</v>
      </c>
      <c r="L7" s="304"/>
      <c r="M7" s="304"/>
      <c r="N7" s="304"/>
      <c r="T7" s="52" t="s">
        <v>93</v>
      </c>
      <c r="U7" s="52" t="s">
        <v>93</v>
      </c>
      <c r="V7" s="52" t="s">
        <v>93</v>
      </c>
      <c r="AB7" s="304" t="s">
        <v>2915</v>
      </c>
      <c r="AC7" s="304"/>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305" t="s">
        <v>171</v>
      </c>
      <c r="L8" s="305" t="s">
        <v>172</v>
      </c>
      <c r="M8" s="305" t="s">
        <v>173</v>
      </c>
      <c r="N8" s="305" t="s">
        <v>174</v>
      </c>
      <c r="O8" s="305" t="s">
        <v>175</v>
      </c>
      <c r="P8" s="122" t="s">
        <v>106</v>
      </c>
      <c r="Q8" s="122" t="s">
        <v>107</v>
      </c>
      <c r="R8" s="122" t="s">
        <v>204</v>
      </c>
      <c r="S8" s="122" t="s">
        <v>109</v>
      </c>
      <c r="T8" s="123" t="s">
        <v>110</v>
      </c>
      <c r="U8" s="123" t="s">
        <v>85</v>
      </c>
      <c r="V8" s="123" t="s">
        <v>201</v>
      </c>
      <c r="W8" s="182" t="s">
        <v>111</v>
      </c>
      <c r="X8" s="305" t="s">
        <v>2916</v>
      </c>
      <c r="Y8" s="305" t="s">
        <v>2917</v>
      </c>
      <c r="Z8" s="306" t="s">
        <v>2918</v>
      </c>
      <c r="AA8" s="305" t="s">
        <v>2919</v>
      </c>
      <c r="AB8" s="305" t="s">
        <v>2920</v>
      </c>
      <c r="AC8" s="307" t="s">
        <v>177</v>
      </c>
    </row>
    <row r="9" s="67" customFormat="true" ht="13.5" hidden="false" customHeight="true" outlineLevel="0" collapsed="false">
      <c r="A9" s="126" t="n">
        <f aca="false">ROW()-8</f>
        <v>1</v>
      </c>
      <c r="B9" s="127" t="s">
        <v>1204</v>
      </c>
      <c r="C9" s="128"/>
      <c r="D9" s="129"/>
      <c r="E9" s="129"/>
      <c r="F9" s="129"/>
      <c r="G9" s="129"/>
      <c r="H9" s="62" t="s">
        <v>113</v>
      </c>
      <c r="I9" s="98" t="s">
        <v>1205</v>
      </c>
      <c r="J9" s="63" t="s">
        <v>1206</v>
      </c>
      <c r="K9" s="62" t="s">
        <v>2921</v>
      </c>
      <c r="L9" s="62" t="s">
        <v>2922</v>
      </c>
      <c r="M9" s="62"/>
      <c r="N9" s="62"/>
      <c r="O9" s="130" t="n">
        <v>1</v>
      </c>
      <c r="P9" s="62" t="s">
        <v>117</v>
      </c>
      <c r="Q9" s="130"/>
      <c r="R9" s="62" t="s">
        <v>118</v>
      </c>
      <c r="S9" s="62" t="s">
        <v>2923</v>
      </c>
      <c r="T9" s="65" t="s">
        <v>119</v>
      </c>
      <c r="U9" s="65" t="s">
        <v>119</v>
      </c>
      <c r="V9" s="65" t="s">
        <v>119</v>
      </c>
      <c r="W9" s="66"/>
      <c r="X9" s="308"/>
      <c r="Y9" s="62" t="s">
        <v>2924</v>
      </c>
      <c r="Z9" s="309" t="s">
        <v>2925</v>
      </c>
      <c r="AA9" s="62"/>
      <c r="AB9" s="64" t="n">
        <v>1</v>
      </c>
      <c r="AC9" s="64" t="n">
        <v>1</v>
      </c>
    </row>
    <row r="10" s="67" customFormat="true" ht="13.5" hidden="false" customHeight="true" outlineLevel="0" collapsed="false">
      <c r="A10" s="126" t="n">
        <f aca="false">ROW()-8</f>
        <v>2</v>
      </c>
      <c r="B10" s="132" t="s">
        <v>1208</v>
      </c>
      <c r="C10" s="133"/>
      <c r="D10" s="133"/>
      <c r="E10" s="133"/>
      <c r="F10" s="133"/>
      <c r="G10" s="133"/>
      <c r="H10" s="62" t="s">
        <v>1209</v>
      </c>
      <c r="I10" s="61" t="s">
        <v>1210</v>
      </c>
      <c r="J10" s="63" t="s">
        <v>1211</v>
      </c>
      <c r="K10" s="62" t="s">
        <v>2926</v>
      </c>
      <c r="L10" s="62" t="s">
        <v>2927</v>
      </c>
      <c r="M10" s="62"/>
      <c r="N10" s="62"/>
      <c r="O10" s="130"/>
      <c r="P10" s="62" t="s">
        <v>163</v>
      </c>
      <c r="Q10" s="130"/>
      <c r="R10" s="62" t="s">
        <v>118</v>
      </c>
      <c r="S10" s="62"/>
      <c r="T10" s="65" t="s">
        <v>119</v>
      </c>
      <c r="U10" s="65" t="s">
        <v>119</v>
      </c>
      <c r="V10" s="65" t="s">
        <v>119</v>
      </c>
      <c r="W10" s="66"/>
      <c r="X10" s="308"/>
      <c r="Y10" s="62"/>
      <c r="Z10" s="309"/>
      <c r="AA10" s="62"/>
      <c r="AB10" s="64" t="n">
        <v>1</v>
      </c>
      <c r="AC10" s="64" t="n">
        <v>1</v>
      </c>
    </row>
    <row r="11" s="67" customFormat="true" ht="13.5" hidden="false" customHeight="true" outlineLevel="0" collapsed="false">
      <c r="A11" s="126" t="n">
        <f aca="false">ROW()-8</f>
        <v>3</v>
      </c>
      <c r="B11" s="127" t="s">
        <v>2928</v>
      </c>
      <c r="C11" s="139"/>
      <c r="D11" s="139"/>
      <c r="E11" s="139"/>
      <c r="F11" s="139"/>
      <c r="G11" s="139"/>
      <c r="H11" s="172" t="s">
        <v>2929</v>
      </c>
      <c r="I11" s="63"/>
      <c r="J11" s="63" t="s">
        <v>1785</v>
      </c>
      <c r="K11" s="62"/>
      <c r="L11" s="62"/>
      <c r="M11" s="62"/>
      <c r="N11" s="62"/>
      <c r="O11" s="130"/>
      <c r="P11" s="62" t="s">
        <v>1247</v>
      </c>
      <c r="Q11" s="130" t="s">
        <v>119</v>
      </c>
      <c r="R11" s="140" t="s">
        <v>1785</v>
      </c>
      <c r="S11" s="62"/>
      <c r="T11" s="65"/>
      <c r="U11" s="143" t="s">
        <v>119</v>
      </c>
      <c r="V11" s="143" t="s">
        <v>119</v>
      </c>
      <c r="W11" s="66"/>
      <c r="X11" s="174" t="s">
        <v>1786</v>
      </c>
      <c r="Y11" s="136" t="s">
        <v>1787</v>
      </c>
      <c r="Z11" s="309"/>
      <c r="AA11" s="62"/>
      <c r="AB11" s="64"/>
      <c r="AC11" s="64" t="n">
        <v>1</v>
      </c>
    </row>
    <row r="12" s="67" customFormat="true" ht="13.5" hidden="false" customHeight="true" outlineLevel="0" collapsed="false">
      <c r="A12" s="126" t="n">
        <f aca="false">ROW()-8</f>
        <v>4</v>
      </c>
      <c r="B12" s="127"/>
      <c r="C12" s="141" t="s">
        <v>1631</v>
      </c>
      <c r="D12" s="129"/>
      <c r="E12" s="129"/>
      <c r="F12" s="129"/>
      <c r="G12" s="129"/>
      <c r="H12" s="62" t="s">
        <v>1788</v>
      </c>
      <c r="I12" s="63" t="s">
        <v>1633</v>
      </c>
      <c r="J12" s="63" t="s">
        <v>2930</v>
      </c>
      <c r="K12" s="62"/>
      <c r="L12" s="62"/>
      <c r="M12" s="62"/>
      <c r="N12" s="62"/>
      <c r="O12" s="130"/>
      <c r="P12" s="62" t="s">
        <v>163</v>
      </c>
      <c r="Q12" s="130"/>
      <c r="R12" s="62" t="s">
        <v>118</v>
      </c>
      <c r="S12" s="62"/>
      <c r="T12" s="65"/>
      <c r="U12" s="143" t="s">
        <v>119</v>
      </c>
      <c r="V12" s="143" t="s">
        <v>119</v>
      </c>
      <c r="W12" s="66"/>
      <c r="X12" s="308"/>
      <c r="Y12" s="136"/>
      <c r="Z12" s="309"/>
      <c r="AA12" s="62"/>
      <c r="AB12" s="64"/>
      <c r="AC12" s="64" t="n">
        <v>1</v>
      </c>
    </row>
    <row r="13" s="169" customFormat="true" ht="12.75" hidden="false" customHeight="true" outlineLevel="0" collapsed="false">
      <c r="A13" s="126" t="n">
        <f aca="false">ROW()-8</f>
        <v>5</v>
      </c>
      <c r="B13" s="127"/>
      <c r="C13" s="129" t="s">
        <v>2672</v>
      </c>
      <c r="D13" s="129"/>
      <c r="E13" s="129"/>
      <c r="F13" s="129"/>
      <c r="G13" s="129"/>
      <c r="H13" s="174" t="s">
        <v>1824</v>
      </c>
      <c r="I13" s="137" t="s">
        <v>1825</v>
      </c>
      <c r="J13" s="175" t="s">
        <v>1826</v>
      </c>
      <c r="K13" s="62"/>
      <c r="L13" s="62"/>
      <c r="M13" s="62"/>
      <c r="N13" s="62"/>
      <c r="O13" s="130"/>
      <c r="P13" s="62" t="s">
        <v>163</v>
      </c>
      <c r="Q13" s="130"/>
      <c r="R13" s="62" t="s">
        <v>118</v>
      </c>
      <c r="S13" s="62" t="s">
        <v>1827</v>
      </c>
      <c r="T13" s="138"/>
      <c r="U13" s="143" t="s">
        <v>119</v>
      </c>
      <c r="V13" s="143" t="s">
        <v>119</v>
      </c>
      <c r="W13" s="66"/>
      <c r="X13" s="310" t="s">
        <v>2931</v>
      </c>
      <c r="Y13" s="311" t="s">
        <v>2932</v>
      </c>
      <c r="Z13" s="312" t="s">
        <v>2933</v>
      </c>
      <c r="AA13" s="136"/>
      <c r="AB13" s="64"/>
      <c r="AC13" s="64" t="n">
        <v>1</v>
      </c>
    </row>
    <row r="14" s="169" customFormat="true" ht="12.75" hidden="false" customHeight="true" outlineLevel="0" collapsed="false">
      <c r="A14" s="126" t="n">
        <f aca="false">ROW()-8</f>
        <v>6</v>
      </c>
      <c r="B14" s="127"/>
      <c r="C14" s="129" t="s">
        <v>2934</v>
      </c>
      <c r="D14" s="129"/>
      <c r="E14" s="129"/>
      <c r="F14" s="129"/>
      <c r="G14" s="129"/>
      <c r="H14" s="62" t="s">
        <v>1790</v>
      </c>
      <c r="I14" s="63" t="s">
        <v>1214</v>
      </c>
      <c r="J14" s="63" t="s">
        <v>1215</v>
      </c>
      <c r="K14" s="62"/>
      <c r="L14" s="62"/>
      <c r="M14" s="62"/>
      <c r="N14" s="62"/>
      <c r="O14" s="130"/>
      <c r="P14" s="136" t="s">
        <v>117</v>
      </c>
      <c r="Q14" s="130"/>
      <c r="R14" s="62" t="s">
        <v>134</v>
      </c>
      <c r="S14" s="62"/>
      <c r="T14" s="65"/>
      <c r="U14" s="65" t="s">
        <v>119</v>
      </c>
      <c r="V14" s="65" t="s">
        <v>119</v>
      </c>
      <c r="W14" s="66"/>
      <c r="X14" s="308"/>
      <c r="Y14" s="136"/>
      <c r="Z14" s="309"/>
      <c r="AA14" s="62"/>
      <c r="AB14" s="64"/>
      <c r="AC14" s="64" t="n">
        <v>1</v>
      </c>
    </row>
    <row r="15" s="169" customFormat="true" ht="12.75" hidden="false" customHeight="true" outlineLevel="0" collapsed="false">
      <c r="A15" s="126" t="n">
        <f aca="false">ROW()-8</f>
        <v>7</v>
      </c>
      <c r="B15" s="127"/>
      <c r="C15" s="129" t="s">
        <v>1794</v>
      </c>
      <c r="D15" s="129"/>
      <c r="E15" s="129"/>
      <c r="F15" s="129"/>
      <c r="G15" s="129"/>
      <c r="H15" s="114" t="s">
        <v>1795</v>
      </c>
      <c r="I15" s="63" t="s">
        <v>1796</v>
      </c>
      <c r="J15" s="63" t="s">
        <v>1281</v>
      </c>
      <c r="K15" s="62"/>
      <c r="L15" s="62"/>
      <c r="M15" s="62"/>
      <c r="N15" s="62"/>
      <c r="O15" s="130"/>
      <c r="P15" s="136" t="s">
        <v>117</v>
      </c>
      <c r="Q15" s="130"/>
      <c r="R15" s="62" t="s">
        <v>118</v>
      </c>
      <c r="S15" s="63" t="s">
        <v>1798</v>
      </c>
      <c r="T15" s="65"/>
      <c r="U15" s="143" t="s">
        <v>119</v>
      </c>
      <c r="V15" s="143" t="s">
        <v>119</v>
      </c>
      <c r="W15" s="66"/>
      <c r="X15" s="313" t="s">
        <v>2935</v>
      </c>
      <c r="Y15" s="311" t="s">
        <v>2932</v>
      </c>
      <c r="Z15" s="309" t="s">
        <v>2936</v>
      </c>
      <c r="AA15" s="62"/>
      <c r="AB15" s="64"/>
      <c r="AC15" s="64" t="n">
        <v>1</v>
      </c>
    </row>
    <row r="16" s="169" customFormat="true" ht="12.75" hidden="false" customHeight="true" outlineLevel="0" collapsed="false">
      <c r="A16" s="126" t="n">
        <f aca="false">ROW()-8</f>
        <v>8</v>
      </c>
      <c r="B16" s="127"/>
      <c r="C16" s="129" t="s">
        <v>1791</v>
      </c>
      <c r="D16" s="139" t="s">
        <v>1792</v>
      </c>
      <c r="E16" s="139"/>
      <c r="F16" s="139"/>
      <c r="G16" s="139"/>
      <c r="H16" s="62" t="s">
        <v>1793</v>
      </c>
      <c r="I16" s="63"/>
      <c r="J16" s="63" t="s">
        <v>1768</v>
      </c>
      <c r="K16" s="62"/>
      <c r="L16" s="62"/>
      <c r="M16" s="62"/>
      <c r="N16" s="62"/>
      <c r="O16" s="130"/>
      <c r="P16" s="136" t="s">
        <v>117</v>
      </c>
      <c r="Q16" s="130" t="s">
        <v>119</v>
      </c>
      <c r="R16" s="149" t="s">
        <v>1768</v>
      </c>
      <c r="S16" s="62"/>
      <c r="T16" s="65"/>
      <c r="U16" s="65" t="s">
        <v>119</v>
      </c>
      <c r="V16" s="65" t="s">
        <v>119</v>
      </c>
      <c r="W16" s="66"/>
      <c r="X16" s="308"/>
      <c r="Y16" s="62"/>
      <c r="Z16" s="309"/>
      <c r="AA16" s="62"/>
      <c r="AB16" s="64"/>
      <c r="AC16" s="64" t="n">
        <v>1</v>
      </c>
    </row>
    <row r="17" s="169" customFormat="true" ht="12.75" hidden="false" customHeight="true" outlineLevel="0" collapsed="false">
      <c r="A17" s="126" t="n">
        <f aca="false">ROW()-8</f>
        <v>9</v>
      </c>
      <c r="B17" s="127"/>
      <c r="C17" s="141" t="s">
        <v>2937</v>
      </c>
      <c r="D17" s="141"/>
      <c r="E17" s="139"/>
      <c r="F17" s="139"/>
      <c r="G17" s="139"/>
      <c r="H17" s="114" t="s">
        <v>2938</v>
      </c>
      <c r="I17" s="63"/>
      <c r="J17" s="175" t="s">
        <v>2939</v>
      </c>
      <c r="K17" s="62"/>
      <c r="L17" s="62"/>
      <c r="M17" s="62"/>
      <c r="N17" s="62"/>
      <c r="O17" s="130"/>
      <c r="P17" s="136" t="s">
        <v>1247</v>
      </c>
      <c r="Q17" s="130" t="s">
        <v>119</v>
      </c>
      <c r="R17" s="314" t="s">
        <v>2940</v>
      </c>
      <c r="S17" s="62"/>
      <c r="T17" s="65"/>
      <c r="U17" s="65" t="s">
        <v>119</v>
      </c>
      <c r="V17" s="65" t="s">
        <v>119</v>
      </c>
      <c r="W17" s="66"/>
      <c r="X17" s="308"/>
      <c r="Y17" s="62"/>
      <c r="Z17" s="309"/>
      <c r="AA17" s="62"/>
      <c r="AB17" s="64"/>
      <c r="AC17" s="64" t="n">
        <v>1</v>
      </c>
    </row>
    <row r="18" s="169" customFormat="true" ht="12.75" hidden="false" customHeight="true" outlineLevel="0" collapsed="false">
      <c r="A18" s="126" t="n">
        <f aca="false">ROW()-8</f>
        <v>10</v>
      </c>
      <c r="B18" s="127"/>
      <c r="C18" s="141"/>
      <c r="D18" s="141" t="s">
        <v>1799</v>
      </c>
      <c r="E18" s="141"/>
      <c r="F18" s="141"/>
      <c r="G18" s="141"/>
      <c r="H18" s="114" t="s">
        <v>2941</v>
      </c>
      <c r="I18" s="63" t="s">
        <v>1801</v>
      </c>
      <c r="J18" s="63" t="s">
        <v>2942</v>
      </c>
      <c r="K18" s="62"/>
      <c r="L18" s="62"/>
      <c r="M18" s="62"/>
      <c r="N18" s="62"/>
      <c r="O18" s="130"/>
      <c r="P18" s="136" t="s">
        <v>117</v>
      </c>
      <c r="Q18" s="130"/>
      <c r="R18" s="62" t="s">
        <v>118</v>
      </c>
      <c r="S18" s="62" t="s">
        <v>1803</v>
      </c>
      <c r="T18" s="65"/>
      <c r="U18" s="65" t="s">
        <v>119</v>
      </c>
      <c r="V18" s="65" t="s">
        <v>119</v>
      </c>
      <c r="W18" s="66"/>
      <c r="X18" s="308"/>
      <c r="Y18" s="62"/>
      <c r="Z18" s="309"/>
      <c r="AA18" s="62"/>
      <c r="AB18" s="64"/>
      <c r="AC18" s="64" t="n">
        <v>1</v>
      </c>
    </row>
    <row r="19" s="169" customFormat="true" ht="12.75" hidden="false" customHeight="true" outlineLevel="0" collapsed="false">
      <c r="A19" s="126" t="n">
        <f aca="false">ROW()-8</f>
        <v>11</v>
      </c>
      <c r="B19" s="127"/>
      <c r="C19" s="141"/>
      <c r="D19" s="141" t="s">
        <v>1804</v>
      </c>
      <c r="E19" s="141"/>
      <c r="F19" s="141"/>
      <c r="G19" s="141"/>
      <c r="H19" s="114" t="s">
        <v>2943</v>
      </c>
      <c r="I19" s="63" t="s">
        <v>1806</v>
      </c>
      <c r="J19" s="63" t="s">
        <v>1802</v>
      </c>
      <c r="K19" s="62"/>
      <c r="L19" s="62"/>
      <c r="M19" s="62"/>
      <c r="N19" s="62"/>
      <c r="O19" s="130"/>
      <c r="P19" s="136" t="s">
        <v>163</v>
      </c>
      <c r="Q19" s="130"/>
      <c r="R19" s="62" t="s">
        <v>118</v>
      </c>
      <c r="S19" s="62" t="s">
        <v>1808</v>
      </c>
      <c r="T19" s="65"/>
      <c r="U19" s="65" t="s">
        <v>119</v>
      </c>
      <c r="V19" s="65" t="s">
        <v>119</v>
      </c>
      <c r="W19" s="66"/>
      <c r="X19" s="308"/>
      <c r="Y19" s="62"/>
      <c r="Z19" s="309"/>
      <c r="AA19" s="62"/>
      <c r="AB19" s="64"/>
      <c r="AC19" s="64" t="n">
        <v>1</v>
      </c>
    </row>
    <row r="20" s="169" customFormat="true" ht="12.75" hidden="false" customHeight="true" outlineLevel="0" collapsed="false">
      <c r="A20" s="126" t="n">
        <f aca="false">ROW()-8</f>
        <v>12</v>
      </c>
      <c r="B20" s="127"/>
      <c r="C20" s="141"/>
      <c r="D20" s="141" t="s">
        <v>2944</v>
      </c>
      <c r="E20" s="141"/>
      <c r="F20" s="141"/>
      <c r="G20" s="141"/>
      <c r="H20" s="172" t="s">
        <v>2945</v>
      </c>
      <c r="I20" s="137" t="s">
        <v>2946</v>
      </c>
      <c r="J20" s="63" t="s">
        <v>2947</v>
      </c>
      <c r="K20" s="62"/>
      <c r="L20" s="62"/>
      <c r="M20" s="62"/>
      <c r="N20" s="62"/>
      <c r="O20" s="130"/>
      <c r="P20" s="311" t="s">
        <v>117</v>
      </c>
      <c r="Q20" s="130"/>
      <c r="R20" s="62" t="s">
        <v>118</v>
      </c>
      <c r="S20" s="136" t="s">
        <v>2419</v>
      </c>
      <c r="T20" s="143"/>
      <c r="U20" s="143" t="s">
        <v>119</v>
      </c>
      <c r="V20" s="143" t="s">
        <v>119</v>
      </c>
      <c r="W20" s="66"/>
      <c r="X20" s="308"/>
      <c r="Y20" s="62"/>
      <c r="Z20" s="309"/>
      <c r="AA20" s="62"/>
      <c r="AB20" s="64"/>
      <c r="AC20" s="64" t="n">
        <v>1</v>
      </c>
    </row>
    <row r="21" s="169" customFormat="true" ht="12.75" hidden="false" customHeight="true" outlineLevel="0" collapsed="false">
      <c r="A21" s="126" t="n">
        <f aca="false">ROW()-8</f>
        <v>13</v>
      </c>
      <c r="B21" s="127"/>
      <c r="C21" s="141" t="s">
        <v>2948</v>
      </c>
      <c r="D21" s="141"/>
      <c r="E21" s="139" t="s">
        <v>2949</v>
      </c>
      <c r="F21" s="139"/>
      <c r="G21" s="139"/>
      <c r="H21" s="114" t="s">
        <v>2938</v>
      </c>
      <c r="I21" s="63"/>
      <c r="J21" s="175" t="s">
        <v>2950</v>
      </c>
      <c r="K21" s="62"/>
      <c r="L21" s="62"/>
      <c r="M21" s="62"/>
      <c r="N21" s="62"/>
      <c r="O21" s="130"/>
      <c r="P21" s="62" t="s">
        <v>1247</v>
      </c>
      <c r="Q21" s="130" t="s">
        <v>119</v>
      </c>
      <c r="R21" s="314" t="s">
        <v>2940</v>
      </c>
      <c r="S21" s="136"/>
      <c r="T21" s="143"/>
      <c r="U21" s="143" t="s">
        <v>119</v>
      </c>
      <c r="V21" s="143" t="s">
        <v>119</v>
      </c>
      <c r="W21" s="66"/>
      <c r="X21" s="308"/>
      <c r="Y21" s="62"/>
      <c r="Z21" s="309"/>
      <c r="AA21" s="62"/>
      <c r="AB21" s="64"/>
      <c r="AC21" s="64" t="n">
        <v>1</v>
      </c>
    </row>
    <row r="22" s="67" customFormat="true" ht="12.75" hidden="false" customHeight="true" outlineLevel="0" collapsed="false">
      <c r="A22" s="126" t="n">
        <f aca="false">ROW()-8</f>
        <v>14</v>
      </c>
      <c r="B22" s="127"/>
      <c r="C22" s="141"/>
      <c r="D22" s="141" t="s">
        <v>2492</v>
      </c>
      <c r="E22" s="139"/>
      <c r="F22" s="139"/>
      <c r="G22" s="139"/>
      <c r="H22" s="62" t="s">
        <v>2951</v>
      </c>
      <c r="I22" s="63"/>
      <c r="J22" s="63" t="s">
        <v>1820</v>
      </c>
      <c r="K22" s="62"/>
      <c r="L22" s="62"/>
      <c r="M22" s="62"/>
      <c r="N22" s="62"/>
      <c r="O22" s="130"/>
      <c r="P22" s="62" t="s">
        <v>163</v>
      </c>
      <c r="Q22" s="130" t="s">
        <v>119</v>
      </c>
      <c r="R22" s="140" t="s">
        <v>1820</v>
      </c>
      <c r="S22" s="136"/>
      <c r="T22" s="143"/>
      <c r="U22" s="143" t="s">
        <v>119</v>
      </c>
      <c r="V22" s="143" t="s">
        <v>119</v>
      </c>
      <c r="W22" s="66"/>
      <c r="X22" s="308" t="s">
        <v>2952</v>
      </c>
      <c r="Y22" s="62"/>
      <c r="Z22" s="309"/>
      <c r="AA22" s="62"/>
      <c r="AB22" s="64"/>
      <c r="AC22" s="64" t="n">
        <v>1</v>
      </c>
    </row>
    <row r="23" s="169" customFormat="true" ht="12.75" hidden="false" customHeight="true" outlineLevel="0" collapsed="false">
      <c r="A23" s="126" t="n">
        <f aca="false">ROW()-8</f>
        <v>15</v>
      </c>
      <c r="B23" s="127"/>
      <c r="C23" s="141"/>
      <c r="D23" s="141"/>
      <c r="E23" s="141" t="s">
        <v>2953</v>
      </c>
      <c r="F23" s="141"/>
      <c r="G23" s="141"/>
      <c r="H23" s="172" t="s">
        <v>2954</v>
      </c>
      <c r="I23" s="137"/>
      <c r="J23" s="63" t="s">
        <v>1281</v>
      </c>
      <c r="K23" s="62"/>
      <c r="L23" s="62"/>
      <c r="M23" s="62"/>
      <c r="N23" s="62"/>
      <c r="O23" s="130"/>
      <c r="P23" s="171" t="s">
        <v>163</v>
      </c>
      <c r="Q23" s="130"/>
      <c r="R23" s="62" t="s">
        <v>118</v>
      </c>
      <c r="S23" s="137" t="s">
        <v>1817</v>
      </c>
      <c r="T23" s="138"/>
      <c r="U23" s="143" t="s">
        <v>119</v>
      </c>
      <c r="V23" s="143" t="s">
        <v>119</v>
      </c>
      <c r="W23" s="66"/>
      <c r="X23" s="174"/>
      <c r="Y23" s="136"/>
      <c r="Z23" s="315"/>
      <c r="AA23" s="136"/>
      <c r="AB23" s="64"/>
      <c r="AC23" s="64" t="n">
        <v>1</v>
      </c>
    </row>
    <row r="24" s="145" customFormat="true" ht="12.75" hidden="false" customHeight="true" outlineLevel="0" collapsed="false">
      <c r="A24" s="126" t="n">
        <f aca="false">ROW()-8</f>
        <v>16</v>
      </c>
      <c r="B24" s="127"/>
      <c r="C24" s="176"/>
      <c r="D24" s="141"/>
      <c r="E24" s="141" t="s">
        <v>2955</v>
      </c>
      <c r="F24" s="139" t="s">
        <v>1574</v>
      </c>
      <c r="G24" s="139"/>
      <c r="H24" s="62" t="s">
        <v>2956</v>
      </c>
      <c r="I24" s="63"/>
      <c r="J24" s="62" t="s">
        <v>1316</v>
      </c>
      <c r="K24" s="62"/>
      <c r="L24" s="62"/>
      <c r="M24" s="62"/>
      <c r="N24" s="62"/>
      <c r="O24" s="130"/>
      <c r="P24" s="62" t="s">
        <v>163</v>
      </c>
      <c r="Q24" s="130" t="s">
        <v>119</v>
      </c>
      <c r="R24" s="140" t="s">
        <v>1316</v>
      </c>
      <c r="S24" s="136"/>
      <c r="T24" s="143"/>
      <c r="U24" s="143" t="s">
        <v>119</v>
      </c>
      <c r="V24" s="143" t="s">
        <v>119</v>
      </c>
      <c r="W24" s="66"/>
      <c r="X24" s="308"/>
      <c r="Y24" s="62"/>
      <c r="Z24" s="309"/>
      <c r="AA24" s="62"/>
      <c r="AB24" s="64"/>
      <c r="AC24" s="64" t="n">
        <v>1</v>
      </c>
    </row>
    <row r="25" s="67" customFormat="true" ht="12" hidden="false" customHeight="true" outlineLevel="0" collapsed="false">
      <c r="A25" s="60"/>
      <c r="C25" s="60"/>
      <c r="D25" s="60"/>
      <c r="E25" s="60"/>
      <c r="F25" s="60"/>
      <c r="G25" s="60"/>
      <c r="H25" s="60"/>
      <c r="I25" s="60"/>
      <c r="J25" s="69"/>
      <c r="K25" s="60" t="n">
        <f aca="false">SUBTOTAL(103,createCase21[Nantes - balise])</f>
        <v>2</v>
      </c>
      <c r="L25" s="60" t="n">
        <f aca="false">SUBTOTAL(103,createCase21[Nantes - description])</f>
        <v>2</v>
      </c>
      <c r="M25" s="60" t="n">
        <f aca="false">SUBTOTAL(103,createCase21[GT399])</f>
        <v>0</v>
      </c>
      <c r="N25" s="60" t="n">
        <f aca="false">SUBTOTAL(103,createCase21[GT399 description])</f>
        <v>0</v>
      </c>
      <c r="O25" s="179" t="n">
        <f aca="false">SUBTOTAL(103,createCase21[Priorisation])</f>
        <v>1</v>
      </c>
      <c r="P25" s="60"/>
      <c r="Q25" s="179" t="n">
        <f aca="false">SUBTOTAL(103,createCase21[Objet])</f>
        <v>6</v>
      </c>
      <c r="R25" s="60"/>
      <c r="S25" s="70"/>
      <c r="T25" s="70"/>
      <c r="U25" s="70"/>
      <c r="V25" s="70"/>
      <c r="W25" s="70"/>
      <c r="X25" s="70"/>
      <c r="Y25" s="60"/>
      <c r="Z25" s="69"/>
      <c r="AA25" s="60"/>
      <c r="AB25" s="60"/>
      <c r="AC25" s="60"/>
    </row>
  </sheetData>
  <mergeCells count="3">
    <mergeCell ref="N1:O1"/>
    <mergeCell ref="K7:N7"/>
    <mergeCell ref="AB7:AC7"/>
  </mergeCells>
  <conditionalFormatting sqref="A26:F27 A47:F887">
    <cfRule type="expression" priority="2" aboveAverage="0" equalAverage="0" bottom="0" percent="0" rank="0" text="" dxfId="4167">
      <formula>OR($AC26="X",$AA26="X")</formula>
    </cfRule>
    <cfRule type="expression" priority="3" aboveAverage="0" equalAverage="0" bottom="0" percent="0" rank="0" text="" dxfId="4168">
      <formula>AND($AC26=1,$AA26=1)</formula>
    </cfRule>
    <cfRule type="expression" priority="4" aboveAverage="0" equalAverage="0" bottom="0" percent="0" rank="0" text="" dxfId="4169">
      <formula>$AC26=1</formula>
    </cfRule>
    <cfRule type="expression" priority="5" aboveAverage="0" equalAverage="0" bottom="0" percent="0" rank="0" text="" dxfId="4170">
      <formula>$AA26=1</formula>
    </cfRule>
  </conditionalFormatting>
  <conditionalFormatting sqref="A9:G9 A10:A24 B11:G12 A13:G24">
    <cfRule type="expression" priority="6" aboveAverage="0" equalAverage="0" bottom="0" percent="0" rank="0" text="" dxfId="4171">
      <formula>$AC9=1</formula>
    </cfRule>
    <cfRule type="expression" priority="7" aboveAverage="0" equalAverage="0" bottom="0" percent="0" rank="0" text="" dxfId="4172">
      <formula>$AB9=1</formula>
    </cfRule>
  </conditionalFormatting>
  <conditionalFormatting sqref="A9:G24">
    <cfRule type="expression" priority="8" aboveAverage="0" equalAverage="0" bottom="0" percent="0" rank="0" text="" dxfId="4173">
      <formula>OR($AC9="X",$AB9="X")</formula>
    </cfRule>
    <cfRule type="expression" priority="9" aboveAverage="0" equalAverage="0" bottom="0" percent="0" rank="0" text="" dxfId="4174">
      <formula>AND($AC9=1,$AB9=1)</formula>
    </cfRule>
    <cfRule type="expression" priority="10" aboveAverage="0" equalAverage="0" bottom="0" percent="0" rank="0" text="" dxfId="4175">
      <formula>AND(NOT(ISBLANK($U9)),ISBLANK($AB9),ISBLANK($AC9))</formula>
    </cfRule>
  </conditionalFormatting>
  <conditionalFormatting sqref="B10:G10">
    <cfRule type="expression" priority="11" aboveAverage="0" equalAverage="0" bottom="0" percent="0" rank="0" text="" dxfId="4176">
      <formula>$AC10=1</formula>
    </cfRule>
    <cfRule type="expression" priority="12" aboveAverage="0" equalAverage="0" bottom="0" percent="0" rank="0" text="" dxfId="4177">
      <formula>$AB10=1</formula>
    </cfRule>
  </conditionalFormatting>
  <conditionalFormatting sqref="C9:C12 C22 C24">
    <cfRule type="expression" priority="13" aboveAverage="0" equalAverage="0" bottom="0" percent="0" rank="0" text="" dxfId="4178">
      <formula>AND($Q9="X",$B9&lt;&gt;"")</formula>
    </cfRule>
  </conditionalFormatting>
  <conditionalFormatting sqref="C12">
    <cfRule type="expression" priority="14" aboveAverage="0" equalAverage="0" bottom="0" percent="0" rank="0" text="" dxfId="4179">
      <formula>OR($AC12="X",$AB12="X")</formula>
    </cfRule>
    <cfRule type="expression" priority="15" aboveAverage="0" equalAverage="0" bottom="0" percent="0" rank="0" text="" dxfId="4180">
      <formula>AND($AC12=1,$AB12=1)</formula>
    </cfRule>
    <cfRule type="expression" priority="16" aboveAverage="0" equalAverage="0" bottom="0" percent="0" rank="0" text="" dxfId="4181">
      <formula>$AC12=1</formula>
    </cfRule>
  </conditionalFormatting>
  <conditionalFormatting sqref="C13">
    <cfRule type="expression" priority="17" aboveAverage="0" equalAverage="0" bottom="0" percent="0" rank="0" text="" dxfId="4182">
      <formula>AND($Q13="X",OR($B13&lt;&gt;"",#ref!&lt;&gt;"",#ref!&lt;&gt;""))</formula>
    </cfRule>
  </conditionalFormatting>
  <conditionalFormatting sqref="C13:C21 D20 C23:D23">
    <cfRule type="expression" priority="18" aboveAverage="0" equalAverage="0" bottom="0" percent="0" rank="0" text="" dxfId="4183">
      <formula>AND($Q13="X",OR($B13&lt;&gt;"",#ref!&lt;&gt;""))</formula>
    </cfRule>
  </conditionalFormatting>
  <conditionalFormatting sqref="C11:G11">
    <cfRule type="expression" priority="19" aboveAverage="0" equalAverage="0" bottom="0" percent="0" rank="0" text="" dxfId="4184">
      <formula>AND($Q11="X",OR($B11&lt;&gt;"",$C11&lt;&gt;"",$D11&lt;&gt;"",$E11&lt;&gt;""))</formula>
    </cfRule>
    <cfRule type="expression" priority="20" aboveAverage="0" equalAverage="0" bottom="0" percent="0" rank="0" text="" dxfId="4185">
      <formula>AND($Q11="X",OR($B11&lt;&gt;"",#ref!&lt;&gt;"",$C11&lt;&gt;"",$D11&lt;&gt;""))</formula>
    </cfRule>
    <cfRule type="expression" priority="21" aboveAverage="0" equalAverage="0" bottom="0" percent="0" rank="0" text="" dxfId="4186">
      <formula>AND($Q11="X",OR($B11&lt;&gt;"",#ref!&lt;&gt;"",$C11&lt;&gt;""))</formula>
    </cfRule>
  </conditionalFormatting>
  <conditionalFormatting sqref="D9:D10 D24">
    <cfRule type="expression" priority="22" aboveAverage="0" equalAverage="0" bottom="0" percent="0" rank="0" text="" dxfId="4187">
      <formula>AND($Q9="X",OR($B9&lt;&gt;"",$C9&lt;&gt;""))</formula>
    </cfRule>
  </conditionalFormatting>
  <conditionalFormatting sqref="D11:D12 C22:D22">
    <cfRule type="expression" priority="23" aboveAverage="0" equalAverage="0" bottom="0" percent="0" rank="0" text="" dxfId="4188">
      <formula>AND($Q11="X",OR($B11&lt;&gt;"",$C11&lt;&gt;""))</formula>
    </cfRule>
  </conditionalFormatting>
  <conditionalFormatting sqref="D12">
    <cfRule type="expression" priority="24" aboveAverage="0" equalAverage="0" bottom="0" percent="0" rank="0" text="" dxfId="4189">
      <formula>AND($Q12="X",$B12&lt;&gt;"")</formula>
    </cfRule>
    <cfRule type="expression" priority="25" aboveAverage="0" equalAverage="0" bottom="0" percent="0" rank="0" text="" dxfId="4190">
      <formula>OR($AC12="X",$AB12="X")</formula>
    </cfRule>
    <cfRule type="expression" priority="26" aboveAverage="0" equalAverage="0" bottom="0" percent="0" rank="0" text="" dxfId="4191">
      <formula>AND($AC12=1,$AB12=1)</formula>
    </cfRule>
    <cfRule type="expression" priority="27" aboveAverage="0" equalAverage="0" bottom="0" percent="0" rank="0" text="" dxfId="4192">
      <formula>$AC12=1</formula>
    </cfRule>
  </conditionalFormatting>
  <conditionalFormatting sqref="D14:D21 D23:E23">
    <cfRule type="expression" priority="28" aboveAverage="0" equalAverage="0" bottom="0" percent="0" rank="0" text="" dxfId="4193">
      <formula>AND($Q14="X",OR($B14&lt;&gt;"",#ref!&lt;&gt;"",$C14&lt;&gt;""))</formula>
    </cfRule>
  </conditionalFormatting>
  <conditionalFormatting sqref="D13:E13">
    <cfRule type="expression" priority="29" aboveAverage="0" equalAverage="0" bottom="0" percent="0" rank="0" text="" dxfId="4194">
      <formula>AND($Q13="X",OR($B13&lt;&gt;"",#ref!&lt;&gt;"",#ref!&lt;&gt;"",$C13&lt;&gt;""))</formula>
    </cfRule>
  </conditionalFormatting>
  <conditionalFormatting sqref="D16:G16">
    <cfRule type="expression" priority="30" aboveAverage="0" equalAverage="0" bottom="0" percent="0" rank="0" text="" dxfId="4195">
      <formula>AND($Q16="X",OR($B16&lt;&gt;"",$C16&lt;&gt;"",$D16&lt;&gt;"",$E16&lt;&gt;""))</formula>
    </cfRule>
    <cfRule type="expression" priority="31" aboveAverage="0" equalAverage="0" bottom="0" percent="0" rank="0" text="" dxfId="4196">
      <formula>AND($Q16="X",OR($B16&lt;&gt;"",#ref!&lt;&gt;"",$C16&lt;&gt;"",$D16&lt;&gt;""))</formula>
    </cfRule>
  </conditionalFormatting>
  <conditionalFormatting sqref="E3">
    <cfRule type="dataBar" priority="32">
      <dataBar showValue="1" minLength="10" maxLength="90">
        <cfvo type="num" val="0"/>
        <cfvo type="num" val="1"/>
        <color rgb="FF63C384"/>
      </dataBar>
      <extLst>
        <ext xmlns:x14="http://schemas.microsoft.com/office/spreadsheetml/2009/9/main" uri="{B025F937-C7B1-47D3-B67F-A62EFF666E3E}">
          <x14:id>{D788ECD7-3920-4CA7-BACF-2E6CC1D556F0}</x14:id>
        </ext>
      </extLst>
    </cfRule>
  </conditionalFormatting>
  <conditionalFormatting sqref="E9:E10 E24">
    <cfRule type="expression" priority="33" aboveAverage="0" equalAverage="0" bottom="0" percent="0" rank="0" text="" dxfId="4197">
      <formula>AND($Q9="X",OR($B9&lt;&gt;"",$C9&lt;&gt;"",$D9&lt;&gt;""))</formula>
    </cfRule>
  </conditionalFormatting>
  <conditionalFormatting sqref="E11 E22">
    <cfRule type="expression" priority="34" aboveAverage="0" equalAverage="0" bottom="0" percent="0" rank="0" text="" dxfId="4198">
      <formula>AND($Q11="X",OR($B11&lt;&gt;"",$C11&lt;&gt;"",$D11&lt;&gt;""))</formula>
    </cfRule>
  </conditionalFormatting>
  <conditionalFormatting sqref="E14:E22 G17 G22 E23:F23">
    <cfRule type="expression" priority="35" aboveAverage="0" equalAverage="0" bottom="0" percent="0" rank="0" text="" dxfId="4199">
      <formula>AND($Q14="X",OR($B14&lt;&gt;"",#ref!&lt;&gt;"",$C14&lt;&gt;"",$D14&lt;&gt;""))</formula>
    </cfRule>
  </conditionalFormatting>
  <conditionalFormatting sqref="E21">
    <cfRule type="expression" priority="36" aboveAverage="0" equalAverage="0" bottom="0" percent="0" rank="0" text="" dxfId="4200">
      <formula>AND($Q21="X",OR($B21&lt;&gt;"",$C21&lt;&gt;"",$D21&lt;&gt;"",$E21&lt;&gt;""))</formula>
    </cfRule>
  </conditionalFormatting>
  <conditionalFormatting sqref="E12:F12">
    <cfRule type="expression" priority="37" aboveAverage="0" equalAverage="0" bottom="0" percent="0" rank="0" text="" dxfId="4201">
      <formula>AND($Q12="X",OR($B12&lt;&gt;"",$C12&lt;&gt;"",$D12&lt;&gt;"",#ref!&lt;&gt;""))</formula>
    </cfRule>
  </conditionalFormatting>
  <conditionalFormatting sqref="E16:G17">
    <cfRule type="expression" priority="38" aboveAverage="0" equalAverage="0" bottom="0" percent="0" rank="0" text="" dxfId="4202">
      <formula>AND($Q16="X",OR($B16&lt;&gt;"",#ref!&lt;&gt;"",$C16&lt;&gt;""))</formula>
    </cfRule>
  </conditionalFormatting>
  <conditionalFormatting sqref="E17:G17">
    <cfRule type="expression" priority="39" aboveAverage="0" equalAverage="0" bottom="0" percent="0" rank="0" text="" dxfId="4203">
      <formula>AND($Q17="X",OR($B17&lt;&gt;"",$C17&lt;&gt;"",$D17&lt;&gt;"",$E17&lt;&gt;""))</formula>
    </cfRule>
    <cfRule type="expression" priority="40" aboveAverage="0" equalAverage="0" bottom="0" percent="0" rank="0" text="" dxfId="4204">
      <formula>AND($Q17="X",OR($B17&lt;&gt;"",#ref!&lt;&gt;"",$C17&lt;&gt;"",$D17&lt;&gt;""))</formula>
    </cfRule>
  </conditionalFormatting>
  <conditionalFormatting sqref="E22:G22">
    <cfRule type="expression" priority="41" aboveAverage="0" equalAverage="0" bottom="0" percent="0" rank="0" text="" dxfId="4205">
      <formula>AND($Q22="X",OR($B22&lt;&gt;"",#ref!&lt;&gt;"",$C22&lt;&gt;""))</formula>
    </cfRule>
    <cfRule type="expression" priority="42" aboveAverage="0" equalAverage="0" bottom="0" percent="0" rank="0" text="" dxfId="4206">
      <formula>AND($Q22="X",OR($B22&lt;&gt;"",$C22&lt;&gt;"",$D22&lt;&gt;"",$E22&lt;&gt;""))</formula>
    </cfRule>
    <cfRule type="expression" priority="43" aboveAverage="0" equalAverage="0" bottom="0" percent="0" rank="0" text="" dxfId="4207">
      <formula>AND($Q22="X",OR($B22&lt;&gt;"",#ref!&lt;&gt;"",$C22&lt;&gt;"",$D22&lt;&gt;""))</formula>
    </cfRule>
  </conditionalFormatting>
  <conditionalFormatting sqref="F1">
    <cfRule type="dataBar" priority="44">
      <dataBar showValue="1" minLength="10" maxLength="90">
        <cfvo type="num" val="0"/>
        <cfvo type="num" val="1"/>
        <color rgb="FF63C384"/>
      </dataBar>
      <extLst>
        <ext xmlns:x14="http://schemas.microsoft.com/office/spreadsheetml/2009/9/main" uri="{B025F937-C7B1-47D3-B67F-A62EFF666E3E}">
          <x14:id>{1B42D7C8-402C-49E1-BF73-20697831CBB4}</x14:id>
        </ext>
      </extLst>
    </cfRule>
  </conditionalFormatting>
  <conditionalFormatting sqref="F9:F10 F24">
    <cfRule type="expression" priority="45" aboveAverage="0" equalAverage="0" bottom="0" percent="0" rank="0" text="" dxfId="4208">
      <formula>AND($Q9="X",OR($B9&lt;&gt;"",$C9&lt;&gt;"",$D9&lt;&gt;"",$E9&lt;&gt;""))</formula>
    </cfRule>
  </conditionalFormatting>
  <conditionalFormatting sqref="F11 F22">
    <cfRule type="expression" priority="46" aboveAverage="0" equalAverage="0" bottom="0" percent="0" rank="0" text="" dxfId="4209">
      <formula>AND($Q11="X",OR($B11&lt;&gt;"",$C11&lt;&gt;"",$D11&lt;&gt;"",$E11&lt;&gt;""))</formula>
    </cfRule>
  </conditionalFormatting>
  <conditionalFormatting sqref="F13">
    <cfRule type="expression" priority="47" aboveAverage="0" equalAverage="0" bottom="0" percent="0" rank="0" text="" dxfId="4210">
      <formula>AND($Q13="X",OR($B13&lt;&gt;"",#ref!&lt;&gt;"",#ref!&lt;&gt;"",$C13&lt;&gt;"",$F13&lt;&gt;""))</formula>
    </cfRule>
    <cfRule type="expression" priority="48" aboveAverage="0" equalAverage="0" bottom="0" percent="0" rank="0" text="" dxfId="4211">
      <formula>AND($Q13="X",OR($B13&lt;&gt;"",#ref!&lt;&gt;"",#ref!&lt;&gt;"",$C13&lt;&gt;""))</formula>
    </cfRule>
  </conditionalFormatting>
  <conditionalFormatting sqref="F14:F23">
    <cfRule type="expression" priority="49" aboveAverage="0" equalAverage="0" bottom="0" percent="0" rank="0" text="" dxfId="4212">
      <formula>AND($Q14="X",OR($B14&lt;&gt;"",#ref!&lt;&gt;"",$C14&lt;&gt;"",$D14&lt;&gt;"",$F14&lt;&gt;""))</formula>
    </cfRule>
    <cfRule type="expression" priority="50" aboveAverage="0" equalAverage="0" bottom="0" percent="0" rank="0" text="" dxfId="4213">
      <formula>AND($Q14="X",OR($B14&lt;&gt;"",#ref!&lt;&gt;"",$C14&lt;&gt;"",$D14&lt;&gt;""))</formula>
    </cfRule>
  </conditionalFormatting>
  <conditionalFormatting sqref="F21">
    <cfRule type="expression" priority="51" aboveAverage="0" equalAverage="0" bottom="0" percent="0" rank="0" text="" dxfId="4214">
      <formula>AND($Q21="X",OR($B21&lt;&gt;"",#ref!&lt;&gt;"",$C21&lt;&gt;"",$D21&lt;&gt;""))</formula>
    </cfRule>
  </conditionalFormatting>
  <conditionalFormatting sqref="F24">
    <cfRule type="expression" priority="52" aboveAverage="0" equalAverage="0" bottom="0" percent="0" rank="0" text="" dxfId="4215">
      <formula>AND($Q24="X",OR($B24&lt;&gt;"",#ref!&lt;&gt;"",$C24&lt;&gt;"",$D24&lt;&gt;""))</formula>
    </cfRule>
    <cfRule type="expression" priority="53" aboveAverage="0" equalAverage="0" bottom="0" percent="0" rank="0" text="" dxfId="4216">
      <formula>AND($Q24="X",OR($B24&lt;&gt;"",#ref!&lt;&gt;"",$C24&lt;&gt;""))</formula>
    </cfRule>
  </conditionalFormatting>
  <conditionalFormatting sqref="F12:G12">
    <cfRule type="expression" priority="54" aboveAverage="0" equalAverage="0" bottom="0" percent="0" rank="0" text="" dxfId="4217">
      <formula>AND($Q12="X",OR($B12&lt;&gt;"",$C12&lt;&gt;"",$D12&lt;&gt;"",#ref!&lt;&gt;"",$F12&lt;&gt;""))</formula>
    </cfRule>
  </conditionalFormatting>
  <conditionalFormatting sqref="F21:G21">
    <cfRule type="expression" priority="55" aboveAverage="0" equalAverage="0" bottom="0" percent="0" rank="0" text="" dxfId="4218">
      <formula>AND($Q21="X",OR($B21&lt;&gt;"",#ref!&lt;&gt;"",$C21&lt;&gt;""))</formula>
    </cfRule>
    <cfRule type="expression" priority="56" aboveAverage="0" equalAverage="0" bottom="0" percent="0" rank="0" text="" dxfId="4219">
      <formula>AND($Q21="X",OR($B21&lt;&gt;"",$C21&lt;&gt;"",$D21&lt;&gt;"",$E21&lt;&gt;""))</formula>
    </cfRule>
    <cfRule type="expression" priority="57" aboveAverage="0" equalAverage="0" bottom="0" percent="0" rank="0" text="" dxfId="4220">
      <formula>AND($Q21="X",OR($B21&lt;&gt;"",#ref!&lt;&gt;"",$C21&lt;&gt;"",$D21&lt;&gt;""))</formula>
    </cfRule>
  </conditionalFormatting>
  <conditionalFormatting sqref="G9:G10">
    <cfRule type="expression" priority="58" aboveAverage="0" equalAverage="0" bottom="0" percent="0" rank="0" text="" dxfId="4221">
      <formula>AND($Q9="X",OR($B9&lt;&gt;"",$C9&lt;&gt;"",$D9&lt;&gt;"",$E9&lt;&gt;"",$F9&lt;&gt;""))</formula>
    </cfRule>
  </conditionalFormatting>
  <conditionalFormatting sqref="G11 G22">
    <cfRule type="expression" priority="59" aboveAverage="0" equalAverage="0" bottom="0" percent="0" rank="0" text="" dxfId="4222">
      <formula>AND($Q11="X",OR($B11&lt;&gt;"",$C11&lt;&gt;"",$D11&lt;&gt;"",$E11&lt;&gt;"",$F11&lt;&gt;""))</formula>
    </cfRule>
  </conditionalFormatting>
  <conditionalFormatting sqref="G13">
    <cfRule type="expression" priority="60" aboveAverage="0" equalAverage="0" bottom="0" percent="0" rank="0" text="" dxfId="4223">
      <formula>AND($Q13="X",OR($B13&lt;&gt;"",#ref!&lt;&gt;"",#ref!&lt;&gt;"",$C13&lt;&gt;"",$F13&lt;&gt;""))</formula>
    </cfRule>
  </conditionalFormatting>
  <conditionalFormatting sqref="G14:G23">
    <cfRule type="expression" priority="61" aboveAverage="0" equalAverage="0" bottom="0" percent="0" rank="0" text="" dxfId="4224">
      <formula>AND($Q14="X",OR($B14&lt;&gt;"",#ref!&lt;&gt;"",$C14&lt;&gt;"",$D14&lt;&gt;"",$F14&lt;&gt;""))</formula>
    </cfRule>
  </conditionalFormatting>
  <conditionalFormatting sqref="G21">
    <cfRule type="expression" priority="62" aboveAverage="0" equalAverage="0" bottom="0" percent="0" rank="0" text="" dxfId="4225">
      <formula>AND($Q21="X",OR($B21&lt;&gt;"",#ref!&lt;&gt;"",$C21&lt;&gt;"",$D21&lt;&gt;"",$F21&lt;&gt;""))</formula>
    </cfRule>
    <cfRule type="expression" priority="63" aboveAverage="0" equalAverage="0" bottom="0" percent="0" rank="0" text="" dxfId="4226">
      <formula>AND($Q21="X",OR($B21&lt;&gt;"",#ref!&lt;&gt;"",$C21&lt;&gt;"",$D21&lt;&gt;""))</formula>
    </cfRule>
  </conditionalFormatting>
  <conditionalFormatting sqref="G24">
    <cfRule type="expression" priority="64" aboveAverage="0" equalAverage="0" bottom="0" percent="0" rank="0" text="" dxfId="4227">
      <formula>AND($Q24="X",OR($B24&lt;&gt;"",#ref!&lt;&gt;"",$C24&lt;&gt;""))</formula>
    </cfRule>
    <cfRule type="expression" priority="65" aboveAverage="0" equalAverage="0" bottom="0" percent="0" rank="0" text="" dxfId="4228">
      <formula>AND($Q24="X",OR($B24&lt;&gt;"",$C24&lt;&gt;"",$D24&lt;&gt;"",$E24&lt;&gt;""))</formula>
    </cfRule>
    <cfRule type="expression" priority="66" aboveAverage="0" equalAverage="0" bottom="0" percent="0" rank="0" text="" dxfId="4229">
      <formula>AND($Q24="X",OR($B24&lt;&gt;"",#ref!&lt;&gt;"",$C24&lt;&gt;"",$D24&lt;&gt;""))</formula>
    </cfRule>
    <cfRule type="expression" priority="67" aboveAverage="0" equalAverage="0" bottom="0" percent="0" rank="0" text="" dxfId="4230">
      <formula>AND($Q24="X",OR($B24&lt;&gt;"",#ref!&lt;&gt;"",$C24&lt;&gt;"",$D24&lt;&gt;"",$F24&lt;&gt;""))</formula>
    </cfRule>
  </conditionalFormatting>
  <conditionalFormatting sqref="H26:H27 H47:H887">
    <cfRule type="expression" priority="68" aboveAverage="0" equalAverage="0" bottom="0" percent="0" rank="0" text="" dxfId="4231">
      <formula>$P26="X"</formula>
    </cfRule>
  </conditionalFormatting>
  <conditionalFormatting sqref="I11:I24">
    <cfRule type="expression" priority="69" aboveAverage="0" equalAverage="0" bottom="0" percent="0" rank="0" text="" dxfId="4232">
      <formula>$Q11="X"</formula>
    </cfRule>
  </conditionalFormatting>
  <conditionalFormatting sqref="P9:P24">
    <cfRule type="cellIs" priority="70" operator="equal" aboveAverage="0" equalAverage="0" bottom="0" percent="0" rank="0" text="" dxfId="4233">
      <formula>"1..1"</formula>
    </cfRule>
    <cfRule type="cellIs" priority="71" operator="equal" aboveAverage="0" equalAverage="0" bottom="0" percent="0" rank="0" text="" dxfId="4234">
      <formula>"0..n"</formula>
    </cfRule>
    <cfRule type="cellIs" priority="72" operator="equal" aboveAverage="0" equalAverage="0" bottom="0" percent="0" rank="0" text="" dxfId="423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D788ECD7-3920-4CA7-BACF-2E6CC1D556F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1B42D7C8-402C-49E1-BF73-20697831CBB4}">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BE5D6"/>
    <pageSetUpPr fitToPage="false"/>
  </sheetPr>
  <dimension ref="A1:Y65"/>
  <sheetViews>
    <sheetView showFormulas="false" showGridLines="true" showRowColHeaders="true" showZeros="true" rightToLeft="false" tabSelected="false" showOutlineSymbols="true" defaultGridColor="true" view="normal" topLeftCell="RJ1" colorId="64" zoomScale="55" zoomScaleNormal="55" zoomScalePageLayoutView="100" workbookViewId="0">
      <selection pane="topLeft" activeCell="D10" activeCellId="0" sqref="D10"/>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27.12"/>
    <col collapsed="false" customWidth="true" hidden="false" outlineLevel="0" max="3" min="3" style="30" width="29.38"/>
    <col collapsed="false" customWidth="true" hidden="false" outlineLevel="0" max="4" min="4" style="30" width="27.38"/>
    <col collapsed="false" customWidth="true" hidden="false" outlineLevel="0" max="5" min="5" style="30" width="24.62"/>
    <col collapsed="false" customWidth="true" hidden="false" outlineLevel="0" max="6" min="6" style="30" width="20.5"/>
    <col collapsed="false" customWidth="true" hidden="false" outlineLevel="0" max="9" min="7" style="31" width="17.5"/>
    <col collapsed="false" customWidth="true" hidden="false" outlineLevel="0" max="10" min="10" style="31" width="53.13"/>
    <col collapsed="false" customWidth="true" hidden="false" outlineLevel="0" max="11" min="11" style="60" width="33.5"/>
    <col collapsed="false" customWidth="true" hidden="false" outlineLevel="0" max="12" min="12" style="32" width="17.87"/>
    <col collapsed="false" customWidth="true" hidden="false" outlineLevel="0" max="13" min="13" style="31" width="10.51"/>
    <col collapsed="false" customWidth="true" hidden="false" outlineLevel="0" max="14" min="14" style="31" width="6"/>
    <col collapsed="false" customWidth="true" hidden="false" outlineLevel="0" max="15" min="15" style="31" width="18.5"/>
    <col collapsed="false" customWidth="true" hidden="false" outlineLevel="0" max="16" min="16" style="31" width="28.12"/>
    <col collapsed="false" customWidth="true" hidden="false" outlineLevel="0" max="17" min="17" style="31" width="8.88"/>
    <col collapsed="false" customWidth="true" hidden="false" outlineLevel="0" max="18" min="18" style="31" width="8.13"/>
    <col collapsed="false" customWidth="true" hidden="false" outlineLevel="0" max="19" min="19" style="0" width="6"/>
    <col collapsed="false" customWidth="true" hidden="false" outlineLevel="0" max="20" min="20" style="180" width="22.62"/>
    <col collapsed="false" customWidth="true" hidden="false" outlineLevel="0" max="21" min="21" style="31" width="24.36"/>
    <col collapsed="false" customWidth="true" hidden="false" outlineLevel="0" max="22" min="22" style="32" width="24.5"/>
    <col collapsed="false" customWidth="true" hidden="false" outlineLevel="0" max="23" min="23" style="31" width="17.5"/>
    <col collapsed="false" customWidth="true" hidden="false" outlineLevel="0" max="25" min="25" style="31" width="8"/>
    <col collapsed="false" customWidth="false" hidden="false" outlineLevel="0" max="1006" min="26" style="30" width="9.51"/>
    <col collapsed="false" customWidth="true" hidden="false" outlineLevel="0" max="1007" min="1007" style="30" width="9"/>
    <col collapsed="false" customWidth="true" hidden="false" outlineLevel="0" max="1009" min="1008" style="0" width="9"/>
  </cols>
  <sheetData>
    <row r="1" customFormat="false" ht="13.5" hidden="false" customHeight="true" outlineLevel="0" collapsed="false">
      <c r="A1" s="71" t="s">
        <v>2957</v>
      </c>
      <c r="C1" s="72"/>
      <c r="G1" s="30"/>
      <c r="H1" s="30"/>
      <c r="I1" s="30"/>
      <c r="J1" s="30"/>
      <c r="K1" s="30"/>
      <c r="X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9"/>
      <c r="O2" s="77"/>
      <c r="P2" s="77"/>
      <c r="Q2" s="77"/>
    </row>
    <row r="3" s="76" customFormat="true" ht="13.5" hidden="false" customHeight="true" outlineLevel="0" collapsed="false">
      <c r="A3" s="75" t="s">
        <v>84</v>
      </c>
      <c r="B3" s="75" t="s">
        <v>85</v>
      </c>
      <c r="C3" s="80" t="s">
        <v>2914</v>
      </c>
      <c r="D3" s="75" t="s">
        <v>87</v>
      </c>
      <c r="E3" s="75"/>
      <c r="F3" s="75"/>
      <c r="G3" s="75" t="s">
        <v>91</v>
      </c>
      <c r="H3" s="75" t="s">
        <v>91</v>
      </c>
      <c r="I3" s="75" t="s">
        <v>91</v>
      </c>
      <c r="J3" s="81"/>
      <c r="K3" s="77"/>
      <c r="L3" s="78"/>
      <c r="M3" s="77"/>
      <c r="N3" s="79"/>
      <c r="O3" s="77"/>
      <c r="P3" s="77"/>
      <c r="Q3" s="77"/>
    </row>
    <row r="4" s="76" customFormat="true" ht="13.5" hidden="false" customHeight="true" outlineLevel="0" collapsed="false">
      <c r="A4" s="75"/>
      <c r="B4" s="75"/>
      <c r="C4" s="75"/>
      <c r="D4" s="75"/>
      <c r="E4" s="75"/>
      <c r="F4" s="75"/>
      <c r="G4" s="75"/>
      <c r="H4" s="75"/>
      <c r="I4" s="75"/>
      <c r="K4" s="77"/>
      <c r="L4" s="78"/>
      <c r="M4" s="77"/>
      <c r="N4" s="79"/>
      <c r="O4" s="77"/>
      <c r="P4" s="77"/>
      <c r="Q4" s="77"/>
    </row>
    <row r="5" s="76" customFormat="true" ht="13.5" hidden="false" customHeight="true" outlineLevel="0" collapsed="false">
      <c r="A5" s="75"/>
      <c r="B5" s="75"/>
      <c r="C5" s="75"/>
      <c r="D5" s="75"/>
      <c r="E5" s="75"/>
      <c r="F5" s="75"/>
      <c r="G5" s="75"/>
      <c r="H5" s="75"/>
      <c r="I5" s="75"/>
      <c r="K5" s="77"/>
      <c r="L5" s="78"/>
      <c r="M5" s="77"/>
      <c r="N5" s="79"/>
      <c r="O5" s="77"/>
      <c r="P5" s="77"/>
      <c r="Q5" s="77"/>
    </row>
    <row r="6" customFormat="false" ht="13.5" hidden="false" customHeight="true" outlineLevel="0" collapsed="false">
      <c r="C6" s="50"/>
      <c r="D6" s="51"/>
      <c r="G6" s="30"/>
      <c r="H6" s="30"/>
      <c r="I6" s="30"/>
      <c r="J6" s="30"/>
      <c r="K6" s="30"/>
      <c r="X6" s="31"/>
    </row>
    <row r="7" customFormat="false" ht="13.5" hidden="false" customHeight="true" outlineLevel="0" collapsed="false">
      <c r="C7" s="51"/>
      <c r="D7" s="118"/>
      <c r="E7" s="51"/>
      <c r="F7" s="51"/>
      <c r="Q7" s="289" t="s">
        <v>93</v>
      </c>
      <c r="R7" s="289"/>
      <c r="X7" s="304" t="s">
        <v>2915</v>
      </c>
      <c r="Y7" s="304"/>
    </row>
    <row r="8" s="125" customFormat="true" ht="55.5" hidden="false" customHeight="true" outlineLevel="0" collapsed="false">
      <c r="A8" s="119" t="s">
        <v>94</v>
      </c>
      <c r="B8" s="120" t="s">
        <v>95</v>
      </c>
      <c r="C8" s="121" t="s">
        <v>96</v>
      </c>
      <c r="D8" s="121" t="s">
        <v>97</v>
      </c>
      <c r="E8" s="121" t="s">
        <v>98</v>
      </c>
      <c r="F8" s="121" t="s">
        <v>99</v>
      </c>
      <c r="G8" s="121" t="s">
        <v>100</v>
      </c>
      <c r="H8" s="121" t="s">
        <v>206</v>
      </c>
      <c r="I8" s="121" t="s">
        <v>205</v>
      </c>
      <c r="J8" s="122" t="s">
        <v>101</v>
      </c>
      <c r="K8" s="122" t="s">
        <v>102</v>
      </c>
      <c r="L8" s="122" t="s">
        <v>105</v>
      </c>
      <c r="M8" s="122" t="s">
        <v>106</v>
      </c>
      <c r="N8" s="122" t="s">
        <v>107</v>
      </c>
      <c r="O8" s="122" t="s">
        <v>204</v>
      </c>
      <c r="P8" s="122" t="s">
        <v>109</v>
      </c>
      <c r="Q8" s="123" t="s">
        <v>2361</v>
      </c>
      <c r="R8" s="123" t="s">
        <v>2958</v>
      </c>
      <c r="S8" s="182" t="s">
        <v>111</v>
      </c>
      <c r="T8" s="305" t="s">
        <v>2916</v>
      </c>
      <c r="U8" s="305" t="s">
        <v>2917</v>
      </c>
      <c r="V8" s="306" t="s">
        <v>2918</v>
      </c>
      <c r="W8" s="305" t="s">
        <v>2919</v>
      </c>
      <c r="X8" s="305" t="s">
        <v>2920</v>
      </c>
      <c r="Y8" s="307" t="s">
        <v>177</v>
      </c>
    </row>
    <row r="9" s="67" customFormat="true" ht="13.5" hidden="false" customHeight="true" outlineLevel="0" collapsed="false">
      <c r="A9" s="60" t="n">
        <v>1</v>
      </c>
      <c r="B9" s="164" t="s">
        <v>2959</v>
      </c>
      <c r="C9" s="137"/>
      <c r="D9" s="137"/>
      <c r="E9" s="137"/>
      <c r="F9" s="137"/>
      <c r="G9" s="137"/>
      <c r="H9" s="137"/>
      <c r="I9" s="137"/>
      <c r="J9" s="172" t="s">
        <v>2960</v>
      </c>
      <c r="K9" s="63"/>
      <c r="L9" s="63" t="s">
        <v>1785</v>
      </c>
      <c r="M9" s="62" t="s">
        <v>1247</v>
      </c>
      <c r="N9" s="62" t="s">
        <v>119</v>
      </c>
      <c r="O9" s="140" t="s">
        <v>1785</v>
      </c>
      <c r="P9" s="62"/>
      <c r="Q9" s="65" t="s">
        <v>119</v>
      </c>
      <c r="R9" s="143"/>
      <c r="S9" s="66"/>
      <c r="T9" s="174"/>
      <c r="U9" s="136"/>
      <c r="V9" s="309"/>
      <c r="W9" s="62"/>
      <c r="X9" s="64"/>
      <c r="Y9" s="64"/>
    </row>
    <row r="10" s="67" customFormat="true" ht="13.5" hidden="false" customHeight="true" outlineLevel="0" collapsed="false">
      <c r="A10" s="60" t="n">
        <v>2</v>
      </c>
      <c r="B10" s="127"/>
      <c r="C10" s="127" t="s">
        <v>1631</v>
      </c>
      <c r="D10" s="129"/>
      <c r="E10" s="129"/>
      <c r="F10" s="129"/>
      <c r="G10" s="129"/>
      <c r="H10" s="129"/>
      <c r="I10" s="129"/>
      <c r="J10" s="62" t="s">
        <v>2961</v>
      </c>
      <c r="K10" s="63"/>
      <c r="L10" s="63" t="s">
        <v>1502</v>
      </c>
      <c r="M10" s="62" t="s">
        <v>163</v>
      </c>
      <c r="N10" s="62"/>
      <c r="O10" s="62" t="s">
        <v>118</v>
      </c>
      <c r="P10" s="62"/>
      <c r="Q10" s="65" t="s">
        <v>119</v>
      </c>
      <c r="R10" s="143"/>
      <c r="S10" s="66"/>
      <c r="T10" s="308"/>
      <c r="U10" s="136"/>
      <c r="V10" s="309"/>
      <c r="W10" s="62"/>
      <c r="X10" s="64"/>
      <c r="Y10" s="64"/>
    </row>
    <row r="11" s="169" customFormat="true" ht="13.5" hidden="false" customHeight="true" outlineLevel="0" collapsed="false">
      <c r="A11" s="60" t="n">
        <v>3</v>
      </c>
      <c r="B11" s="127"/>
      <c r="C11" s="129" t="s">
        <v>2934</v>
      </c>
      <c r="D11" s="129"/>
      <c r="E11" s="129"/>
      <c r="F11" s="129"/>
      <c r="G11" s="129"/>
      <c r="H11" s="129"/>
      <c r="I11" s="129"/>
      <c r="J11" s="62" t="s">
        <v>2962</v>
      </c>
      <c r="K11" s="63" t="s">
        <v>1214</v>
      </c>
      <c r="L11" s="63" t="s">
        <v>1215</v>
      </c>
      <c r="M11" s="62" t="s">
        <v>117</v>
      </c>
      <c r="N11" s="62"/>
      <c r="O11" s="62" t="s">
        <v>134</v>
      </c>
      <c r="P11" s="62"/>
      <c r="Q11" s="65" t="s">
        <v>119</v>
      </c>
      <c r="R11" s="65"/>
      <c r="S11" s="66"/>
      <c r="T11" s="308"/>
      <c r="U11" s="136"/>
      <c r="V11" s="309"/>
      <c r="W11" s="62"/>
      <c r="X11" s="64"/>
      <c r="Y11" s="64"/>
    </row>
    <row r="12" s="169" customFormat="true" ht="13.5" hidden="false" customHeight="true" outlineLevel="0" collapsed="false">
      <c r="A12" s="60" t="n">
        <v>4</v>
      </c>
      <c r="B12" s="127"/>
      <c r="C12" s="129" t="s">
        <v>2672</v>
      </c>
      <c r="D12" s="129"/>
      <c r="E12" s="129"/>
      <c r="F12" s="129"/>
      <c r="G12" s="129"/>
      <c r="H12" s="129"/>
      <c r="I12" s="129"/>
      <c r="J12" s="174" t="s">
        <v>2963</v>
      </c>
      <c r="K12" s="137" t="s">
        <v>1825</v>
      </c>
      <c r="L12" s="63" t="s">
        <v>2671</v>
      </c>
      <c r="M12" s="62" t="s">
        <v>163</v>
      </c>
      <c r="N12" s="62"/>
      <c r="O12" s="62" t="s">
        <v>118</v>
      </c>
      <c r="P12" s="165"/>
      <c r="Q12" s="138" t="s">
        <v>119</v>
      </c>
      <c r="R12" s="143"/>
      <c r="S12" s="66"/>
      <c r="T12" s="136"/>
      <c r="U12" s="311"/>
      <c r="V12" s="312"/>
      <c r="W12" s="136"/>
      <c r="X12" s="64"/>
      <c r="Y12" s="64"/>
    </row>
    <row r="13" s="169" customFormat="true" ht="13.5" hidden="false" customHeight="true" outlineLevel="0" collapsed="false">
      <c r="A13" s="60" t="n">
        <v>5</v>
      </c>
      <c r="B13" s="127"/>
      <c r="C13" s="129" t="s">
        <v>2686</v>
      </c>
      <c r="D13" s="129"/>
      <c r="E13" s="129"/>
      <c r="F13" s="129"/>
      <c r="G13" s="129"/>
      <c r="H13" s="129"/>
      <c r="I13" s="129"/>
      <c r="J13" s="114"/>
      <c r="K13" s="63"/>
      <c r="L13" s="63"/>
      <c r="M13" s="62"/>
      <c r="N13" s="62"/>
      <c r="O13" s="62"/>
      <c r="P13" s="62"/>
      <c r="Q13" s="65"/>
      <c r="R13" s="65"/>
      <c r="S13" s="66"/>
      <c r="T13" s="308"/>
      <c r="U13" s="62"/>
      <c r="V13" s="309"/>
      <c r="W13" s="136"/>
      <c r="X13" s="64"/>
      <c r="Y13" s="64"/>
    </row>
    <row r="14" s="169" customFormat="true" ht="13.5" hidden="false" customHeight="true" outlineLevel="0" collapsed="false">
      <c r="A14" s="60" t="n">
        <v>6</v>
      </c>
      <c r="B14" s="127"/>
      <c r="C14" s="129"/>
      <c r="D14" s="129" t="s">
        <v>2964</v>
      </c>
      <c r="E14" s="129"/>
      <c r="F14" s="129"/>
      <c r="G14" s="129"/>
      <c r="H14" s="129"/>
      <c r="I14" s="129"/>
      <c r="J14" s="172" t="s">
        <v>2965</v>
      </c>
      <c r="K14" s="137" t="s">
        <v>2966</v>
      </c>
      <c r="L14" s="63" t="s">
        <v>2967</v>
      </c>
      <c r="M14" s="171" t="s">
        <v>1247</v>
      </c>
      <c r="N14" s="62"/>
      <c r="O14" s="62" t="s">
        <v>118</v>
      </c>
      <c r="P14" s="165"/>
      <c r="Q14" s="138" t="s">
        <v>119</v>
      </c>
      <c r="R14" s="143"/>
      <c r="S14" s="66"/>
      <c r="T14" s="311"/>
      <c r="U14" s="311"/>
      <c r="V14" s="315"/>
      <c r="W14" s="136"/>
      <c r="X14" s="64"/>
      <c r="Y14" s="64"/>
    </row>
    <row r="15" s="169" customFormat="true" ht="13.5" hidden="false" customHeight="true" outlineLevel="0" collapsed="false">
      <c r="A15" s="60" t="n">
        <v>7</v>
      </c>
      <c r="B15" s="127"/>
      <c r="C15" s="129"/>
      <c r="D15" s="129" t="s">
        <v>1804</v>
      </c>
      <c r="E15" s="129"/>
      <c r="F15" s="129"/>
      <c r="G15" s="129"/>
      <c r="H15" s="129"/>
      <c r="I15" s="129"/>
      <c r="J15" s="114"/>
      <c r="K15" s="63" t="s">
        <v>2968</v>
      </c>
      <c r="L15" s="63" t="s">
        <v>2267</v>
      </c>
      <c r="M15" s="136" t="s">
        <v>163</v>
      </c>
      <c r="N15" s="62"/>
      <c r="O15" s="62" t="s">
        <v>118</v>
      </c>
      <c r="P15" s="62"/>
      <c r="Q15" s="65" t="s">
        <v>119</v>
      </c>
      <c r="R15" s="65"/>
      <c r="S15" s="66"/>
      <c r="T15" s="311"/>
      <c r="U15" s="62"/>
      <c r="V15" s="309"/>
      <c r="W15" s="62"/>
      <c r="X15" s="64"/>
      <c r="Y15" s="64"/>
    </row>
    <row r="16" s="145" customFormat="true" ht="13.5" hidden="false" customHeight="true" outlineLevel="0" collapsed="false">
      <c r="A16" s="60" t="n">
        <v>8</v>
      </c>
      <c r="B16" s="156"/>
      <c r="C16" s="141"/>
      <c r="D16" s="141" t="s">
        <v>2907</v>
      </c>
      <c r="E16" s="156"/>
      <c r="F16" s="156"/>
      <c r="G16" s="156"/>
      <c r="H16" s="156"/>
      <c r="I16" s="156"/>
      <c r="J16" s="172" t="s">
        <v>2969</v>
      </c>
      <c r="K16" s="175"/>
      <c r="L16" s="137" t="s">
        <v>2970</v>
      </c>
      <c r="M16" s="136" t="s">
        <v>163</v>
      </c>
      <c r="N16" s="136"/>
      <c r="O16" s="136" t="s">
        <v>118</v>
      </c>
      <c r="P16" s="142"/>
      <c r="Q16" s="143" t="s">
        <v>119</v>
      </c>
      <c r="R16" s="143"/>
      <c r="S16" s="189"/>
      <c r="T16" s="311"/>
      <c r="U16" s="142"/>
      <c r="V16" s="167"/>
      <c r="W16" s="142"/>
      <c r="X16" s="165"/>
      <c r="Y16" s="165"/>
    </row>
    <row r="17" s="169" customFormat="true" ht="13.5" hidden="false" customHeight="true" outlineLevel="0" collapsed="false">
      <c r="A17" s="60" t="n">
        <v>9</v>
      </c>
      <c r="B17" s="127"/>
      <c r="C17" s="129"/>
      <c r="D17" s="129" t="s">
        <v>2944</v>
      </c>
      <c r="E17" s="129"/>
      <c r="F17" s="129"/>
      <c r="G17" s="129"/>
      <c r="H17" s="129"/>
      <c r="I17" s="129"/>
      <c r="J17" s="172" t="s">
        <v>2971</v>
      </c>
      <c r="K17" s="137" t="s">
        <v>2946</v>
      </c>
      <c r="L17" s="63" t="s">
        <v>2903</v>
      </c>
      <c r="M17" s="62" t="s">
        <v>163</v>
      </c>
      <c r="N17" s="62"/>
      <c r="O17" s="62" t="s">
        <v>118</v>
      </c>
      <c r="P17" s="186"/>
      <c r="Q17" s="138" t="s">
        <v>119</v>
      </c>
      <c r="R17" s="143"/>
      <c r="S17" s="66"/>
      <c r="T17" s="62"/>
      <c r="U17" s="311"/>
      <c r="V17" s="312"/>
      <c r="W17" s="136"/>
      <c r="X17" s="64"/>
      <c r="Y17" s="64"/>
    </row>
    <row r="18" s="169" customFormat="true" ht="13.5" hidden="false" customHeight="true" outlineLevel="0" collapsed="false">
      <c r="A18" s="60" t="n">
        <v>10</v>
      </c>
      <c r="B18" s="128"/>
      <c r="C18" s="129"/>
      <c r="D18" s="129" t="s">
        <v>2492</v>
      </c>
      <c r="E18" s="137"/>
      <c r="F18" s="137"/>
      <c r="G18" s="137"/>
      <c r="H18" s="137"/>
      <c r="I18" s="137"/>
      <c r="J18" s="137"/>
      <c r="K18" s="137"/>
      <c r="L18" s="63" t="s">
        <v>1820</v>
      </c>
      <c r="M18" s="171" t="s">
        <v>163</v>
      </c>
      <c r="N18" s="62" t="s">
        <v>119</v>
      </c>
      <c r="O18" s="149" t="s">
        <v>1820</v>
      </c>
      <c r="P18" s="136"/>
      <c r="Q18" s="138" t="s">
        <v>119</v>
      </c>
      <c r="R18" s="143"/>
      <c r="S18" s="66"/>
      <c r="T18" s="174"/>
      <c r="U18" s="136"/>
      <c r="V18" s="315"/>
      <c r="W18" s="136"/>
      <c r="X18" s="64"/>
      <c r="Y18" s="64"/>
    </row>
    <row r="19" s="169" customFormat="true" ht="13.5" hidden="false" customHeight="true" outlineLevel="0" collapsed="false">
      <c r="A19" s="60" t="n">
        <v>11</v>
      </c>
      <c r="B19" s="129"/>
      <c r="C19" s="129"/>
      <c r="D19" s="129"/>
      <c r="E19" s="129" t="s">
        <v>2953</v>
      </c>
      <c r="F19" s="129"/>
      <c r="G19" s="129"/>
      <c r="H19" s="129"/>
      <c r="I19" s="129"/>
      <c r="J19" s="172" t="s">
        <v>2972</v>
      </c>
      <c r="K19" s="137"/>
      <c r="L19" s="63" t="s">
        <v>1281</v>
      </c>
      <c r="M19" s="171" t="s">
        <v>163</v>
      </c>
      <c r="N19" s="62"/>
      <c r="O19" s="62" t="s">
        <v>118</v>
      </c>
      <c r="P19" s="136" t="s">
        <v>2973</v>
      </c>
      <c r="Q19" s="138" t="s">
        <v>119</v>
      </c>
      <c r="R19" s="143"/>
      <c r="S19" s="66"/>
      <c r="T19" s="174"/>
      <c r="U19" s="136"/>
      <c r="V19" s="315"/>
      <c r="W19" s="136"/>
      <c r="X19" s="64"/>
      <c r="Y19" s="64"/>
    </row>
    <row r="20" s="169" customFormat="true" ht="13.5" hidden="false" customHeight="true" outlineLevel="0" collapsed="false">
      <c r="A20" s="60" t="n">
        <v>12</v>
      </c>
      <c r="B20" s="129"/>
      <c r="C20" s="128"/>
      <c r="D20" s="129"/>
      <c r="E20" s="128" t="s">
        <v>2955</v>
      </c>
      <c r="F20" s="292"/>
      <c r="G20" s="292"/>
      <c r="H20" s="292"/>
      <c r="I20" s="292"/>
      <c r="J20" s="316"/>
      <c r="K20" s="137"/>
      <c r="L20" s="63" t="s">
        <v>2495</v>
      </c>
      <c r="M20" s="171" t="s">
        <v>163</v>
      </c>
      <c r="N20" s="62" t="s">
        <v>119</v>
      </c>
      <c r="O20" s="62" t="s">
        <v>1316</v>
      </c>
      <c r="P20" s="136"/>
      <c r="Q20" s="138" t="s">
        <v>119</v>
      </c>
      <c r="R20" s="143"/>
      <c r="S20" s="66"/>
      <c r="T20" s="174"/>
      <c r="U20" s="136"/>
      <c r="V20" s="315"/>
      <c r="W20" s="136"/>
      <c r="X20" s="64"/>
      <c r="Y20" s="64"/>
    </row>
    <row r="21" s="67" customFormat="true" ht="13.5" hidden="false" customHeight="true" outlineLevel="0" collapsed="false">
      <c r="A21" s="60" t="n">
        <v>14</v>
      </c>
      <c r="B21" s="127"/>
      <c r="C21" s="127"/>
      <c r="D21" s="127"/>
      <c r="E21" s="127"/>
      <c r="F21" s="127" t="s">
        <v>1317</v>
      </c>
      <c r="G21" s="127"/>
      <c r="H21" s="127"/>
      <c r="I21" s="127"/>
      <c r="J21" s="62" t="s">
        <v>1318</v>
      </c>
      <c r="K21" s="63" t="s">
        <v>1319</v>
      </c>
      <c r="L21" s="62" t="s">
        <v>1320</v>
      </c>
      <c r="M21" s="62" t="s">
        <v>117</v>
      </c>
      <c r="N21" s="62"/>
      <c r="O21" s="62" t="s">
        <v>118</v>
      </c>
      <c r="P21" s="62"/>
      <c r="Q21" s="65" t="s">
        <v>119</v>
      </c>
      <c r="R21" s="65"/>
      <c r="S21" s="66"/>
      <c r="T21" s="308"/>
      <c r="U21" s="62"/>
      <c r="V21" s="309"/>
      <c r="W21" s="62"/>
      <c r="X21" s="64" t="n">
        <v>1</v>
      </c>
      <c r="Y21" s="64" t="n">
        <v>1</v>
      </c>
    </row>
    <row r="22" s="145" customFormat="true" ht="13.5" hidden="false" customHeight="true" outlineLevel="0" collapsed="false">
      <c r="A22" s="60" t="n">
        <v>15</v>
      </c>
      <c r="B22" s="127"/>
      <c r="C22" s="141"/>
      <c r="D22" s="127"/>
      <c r="E22" s="141"/>
      <c r="F22" s="141" t="s">
        <v>1321</v>
      </c>
      <c r="G22" s="141"/>
      <c r="H22" s="144"/>
      <c r="I22" s="144"/>
      <c r="J22" s="62" t="s">
        <v>2974</v>
      </c>
      <c r="K22" s="63" t="s">
        <v>1323</v>
      </c>
      <c r="L22" s="62" t="s">
        <v>1324</v>
      </c>
      <c r="M22" s="62" t="s">
        <v>163</v>
      </c>
      <c r="N22" s="62"/>
      <c r="O22" s="62" t="s">
        <v>118</v>
      </c>
      <c r="P22" s="62"/>
      <c r="Q22" s="143" t="s">
        <v>119</v>
      </c>
      <c r="R22" s="65"/>
      <c r="S22" s="66"/>
      <c r="T22" s="308"/>
      <c r="U22" s="62"/>
      <c r="V22" s="309"/>
      <c r="W22" s="62"/>
      <c r="X22" s="64" t="n">
        <v>1</v>
      </c>
      <c r="Y22" s="64"/>
    </row>
    <row r="23" s="67" customFormat="true" ht="13.5" hidden="false" customHeight="true" outlineLevel="0" collapsed="false">
      <c r="A23" s="60" t="n">
        <v>16</v>
      </c>
      <c r="B23" s="127"/>
      <c r="C23" s="127"/>
      <c r="D23" s="127"/>
      <c r="E23" s="127"/>
      <c r="F23" s="127" t="s">
        <v>1325</v>
      </c>
      <c r="G23" s="127"/>
      <c r="H23" s="127"/>
      <c r="I23" s="127"/>
      <c r="J23" s="136" t="s">
        <v>2456</v>
      </c>
      <c r="K23" s="63" t="s">
        <v>1327</v>
      </c>
      <c r="L23" s="62" t="s">
        <v>126</v>
      </c>
      <c r="M23" s="62" t="s">
        <v>163</v>
      </c>
      <c r="N23" s="62"/>
      <c r="O23" s="62" t="s">
        <v>118</v>
      </c>
      <c r="P23" s="62"/>
      <c r="Q23" s="143" t="s">
        <v>119</v>
      </c>
      <c r="R23" s="65"/>
      <c r="S23" s="66"/>
      <c r="T23" s="308"/>
      <c r="U23" s="62"/>
      <c r="V23" s="309"/>
      <c r="W23" s="62"/>
      <c r="X23" s="64" t="n">
        <v>1</v>
      </c>
      <c r="Y23" s="64" t="n">
        <v>1</v>
      </c>
    </row>
    <row r="24" s="67" customFormat="true" ht="13.5" hidden="false" customHeight="true" outlineLevel="0" collapsed="false">
      <c r="A24" s="60" t="n">
        <v>17</v>
      </c>
      <c r="B24" s="127"/>
      <c r="C24" s="129"/>
      <c r="D24" s="127"/>
      <c r="E24" s="129"/>
      <c r="F24" s="129" t="s">
        <v>1328</v>
      </c>
      <c r="G24" s="133"/>
      <c r="H24" s="133"/>
      <c r="I24" s="133"/>
      <c r="J24" s="62" t="s">
        <v>2457</v>
      </c>
      <c r="K24" s="63"/>
      <c r="L24" s="137" t="s">
        <v>1330</v>
      </c>
      <c r="M24" s="62" t="s">
        <v>1247</v>
      </c>
      <c r="N24" s="62" t="s">
        <v>119</v>
      </c>
      <c r="O24" s="146" t="s">
        <v>1330</v>
      </c>
      <c r="P24" s="64"/>
      <c r="Q24" s="143" t="s">
        <v>119</v>
      </c>
      <c r="R24" s="143"/>
      <c r="S24" s="66"/>
      <c r="T24" s="308"/>
      <c r="U24" s="62"/>
      <c r="V24" s="309"/>
      <c r="W24" s="62"/>
      <c r="X24" s="64"/>
      <c r="Y24" s="64" t="n">
        <v>1</v>
      </c>
    </row>
    <row r="25" s="67" customFormat="true" ht="13.5" hidden="false" customHeight="true" outlineLevel="0" collapsed="false">
      <c r="A25" s="60" t="n">
        <v>18</v>
      </c>
      <c r="B25" s="127"/>
      <c r="C25" s="129"/>
      <c r="D25" s="127"/>
      <c r="E25" s="129"/>
      <c r="F25" s="129"/>
      <c r="G25" s="129" t="s">
        <v>1331</v>
      </c>
      <c r="H25" s="129"/>
      <c r="I25" s="129"/>
      <c r="J25" s="62" t="s">
        <v>1642</v>
      </c>
      <c r="K25" s="63" t="s">
        <v>1333</v>
      </c>
      <c r="L25" s="63" t="s">
        <v>162</v>
      </c>
      <c r="M25" s="62" t="s">
        <v>117</v>
      </c>
      <c r="N25" s="62"/>
      <c r="O25" s="62" t="s">
        <v>118</v>
      </c>
      <c r="P25" s="63" t="s">
        <v>2975</v>
      </c>
      <c r="Q25" s="143" t="s">
        <v>119</v>
      </c>
      <c r="R25" s="143"/>
      <c r="S25" s="66"/>
      <c r="T25" s="174" t="s">
        <v>2976</v>
      </c>
      <c r="U25" s="62" t="s">
        <v>2977</v>
      </c>
      <c r="V25" s="167"/>
      <c r="W25" s="62"/>
      <c r="X25" s="64"/>
      <c r="Y25" s="64" t="n">
        <v>1</v>
      </c>
    </row>
    <row r="26" s="67" customFormat="true" ht="13.5" hidden="false" customHeight="true" outlineLevel="0" collapsed="false">
      <c r="A26" s="60" t="n">
        <v>19</v>
      </c>
      <c r="B26" s="127"/>
      <c r="C26" s="129"/>
      <c r="D26" s="127"/>
      <c r="E26" s="129"/>
      <c r="F26" s="129"/>
      <c r="G26" s="129" t="s">
        <v>1335</v>
      </c>
      <c r="H26" s="129"/>
      <c r="I26" s="129"/>
      <c r="J26" s="62" t="s">
        <v>1645</v>
      </c>
      <c r="K26" s="63" t="s">
        <v>1337</v>
      </c>
      <c r="L26" s="63" t="s">
        <v>1338</v>
      </c>
      <c r="M26" s="62" t="s">
        <v>117</v>
      </c>
      <c r="N26" s="62"/>
      <c r="O26" s="62" t="s">
        <v>118</v>
      </c>
      <c r="P26" s="64"/>
      <c r="Q26" s="143" t="s">
        <v>119</v>
      </c>
      <c r="R26" s="143"/>
      <c r="S26" s="66"/>
      <c r="T26" s="308"/>
      <c r="U26" s="62"/>
      <c r="V26" s="167"/>
      <c r="W26" s="62"/>
      <c r="X26" s="64"/>
      <c r="Y26" s="64" t="n">
        <v>1</v>
      </c>
    </row>
    <row r="27" s="67" customFormat="true" ht="13.5" hidden="false" customHeight="true" outlineLevel="0" collapsed="false">
      <c r="A27" s="60" t="n">
        <v>20</v>
      </c>
      <c r="B27" s="127"/>
      <c r="C27" s="127"/>
      <c r="D27" s="127"/>
      <c r="E27" s="127"/>
      <c r="F27" s="127" t="s">
        <v>1340</v>
      </c>
      <c r="G27" s="133"/>
      <c r="H27" s="133"/>
      <c r="I27" s="133"/>
      <c r="J27" s="62"/>
      <c r="K27" s="63"/>
      <c r="L27" s="63" t="s">
        <v>1341</v>
      </c>
      <c r="M27" s="62" t="s">
        <v>163</v>
      </c>
      <c r="N27" s="62" t="s">
        <v>119</v>
      </c>
      <c r="O27" s="140" t="s">
        <v>1341</v>
      </c>
      <c r="P27" s="62"/>
      <c r="Q27" s="143" t="s">
        <v>119</v>
      </c>
      <c r="R27" s="65"/>
      <c r="S27" s="66"/>
      <c r="T27" s="308"/>
      <c r="U27" s="62"/>
      <c r="V27" s="309"/>
      <c r="W27" s="62"/>
      <c r="X27" s="64" t="n">
        <v>1</v>
      </c>
      <c r="Y27" s="64" t="n">
        <v>1</v>
      </c>
    </row>
    <row r="28" s="67" customFormat="true" ht="13.5" hidden="false" customHeight="true" outlineLevel="0" collapsed="false">
      <c r="A28" s="60" t="n">
        <v>21</v>
      </c>
      <c r="B28" s="127"/>
      <c r="C28" s="127"/>
      <c r="D28" s="127"/>
      <c r="E28" s="127"/>
      <c r="F28" s="127"/>
      <c r="G28" s="129" t="s">
        <v>1356</v>
      </c>
      <c r="H28" s="132"/>
      <c r="I28" s="69"/>
      <c r="J28" s="62" t="s">
        <v>2733</v>
      </c>
      <c r="K28" s="63" t="s">
        <v>1358</v>
      </c>
      <c r="L28" s="63" t="s">
        <v>1359</v>
      </c>
      <c r="M28" s="62" t="s">
        <v>117</v>
      </c>
      <c r="N28" s="62"/>
      <c r="O28" s="62" t="s">
        <v>118</v>
      </c>
      <c r="P28" s="62" t="s">
        <v>1360</v>
      </c>
      <c r="Q28" s="65" t="s">
        <v>119</v>
      </c>
      <c r="R28" s="65"/>
      <c r="S28" s="66"/>
      <c r="T28" s="308"/>
      <c r="U28" s="62"/>
      <c r="V28" s="309"/>
      <c r="W28" s="62"/>
      <c r="X28" s="64" t="n">
        <v>1</v>
      </c>
      <c r="Y28" s="64" t="n">
        <v>1</v>
      </c>
    </row>
    <row r="29" s="151" customFormat="true" ht="13.5" hidden="false" customHeight="true" outlineLevel="0" collapsed="false">
      <c r="A29" s="60" t="n">
        <v>22</v>
      </c>
      <c r="B29" s="127"/>
      <c r="C29" s="150"/>
      <c r="D29" s="127"/>
      <c r="E29" s="150"/>
      <c r="F29" s="150"/>
      <c r="G29" s="129" t="s">
        <v>1361</v>
      </c>
      <c r="H29" s="133"/>
      <c r="I29" s="133"/>
      <c r="J29" s="62" t="s">
        <v>2459</v>
      </c>
      <c r="K29" s="63" t="s">
        <v>1363</v>
      </c>
      <c r="L29" s="63" t="s">
        <v>1364</v>
      </c>
      <c r="M29" s="62" t="s">
        <v>163</v>
      </c>
      <c r="N29" s="62"/>
      <c r="O29" s="62" t="s">
        <v>118</v>
      </c>
      <c r="P29" s="62"/>
      <c r="Q29" s="65" t="s">
        <v>119</v>
      </c>
      <c r="R29" s="65"/>
      <c r="S29" s="66"/>
      <c r="T29" s="308"/>
      <c r="U29" s="62"/>
      <c r="V29" s="309"/>
      <c r="W29" s="62"/>
      <c r="X29" s="64" t="n">
        <v>1</v>
      </c>
      <c r="Y29" s="64" t="n">
        <v>1</v>
      </c>
    </row>
    <row r="30" s="151" customFormat="true" ht="13.5" hidden="false" customHeight="true" outlineLevel="0" collapsed="false">
      <c r="A30" s="60" t="n">
        <v>23</v>
      </c>
      <c r="B30" s="127"/>
      <c r="C30" s="150"/>
      <c r="D30" s="127"/>
      <c r="E30" s="150"/>
      <c r="F30" s="150"/>
      <c r="G30" s="129" t="s">
        <v>1365</v>
      </c>
      <c r="H30" s="133"/>
      <c r="I30" s="133"/>
      <c r="J30" s="62"/>
      <c r="K30" s="63"/>
      <c r="L30" s="63" t="s">
        <v>1367</v>
      </c>
      <c r="M30" s="62" t="s">
        <v>163</v>
      </c>
      <c r="N30" s="62" t="s">
        <v>119</v>
      </c>
      <c r="O30" s="140" t="s">
        <v>1367</v>
      </c>
      <c r="P30" s="62"/>
      <c r="Q30" s="65" t="s">
        <v>119</v>
      </c>
      <c r="R30" s="65"/>
      <c r="S30" s="66"/>
      <c r="T30" s="308"/>
      <c r="U30" s="62"/>
      <c r="V30" s="309"/>
      <c r="W30" s="62"/>
      <c r="X30" s="64" t="n">
        <v>1</v>
      </c>
      <c r="Y30" s="64" t="n">
        <v>1</v>
      </c>
    </row>
    <row r="31" s="151" customFormat="true" ht="13.5" hidden="false" customHeight="true" outlineLevel="0" collapsed="false">
      <c r="A31" s="60" t="n">
        <v>24</v>
      </c>
      <c r="B31" s="127"/>
      <c r="C31" s="150"/>
      <c r="D31" s="127"/>
      <c r="E31" s="150"/>
      <c r="F31" s="150"/>
      <c r="G31" s="129"/>
      <c r="H31" s="129" t="s">
        <v>1368</v>
      </c>
      <c r="I31" s="129"/>
      <c r="J31" s="62" t="s">
        <v>2460</v>
      </c>
      <c r="K31" s="63" t="s">
        <v>1370</v>
      </c>
      <c r="L31" s="63" t="s">
        <v>1359</v>
      </c>
      <c r="M31" s="62" t="s">
        <v>117</v>
      </c>
      <c r="N31" s="62"/>
      <c r="O31" s="62" t="s">
        <v>118</v>
      </c>
      <c r="P31" s="62" t="s">
        <v>1371</v>
      </c>
      <c r="Q31" s="65" t="s">
        <v>119</v>
      </c>
      <c r="R31" s="65"/>
      <c r="S31" s="66"/>
      <c r="T31" s="308"/>
      <c r="U31" s="62"/>
      <c r="V31" s="309"/>
      <c r="W31" s="62"/>
      <c r="X31" s="64" t="n">
        <v>1</v>
      </c>
      <c r="Y31" s="64" t="n">
        <v>1</v>
      </c>
    </row>
    <row r="32" s="67" customFormat="true" ht="13.5" hidden="false" customHeight="true" outlineLevel="0" collapsed="false">
      <c r="A32" s="60" t="n">
        <v>25</v>
      </c>
      <c r="B32" s="127"/>
      <c r="C32" s="127"/>
      <c r="D32" s="127"/>
      <c r="E32" s="127"/>
      <c r="F32" s="127"/>
      <c r="G32" s="129"/>
      <c r="H32" s="129" t="s">
        <v>1372</v>
      </c>
      <c r="I32" s="129"/>
      <c r="J32" s="62"/>
      <c r="K32" s="63" t="s">
        <v>1374</v>
      </c>
      <c r="L32" s="63" t="s">
        <v>1281</v>
      </c>
      <c r="M32" s="62" t="s">
        <v>163</v>
      </c>
      <c r="N32" s="62"/>
      <c r="O32" s="62" t="s">
        <v>118</v>
      </c>
      <c r="P32" s="62"/>
      <c r="Q32" s="65" t="s">
        <v>119</v>
      </c>
      <c r="R32" s="65"/>
      <c r="S32" s="66"/>
      <c r="T32" s="308"/>
      <c r="U32" s="62"/>
      <c r="V32" s="309"/>
      <c r="W32" s="62"/>
      <c r="X32" s="64" t="n">
        <v>1</v>
      </c>
      <c r="Y32" s="64" t="n">
        <v>1</v>
      </c>
    </row>
    <row r="33" s="67" customFormat="true" ht="13.5" hidden="false" customHeight="true" outlineLevel="0" collapsed="false">
      <c r="A33" s="60" t="n">
        <v>26</v>
      </c>
      <c r="B33" s="127"/>
      <c r="C33" s="127"/>
      <c r="D33" s="127"/>
      <c r="E33" s="127"/>
      <c r="F33" s="127"/>
      <c r="G33" s="129"/>
      <c r="H33" s="129" t="s">
        <v>1345</v>
      </c>
      <c r="I33" s="129"/>
      <c r="J33" s="62"/>
      <c r="K33" s="63" t="s">
        <v>1376</v>
      </c>
      <c r="L33" s="63" t="s">
        <v>126</v>
      </c>
      <c r="M33" s="62" t="s">
        <v>163</v>
      </c>
      <c r="N33" s="62"/>
      <c r="O33" s="62" t="s">
        <v>118</v>
      </c>
      <c r="P33" s="62"/>
      <c r="Q33" s="65" t="s">
        <v>119</v>
      </c>
      <c r="R33" s="65"/>
      <c r="S33" s="66"/>
      <c r="T33" s="308"/>
      <c r="U33" s="62"/>
      <c r="V33" s="309"/>
      <c r="W33" s="62"/>
      <c r="X33" s="64" t="n">
        <v>1</v>
      </c>
      <c r="Y33" s="64" t="n">
        <v>1</v>
      </c>
    </row>
    <row r="34" s="67" customFormat="true" ht="13.5" hidden="false" customHeight="true" outlineLevel="0" collapsed="false">
      <c r="A34" s="60" t="n">
        <v>27</v>
      </c>
      <c r="B34" s="127"/>
      <c r="C34" s="127"/>
      <c r="D34" s="127"/>
      <c r="E34" s="127"/>
      <c r="F34" s="127" t="s">
        <v>1377</v>
      </c>
      <c r="G34" s="133"/>
      <c r="H34" s="133"/>
      <c r="I34" s="133"/>
      <c r="J34" s="62"/>
      <c r="K34" s="63"/>
      <c r="L34" s="63" t="s">
        <v>1379</v>
      </c>
      <c r="M34" s="62" t="s">
        <v>163</v>
      </c>
      <c r="N34" s="62" t="s">
        <v>119</v>
      </c>
      <c r="O34" s="140" t="s">
        <v>1379</v>
      </c>
      <c r="P34" s="62"/>
      <c r="Q34" s="65" t="s">
        <v>119</v>
      </c>
      <c r="R34" s="65"/>
      <c r="S34" s="66"/>
      <c r="T34" s="308"/>
      <c r="U34" s="62"/>
      <c r="V34" s="309"/>
      <c r="W34" s="62"/>
      <c r="X34" s="64"/>
      <c r="Y34" s="64" t="n">
        <v>1</v>
      </c>
    </row>
    <row r="35" s="61" customFormat="true" ht="13.5" hidden="false" customHeight="true" outlineLevel="0" collapsed="false">
      <c r="A35" s="60" t="n">
        <v>28</v>
      </c>
      <c r="B35" s="127"/>
      <c r="C35" s="127"/>
      <c r="D35" s="127"/>
      <c r="E35" s="127"/>
      <c r="F35" s="127"/>
      <c r="G35" s="129" t="s">
        <v>1380</v>
      </c>
      <c r="H35" s="127"/>
      <c r="I35" s="127"/>
      <c r="J35" s="62" t="s">
        <v>2463</v>
      </c>
      <c r="K35" s="63" t="s">
        <v>1382</v>
      </c>
      <c r="L35" s="63" t="s">
        <v>126</v>
      </c>
      <c r="M35" s="62" t="s">
        <v>163</v>
      </c>
      <c r="N35" s="62"/>
      <c r="O35" s="62" t="s">
        <v>118</v>
      </c>
      <c r="P35" s="62"/>
      <c r="Q35" s="65" t="s">
        <v>119</v>
      </c>
      <c r="R35" s="65"/>
      <c r="S35" s="66"/>
      <c r="T35" s="308"/>
      <c r="U35" s="142"/>
      <c r="V35" s="167" t="s">
        <v>2978</v>
      </c>
      <c r="W35" s="62"/>
      <c r="X35" s="64" t="n">
        <v>1</v>
      </c>
      <c r="Y35" s="64" t="n">
        <v>1</v>
      </c>
    </row>
    <row r="36" s="67" customFormat="true" ht="13.5" hidden="false" customHeight="true" outlineLevel="0" collapsed="false">
      <c r="A36" s="60" t="n">
        <v>29</v>
      </c>
      <c r="B36" s="127"/>
      <c r="C36" s="127"/>
      <c r="D36" s="127"/>
      <c r="E36" s="127"/>
      <c r="F36" s="127"/>
      <c r="G36" s="129" t="s">
        <v>1383</v>
      </c>
      <c r="H36" s="127"/>
      <c r="I36" s="127"/>
      <c r="J36" s="62" t="s">
        <v>2464</v>
      </c>
      <c r="K36" s="63" t="n">
        <v>59350</v>
      </c>
      <c r="L36" s="63" t="s">
        <v>1385</v>
      </c>
      <c r="M36" s="62" t="s">
        <v>163</v>
      </c>
      <c r="N36" s="62"/>
      <c r="O36" s="62" t="s">
        <v>118</v>
      </c>
      <c r="P36" s="62" t="s">
        <v>2979</v>
      </c>
      <c r="Q36" s="65" t="s">
        <v>119</v>
      </c>
      <c r="R36" s="65"/>
      <c r="S36" s="66"/>
      <c r="T36" s="308"/>
      <c r="U36" s="62"/>
      <c r="V36" s="309"/>
      <c r="W36" s="62"/>
      <c r="X36" s="64" t="n">
        <v>1</v>
      </c>
      <c r="Y36" s="64" t="n">
        <v>1</v>
      </c>
    </row>
    <row r="37" s="67" customFormat="true" ht="13.5" hidden="false" customHeight="true" outlineLevel="0" collapsed="false">
      <c r="A37" s="60" t="n">
        <v>30</v>
      </c>
      <c r="B37" s="127"/>
      <c r="C37" s="127"/>
      <c r="D37" s="127"/>
      <c r="E37" s="127"/>
      <c r="F37" s="127"/>
      <c r="G37" s="129" t="s">
        <v>1387</v>
      </c>
      <c r="H37" s="129"/>
      <c r="I37" s="129"/>
      <c r="J37" s="136" t="s">
        <v>2813</v>
      </c>
      <c r="K37" s="63" t="s">
        <v>1389</v>
      </c>
      <c r="L37" s="63" t="s">
        <v>1390</v>
      </c>
      <c r="M37" s="62" t="s">
        <v>163</v>
      </c>
      <c r="N37" s="62"/>
      <c r="O37" s="152" t="s">
        <v>118</v>
      </c>
      <c r="P37" s="62"/>
      <c r="Q37" s="65" t="s">
        <v>119</v>
      </c>
      <c r="R37" s="65"/>
      <c r="S37" s="66"/>
      <c r="T37" s="308"/>
      <c r="U37" s="62"/>
      <c r="V37" s="309"/>
      <c r="W37" s="62"/>
      <c r="X37" s="64"/>
      <c r="Y37" s="64" t="n">
        <v>1</v>
      </c>
    </row>
    <row r="38" s="153" customFormat="true" ht="13.5" hidden="false" customHeight="true" outlineLevel="0" collapsed="false">
      <c r="A38" s="60" t="n">
        <v>31</v>
      </c>
      <c r="B38" s="127"/>
      <c r="C38" s="127"/>
      <c r="D38" s="127"/>
      <c r="E38" s="127"/>
      <c r="F38" s="127" t="s">
        <v>1391</v>
      </c>
      <c r="G38" s="133"/>
      <c r="H38" s="133"/>
      <c r="I38" s="133"/>
      <c r="J38" s="62" t="s">
        <v>2980</v>
      </c>
      <c r="K38" s="63"/>
      <c r="L38" s="63" t="s">
        <v>1393</v>
      </c>
      <c r="M38" s="62" t="s">
        <v>163</v>
      </c>
      <c r="N38" s="62" t="s">
        <v>119</v>
      </c>
      <c r="O38" s="140" t="s">
        <v>1393</v>
      </c>
      <c r="P38" s="62"/>
      <c r="Q38" s="65" t="s">
        <v>119</v>
      </c>
      <c r="R38" s="65"/>
      <c r="S38" s="66"/>
      <c r="T38" s="308"/>
      <c r="U38" s="62"/>
      <c r="V38" s="309"/>
      <c r="W38" s="62"/>
      <c r="X38" s="64" t="n">
        <v>1</v>
      </c>
      <c r="Y38" s="64" t="n">
        <v>1</v>
      </c>
    </row>
    <row r="39" s="153" customFormat="true" ht="13.5" hidden="false" customHeight="true" outlineLevel="0" collapsed="false">
      <c r="A39" s="60" t="n">
        <v>32</v>
      </c>
      <c r="B39" s="127"/>
      <c r="C39" s="127"/>
      <c r="D39" s="127"/>
      <c r="E39" s="127"/>
      <c r="F39" s="127"/>
      <c r="G39" s="129" t="s">
        <v>1394</v>
      </c>
      <c r="H39" s="133"/>
      <c r="I39" s="133"/>
      <c r="J39" s="62" t="s">
        <v>2466</v>
      </c>
      <c r="K39" s="63" t="s">
        <v>1396</v>
      </c>
      <c r="L39" s="63" t="s">
        <v>1397</v>
      </c>
      <c r="M39" s="62" t="s">
        <v>163</v>
      </c>
      <c r="N39" s="62"/>
      <c r="O39" s="152" t="s">
        <v>118</v>
      </c>
      <c r="P39" s="62"/>
      <c r="Q39" s="65" t="s">
        <v>119</v>
      </c>
      <c r="R39" s="65"/>
      <c r="S39" s="66"/>
      <c r="T39" s="308"/>
      <c r="U39" s="62"/>
      <c r="V39" s="309"/>
      <c r="W39" s="62"/>
      <c r="X39" s="64" t="n">
        <v>1</v>
      </c>
      <c r="Y39" s="64" t="n">
        <v>1</v>
      </c>
    </row>
    <row r="40" s="153" customFormat="true" ht="13.5" hidden="false" customHeight="true" outlineLevel="0" collapsed="false">
      <c r="A40" s="60" t="n">
        <v>33</v>
      </c>
      <c r="B40" s="127"/>
      <c r="C40" s="127"/>
      <c r="D40" s="127"/>
      <c r="E40" s="127"/>
      <c r="F40" s="127"/>
      <c r="G40" s="129" t="s">
        <v>1398</v>
      </c>
      <c r="H40" s="133"/>
      <c r="I40" s="133"/>
      <c r="J40" s="62" t="s">
        <v>2467</v>
      </c>
      <c r="K40" s="63" t="s">
        <v>1400</v>
      </c>
      <c r="L40" s="63" t="s">
        <v>1401</v>
      </c>
      <c r="M40" s="62" t="s">
        <v>163</v>
      </c>
      <c r="N40" s="62"/>
      <c r="O40" s="152" t="s">
        <v>118</v>
      </c>
      <c r="P40" s="62"/>
      <c r="Q40" s="65" t="s">
        <v>119</v>
      </c>
      <c r="R40" s="65"/>
      <c r="S40" s="66"/>
      <c r="T40" s="308"/>
      <c r="U40" s="62"/>
      <c r="V40" s="309"/>
      <c r="W40" s="62"/>
      <c r="X40" s="64" t="n">
        <v>1</v>
      </c>
      <c r="Y40" s="64" t="n">
        <v>1</v>
      </c>
    </row>
    <row r="41" s="154" customFormat="true" ht="13.5" hidden="false" customHeight="true" outlineLevel="0" collapsed="false">
      <c r="A41" s="60" t="n">
        <v>34</v>
      </c>
      <c r="B41" s="127"/>
      <c r="C41" s="150"/>
      <c r="D41" s="127"/>
      <c r="E41" s="150"/>
      <c r="F41" s="150"/>
      <c r="G41" s="129" t="s">
        <v>1402</v>
      </c>
      <c r="H41" s="133"/>
      <c r="I41" s="133"/>
      <c r="J41" s="62" t="s">
        <v>2468</v>
      </c>
      <c r="K41" s="63" t="s">
        <v>1404</v>
      </c>
      <c r="L41" s="63" t="s">
        <v>1405</v>
      </c>
      <c r="M41" s="62" t="s">
        <v>163</v>
      </c>
      <c r="N41" s="62"/>
      <c r="O41" s="152" t="s">
        <v>118</v>
      </c>
      <c r="P41" s="62"/>
      <c r="Q41" s="65" t="s">
        <v>119</v>
      </c>
      <c r="R41" s="65"/>
      <c r="S41" s="66"/>
      <c r="T41" s="308"/>
      <c r="U41" s="62"/>
      <c r="V41" s="309"/>
      <c r="W41" s="62"/>
      <c r="X41" s="64" t="n">
        <v>1</v>
      </c>
      <c r="Y41" s="64" t="n">
        <v>1</v>
      </c>
    </row>
    <row r="42" s="154" customFormat="true" ht="13.5" hidden="false" customHeight="true" outlineLevel="0" collapsed="false">
      <c r="A42" s="60" t="n">
        <v>35</v>
      </c>
      <c r="B42" s="127"/>
      <c r="C42" s="150"/>
      <c r="D42" s="127"/>
      <c r="E42" s="150"/>
      <c r="F42" s="150"/>
      <c r="G42" s="129" t="s">
        <v>1406</v>
      </c>
      <c r="H42" s="133"/>
      <c r="I42" s="133"/>
      <c r="J42" s="62" t="s">
        <v>2469</v>
      </c>
      <c r="K42" s="63" t="s">
        <v>1408</v>
      </c>
      <c r="L42" s="63" t="s">
        <v>1409</v>
      </c>
      <c r="M42" s="62" t="s">
        <v>1247</v>
      </c>
      <c r="N42" s="62"/>
      <c r="O42" s="152" t="s">
        <v>118</v>
      </c>
      <c r="P42" s="62"/>
      <c r="Q42" s="65" t="s">
        <v>119</v>
      </c>
      <c r="R42" s="65"/>
      <c r="S42" s="66"/>
      <c r="T42" s="308"/>
      <c r="U42" s="62"/>
      <c r="V42" s="309"/>
      <c r="W42" s="62"/>
      <c r="X42" s="64" t="n">
        <v>1</v>
      </c>
      <c r="Y42" s="64" t="n">
        <v>1</v>
      </c>
    </row>
    <row r="43" s="154" customFormat="true" ht="13.5" hidden="false" customHeight="true" outlineLevel="0" collapsed="false">
      <c r="A43" s="60" t="n">
        <v>36</v>
      </c>
      <c r="B43" s="127"/>
      <c r="C43" s="150"/>
      <c r="D43" s="127"/>
      <c r="E43" s="150"/>
      <c r="F43" s="150"/>
      <c r="G43" s="129" t="s">
        <v>1410</v>
      </c>
      <c r="H43" s="133"/>
      <c r="I43" s="133"/>
      <c r="J43" s="62" t="s">
        <v>2470</v>
      </c>
      <c r="K43" s="63" t="s">
        <v>1412</v>
      </c>
      <c r="L43" s="63" t="s">
        <v>1413</v>
      </c>
      <c r="M43" s="62" t="s">
        <v>163</v>
      </c>
      <c r="N43" s="62"/>
      <c r="O43" s="152" t="s">
        <v>118</v>
      </c>
      <c r="P43" s="62"/>
      <c r="Q43" s="65" t="s">
        <v>119</v>
      </c>
      <c r="R43" s="65"/>
      <c r="S43" s="66"/>
      <c r="T43" s="308"/>
      <c r="U43" s="62"/>
      <c r="V43" s="309"/>
      <c r="W43" s="62"/>
      <c r="X43" s="64" t="n">
        <v>1</v>
      </c>
      <c r="Y43" s="64" t="n">
        <v>1</v>
      </c>
    </row>
    <row r="44" s="155" customFormat="true" ht="13.5" hidden="false" customHeight="true" outlineLevel="0" collapsed="false">
      <c r="A44" s="60" t="n">
        <v>37</v>
      </c>
      <c r="B44" s="127"/>
      <c r="C44" s="150"/>
      <c r="D44" s="127"/>
      <c r="E44" s="150"/>
      <c r="F44" s="150"/>
      <c r="G44" s="129" t="s">
        <v>1414</v>
      </c>
      <c r="H44" s="133"/>
      <c r="I44" s="133"/>
      <c r="J44" s="62" t="s">
        <v>2471</v>
      </c>
      <c r="K44" s="63" t="s">
        <v>1416</v>
      </c>
      <c r="L44" s="63" t="s">
        <v>1417</v>
      </c>
      <c r="M44" s="62" t="s">
        <v>163</v>
      </c>
      <c r="N44" s="62"/>
      <c r="O44" s="152" t="s">
        <v>118</v>
      </c>
      <c r="P44" s="62"/>
      <c r="Q44" s="65" t="s">
        <v>119</v>
      </c>
      <c r="R44" s="65"/>
      <c r="S44" s="66"/>
      <c r="T44" s="308"/>
      <c r="U44" s="62"/>
      <c r="V44" s="309"/>
      <c r="W44" s="62"/>
      <c r="X44" s="64" t="n">
        <v>1</v>
      </c>
      <c r="Y44" s="64" t="n">
        <v>1</v>
      </c>
    </row>
    <row r="45" s="157" customFormat="true" ht="13.5" hidden="false" customHeight="true" outlineLevel="0" collapsed="false">
      <c r="A45" s="60" t="n">
        <v>38</v>
      </c>
      <c r="B45" s="127"/>
      <c r="C45" s="156"/>
      <c r="D45" s="127"/>
      <c r="E45" s="156"/>
      <c r="F45" s="156"/>
      <c r="G45" s="129" t="s">
        <v>1418</v>
      </c>
      <c r="H45" s="133"/>
      <c r="I45" s="133"/>
      <c r="J45" s="62"/>
      <c r="K45" s="63" t="s">
        <v>2472</v>
      </c>
      <c r="L45" s="63" t="s">
        <v>1420</v>
      </c>
      <c r="M45" s="62" t="s">
        <v>163</v>
      </c>
      <c r="N45" s="62"/>
      <c r="O45" s="152" t="s">
        <v>118</v>
      </c>
      <c r="P45" s="62"/>
      <c r="Q45" s="65" t="s">
        <v>119</v>
      </c>
      <c r="R45" s="65"/>
      <c r="S45" s="66"/>
      <c r="T45" s="308"/>
      <c r="U45" s="62"/>
      <c r="V45" s="309"/>
      <c r="W45" s="62"/>
      <c r="X45" s="64" t="n">
        <v>1</v>
      </c>
      <c r="Y45" s="64" t="n">
        <v>1</v>
      </c>
    </row>
    <row r="46" s="153" customFormat="true" ht="13.5" hidden="false" customHeight="true" outlineLevel="0" collapsed="false">
      <c r="A46" s="60" t="n">
        <v>39</v>
      </c>
      <c r="B46" s="127"/>
      <c r="C46" s="156"/>
      <c r="D46" s="127"/>
      <c r="E46" s="156"/>
      <c r="F46" s="156"/>
      <c r="G46" s="129" t="s">
        <v>1421</v>
      </c>
      <c r="H46" s="133"/>
      <c r="I46" s="133"/>
      <c r="J46" s="62" t="s">
        <v>2473</v>
      </c>
      <c r="K46" s="63" t="s">
        <v>1423</v>
      </c>
      <c r="L46" s="63" t="s">
        <v>1424</v>
      </c>
      <c r="M46" s="62" t="s">
        <v>163</v>
      </c>
      <c r="N46" s="62"/>
      <c r="O46" s="152" t="s">
        <v>118</v>
      </c>
      <c r="P46" s="62"/>
      <c r="Q46" s="65" t="s">
        <v>119</v>
      </c>
      <c r="R46" s="65"/>
      <c r="S46" s="66"/>
      <c r="T46" s="308"/>
      <c r="U46" s="62"/>
      <c r="V46" s="309"/>
      <c r="W46" s="62"/>
      <c r="X46" s="64" t="n">
        <v>1</v>
      </c>
      <c r="Y46" s="64" t="n">
        <v>1</v>
      </c>
    </row>
    <row r="47" s="153" customFormat="true" ht="13.5" hidden="false" customHeight="true" outlineLevel="0" collapsed="false">
      <c r="A47" s="60" t="n">
        <v>40</v>
      </c>
      <c r="B47" s="127"/>
      <c r="C47" s="156"/>
      <c r="D47" s="127"/>
      <c r="E47" s="156"/>
      <c r="F47" s="156"/>
      <c r="G47" s="129" t="s">
        <v>1425</v>
      </c>
      <c r="H47" s="129"/>
      <c r="I47" s="129"/>
      <c r="J47" s="62" t="s">
        <v>2474</v>
      </c>
      <c r="K47" s="63" t="n">
        <v>33123452323</v>
      </c>
      <c r="L47" s="63" t="s">
        <v>1428</v>
      </c>
      <c r="M47" s="62" t="s">
        <v>163</v>
      </c>
      <c r="N47" s="62"/>
      <c r="O47" s="62" t="s">
        <v>1364</v>
      </c>
      <c r="P47" s="62"/>
      <c r="Q47" s="65" t="s">
        <v>119</v>
      </c>
      <c r="R47" s="65"/>
      <c r="S47" s="66"/>
      <c r="T47" s="308"/>
      <c r="U47" s="62" t="s">
        <v>2981</v>
      </c>
      <c r="V47" s="309"/>
      <c r="W47" s="62"/>
      <c r="X47" s="64"/>
      <c r="Y47" s="64" t="n">
        <v>1</v>
      </c>
    </row>
    <row r="48" s="67" customFormat="true" ht="13.5" hidden="false" customHeight="true" outlineLevel="0" collapsed="false">
      <c r="A48" s="60" t="n">
        <v>41</v>
      </c>
      <c r="B48" s="127"/>
      <c r="C48" s="127"/>
      <c r="D48" s="127"/>
      <c r="E48" s="127"/>
      <c r="F48" s="127" t="s">
        <v>1430</v>
      </c>
      <c r="G48" s="127"/>
      <c r="H48" s="127"/>
      <c r="I48" s="127"/>
      <c r="J48" s="62"/>
      <c r="K48" s="63"/>
      <c r="L48" s="63" t="s">
        <v>1432</v>
      </c>
      <c r="M48" s="62" t="s">
        <v>163</v>
      </c>
      <c r="N48" s="62" t="s">
        <v>119</v>
      </c>
      <c r="O48" s="140" t="s">
        <v>1432</v>
      </c>
      <c r="P48" s="62"/>
      <c r="Q48" s="65" t="s">
        <v>119</v>
      </c>
      <c r="R48" s="65"/>
      <c r="S48" s="66"/>
      <c r="T48" s="308"/>
      <c r="U48" s="62"/>
      <c r="V48" s="309"/>
      <c r="W48" s="62"/>
      <c r="X48" s="64" t="n">
        <v>1</v>
      </c>
      <c r="Y48" s="64"/>
    </row>
    <row r="49" s="67" customFormat="true" ht="13.5" hidden="false" customHeight="true" outlineLevel="0" collapsed="false">
      <c r="A49" s="60" t="n">
        <v>42</v>
      </c>
      <c r="B49" s="127"/>
      <c r="C49" s="127"/>
      <c r="D49" s="127"/>
      <c r="E49" s="127"/>
      <c r="F49" s="127"/>
      <c r="G49" s="129" t="s">
        <v>1433</v>
      </c>
      <c r="H49" s="129"/>
      <c r="I49" s="129"/>
      <c r="J49" s="62" t="s">
        <v>2475</v>
      </c>
      <c r="K49" s="63" t="s">
        <v>1214</v>
      </c>
      <c r="L49" s="63" t="s">
        <v>2476</v>
      </c>
      <c r="M49" s="62" t="s">
        <v>117</v>
      </c>
      <c r="N49" s="62"/>
      <c r="O49" s="62" t="s">
        <v>134</v>
      </c>
      <c r="P49" s="62"/>
      <c r="Q49" s="65" t="s">
        <v>119</v>
      </c>
      <c r="R49" s="65"/>
      <c r="S49" s="66"/>
      <c r="T49" s="308"/>
      <c r="U49" s="62" t="s">
        <v>2982</v>
      </c>
      <c r="V49" s="309"/>
      <c r="W49" s="62"/>
      <c r="X49" s="64"/>
      <c r="Y49" s="64" t="n">
        <v>1</v>
      </c>
    </row>
    <row r="50" s="67" customFormat="true" ht="13.5" hidden="false" customHeight="true" outlineLevel="0" collapsed="false">
      <c r="A50" s="60" t="n">
        <v>43</v>
      </c>
      <c r="B50" s="127"/>
      <c r="C50" s="127"/>
      <c r="D50" s="127"/>
      <c r="E50" s="127"/>
      <c r="F50" s="127"/>
      <c r="G50" s="127" t="s">
        <v>1435</v>
      </c>
      <c r="H50" s="127"/>
      <c r="I50" s="127"/>
      <c r="J50" s="62" t="s">
        <v>2477</v>
      </c>
      <c r="K50" s="63"/>
      <c r="L50" s="63" t="s">
        <v>1437</v>
      </c>
      <c r="M50" s="62" t="s">
        <v>163</v>
      </c>
      <c r="N50" s="62" t="s">
        <v>119</v>
      </c>
      <c r="O50" s="140" t="s">
        <v>1437</v>
      </c>
      <c r="P50" s="62"/>
      <c r="Q50" s="65" t="s">
        <v>119</v>
      </c>
      <c r="R50" s="65"/>
      <c r="S50" s="66"/>
      <c r="T50" s="308"/>
      <c r="U50" s="62"/>
      <c r="V50" s="309"/>
      <c r="W50" s="62"/>
      <c r="X50" s="64" t="n">
        <v>1</v>
      </c>
      <c r="Y50" s="64" t="n">
        <v>1</v>
      </c>
    </row>
    <row r="51" s="67" customFormat="true" ht="13.5" hidden="false" customHeight="true" outlineLevel="0" collapsed="false">
      <c r="A51" s="60" t="n">
        <v>44</v>
      </c>
      <c r="B51" s="127"/>
      <c r="C51" s="127"/>
      <c r="D51" s="127"/>
      <c r="E51" s="127"/>
      <c r="F51" s="127"/>
      <c r="G51" s="127"/>
      <c r="H51" s="127" t="s">
        <v>1438</v>
      </c>
      <c r="I51" s="127"/>
      <c r="J51" s="62" t="s">
        <v>2478</v>
      </c>
      <c r="K51" s="63"/>
      <c r="L51" s="63" t="s">
        <v>1440</v>
      </c>
      <c r="M51" s="62" t="s">
        <v>117</v>
      </c>
      <c r="N51" s="62" t="s">
        <v>119</v>
      </c>
      <c r="O51" s="140" t="s">
        <v>1440</v>
      </c>
      <c r="P51" s="62"/>
      <c r="Q51" s="65" t="s">
        <v>119</v>
      </c>
      <c r="R51" s="65"/>
      <c r="S51" s="66"/>
      <c r="T51" s="308"/>
      <c r="U51" s="62"/>
      <c r="V51" s="309"/>
      <c r="W51" s="62"/>
      <c r="X51" s="64" t="n">
        <v>1</v>
      </c>
      <c r="Y51" s="64" t="n">
        <v>1</v>
      </c>
    </row>
    <row r="52" s="67" customFormat="true" ht="13.5" hidden="false" customHeight="true" outlineLevel="0" collapsed="false">
      <c r="A52" s="60" t="n">
        <v>45</v>
      </c>
      <c r="B52" s="127"/>
      <c r="C52" s="127"/>
      <c r="D52" s="127"/>
      <c r="E52" s="127"/>
      <c r="F52" s="127"/>
      <c r="G52" s="127"/>
      <c r="H52" s="127"/>
      <c r="I52" s="127" t="s">
        <v>1441</v>
      </c>
      <c r="J52" s="62" t="s">
        <v>2479</v>
      </c>
      <c r="K52" s="63" t="s">
        <v>1443</v>
      </c>
      <c r="L52" s="63" t="s">
        <v>1444</v>
      </c>
      <c r="M52" s="62" t="s">
        <v>117</v>
      </c>
      <c r="N52" s="62"/>
      <c r="O52" s="62" t="s">
        <v>1364</v>
      </c>
      <c r="P52" s="62"/>
      <c r="Q52" s="65" t="s">
        <v>119</v>
      </c>
      <c r="R52" s="65"/>
      <c r="S52" s="66"/>
      <c r="T52" s="62" t="s">
        <v>2983</v>
      </c>
      <c r="U52" s="62"/>
      <c r="V52" s="167" t="s">
        <v>2984</v>
      </c>
      <c r="W52" s="62"/>
      <c r="X52" s="64" t="n">
        <v>1</v>
      </c>
      <c r="Y52" s="64" t="n">
        <v>1</v>
      </c>
    </row>
    <row r="53" s="153" customFormat="true" ht="13.5" hidden="false" customHeight="true" outlineLevel="0" collapsed="false">
      <c r="A53" s="60" t="n">
        <v>46</v>
      </c>
      <c r="B53" s="127"/>
      <c r="C53" s="127"/>
      <c r="D53" s="127"/>
      <c r="E53" s="127"/>
      <c r="F53" s="127"/>
      <c r="G53" s="127"/>
      <c r="H53" s="127"/>
      <c r="I53" s="127" t="s">
        <v>1445</v>
      </c>
      <c r="J53" s="62" t="s">
        <v>2480</v>
      </c>
      <c r="K53" s="63" t="s">
        <v>1447</v>
      </c>
      <c r="L53" s="63" t="s">
        <v>1448</v>
      </c>
      <c r="M53" s="62" t="s">
        <v>117</v>
      </c>
      <c r="N53" s="62"/>
      <c r="O53" s="62" t="s">
        <v>1364</v>
      </c>
      <c r="P53" s="62"/>
      <c r="Q53" s="65" t="s">
        <v>119</v>
      </c>
      <c r="R53" s="65"/>
      <c r="S53" s="66"/>
      <c r="T53" s="62" t="s">
        <v>2983</v>
      </c>
      <c r="U53" s="62"/>
      <c r="V53" s="167" t="s">
        <v>2984</v>
      </c>
      <c r="W53" s="62"/>
      <c r="X53" s="64" t="n">
        <v>1</v>
      </c>
      <c r="Y53" s="64" t="n">
        <v>1</v>
      </c>
    </row>
    <row r="54" s="154" customFormat="true" ht="13.5" hidden="false" customHeight="true" outlineLevel="0" collapsed="false">
      <c r="A54" s="60" t="n">
        <v>47</v>
      </c>
      <c r="B54" s="127"/>
      <c r="C54" s="150"/>
      <c r="D54" s="127"/>
      <c r="E54" s="150"/>
      <c r="F54" s="150"/>
      <c r="G54" s="150"/>
      <c r="H54" s="150"/>
      <c r="I54" s="150" t="s">
        <v>1449</v>
      </c>
      <c r="J54" s="62" t="s">
        <v>2481</v>
      </c>
      <c r="K54" s="63" t="n">
        <v>120</v>
      </c>
      <c r="L54" s="62" t="s">
        <v>1451</v>
      </c>
      <c r="M54" s="62" t="s">
        <v>163</v>
      </c>
      <c r="N54" s="62"/>
      <c r="O54" s="62" t="s">
        <v>1364</v>
      </c>
      <c r="P54" s="62"/>
      <c r="Q54" s="65" t="s">
        <v>119</v>
      </c>
      <c r="R54" s="65"/>
      <c r="S54" s="66"/>
      <c r="T54" s="62" t="s">
        <v>2985</v>
      </c>
      <c r="U54" s="62"/>
      <c r="V54" s="309"/>
      <c r="W54" s="62"/>
      <c r="X54" s="64" t="n">
        <v>1</v>
      </c>
      <c r="Y54" s="64" t="n">
        <v>1</v>
      </c>
    </row>
    <row r="55" s="153" customFormat="true" ht="13.5" hidden="false" customHeight="true" outlineLevel="0" collapsed="false">
      <c r="A55" s="60" t="n">
        <v>48</v>
      </c>
      <c r="B55" s="127"/>
      <c r="C55" s="127"/>
      <c r="D55" s="127"/>
      <c r="E55" s="127"/>
      <c r="F55" s="127"/>
      <c r="G55" s="129"/>
      <c r="H55" s="129"/>
      <c r="I55" s="129" t="s">
        <v>1452</v>
      </c>
      <c r="J55" s="62" t="s">
        <v>2986</v>
      </c>
      <c r="K55" s="63" t="n">
        <v>96</v>
      </c>
      <c r="L55" s="62" t="s">
        <v>1454</v>
      </c>
      <c r="M55" s="62" t="s">
        <v>163</v>
      </c>
      <c r="N55" s="62"/>
      <c r="O55" s="62" t="s">
        <v>1364</v>
      </c>
      <c r="P55" s="62"/>
      <c r="Q55" s="65" t="s">
        <v>119</v>
      </c>
      <c r="R55" s="65"/>
      <c r="S55" s="66"/>
      <c r="T55" s="62" t="s">
        <v>2987</v>
      </c>
      <c r="U55" s="62"/>
      <c r="V55" s="309"/>
      <c r="W55" s="62"/>
      <c r="X55" s="64" t="n">
        <v>1</v>
      </c>
      <c r="Y55" s="64" t="n">
        <v>1</v>
      </c>
    </row>
    <row r="56" s="153" customFormat="true" ht="13.5" hidden="false" customHeight="true" outlineLevel="0" collapsed="false">
      <c r="A56" s="60" t="n">
        <v>49</v>
      </c>
      <c r="B56" s="127"/>
      <c r="C56" s="127"/>
      <c r="D56" s="127"/>
      <c r="E56" s="127"/>
      <c r="F56" s="127"/>
      <c r="G56" s="129"/>
      <c r="H56" s="129"/>
      <c r="I56" s="129" t="s">
        <v>1455</v>
      </c>
      <c r="J56" s="62" t="s">
        <v>1456</v>
      </c>
      <c r="K56" s="63" t="n">
        <v>34</v>
      </c>
      <c r="L56" s="62" t="s">
        <v>1457</v>
      </c>
      <c r="M56" s="62" t="s">
        <v>163</v>
      </c>
      <c r="N56" s="62"/>
      <c r="O56" s="62" t="s">
        <v>1364</v>
      </c>
      <c r="P56" s="62"/>
      <c r="Q56" s="65" t="s">
        <v>119</v>
      </c>
      <c r="R56" s="65"/>
      <c r="S56" s="66"/>
      <c r="T56" s="62" t="s">
        <v>2988</v>
      </c>
      <c r="U56" s="62"/>
      <c r="V56" s="309"/>
      <c r="W56" s="62"/>
      <c r="X56" s="64" t="n">
        <v>1</v>
      </c>
      <c r="Y56" s="64" t="n">
        <v>1</v>
      </c>
    </row>
    <row r="57" s="154" customFormat="true" ht="13.5" hidden="false" customHeight="true" outlineLevel="0" collapsed="false">
      <c r="A57" s="60" t="n">
        <v>50</v>
      </c>
      <c r="B57" s="127"/>
      <c r="C57" s="150"/>
      <c r="D57" s="127"/>
      <c r="E57" s="150"/>
      <c r="F57" s="150"/>
      <c r="G57" s="129"/>
      <c r="H57" s="129"/>
      <c r="I57" s="129" t="s">
        <v>1458</v>
      </c>
      <c r="J57" s="62" t="s">
        <v>2482</v>
      </c>
      <c r="K57" s="63" t="s">
        <v>2191</v>
      </c>
      <c r="L57" s="63" t="s">
        <v>1461</v>
      </c>
      <c r="M57" s="62" t="s">
        <v>117</v>
      </c>
      <c r="N57" s="62"/>
      <c r="O57" s="62" t="s">
        <v>118</v>
      </c>
      <c r="P57" s="62" t="s">
        <v>2989</v>
      </c>
      <c r="Q57" s="65" t="s">
        <v>119</v>
      </c>
      <c r="R57" s="65"/>
      <c r="S57" s="66"/>
      <c r="T57" s="308"/>
      <c r="U57" s="62"/>
      <c r="V57" s="309"/>
      <c r="W57" s="62"/>
      <c r="X57" s="64"/>
      <c r="Y57" s="64" t="n">
        <v>1</v>
      </c>
    </row>
    <row r="58" s="153" customFormat="true" ht="13.5" hidden="false" customHeight="true" outlineLevel="0" collapsed="false">
      <c r="A58" s="60" t="n">
        <v>51</v>
      </c>
      <c r="B58" s="127"/>
      <c r="C58" s="127"/>
      <c r="D58" s="127"/>
      <c r="E58" s="127"/>
      <c r="F58" s="127"/>
      <c r="G58" s="127"/>
      <c r="H58" s="127" t="s">
        <v>1467</v>
      </c>
      <c r="I58" s="127"/>
      <c r="J58" s="62" t="s">
        <v>2483</v>
      </c>
      <c r="K58" s="63" t="s">
        <v>1469</v>
      </c>
      <c r="L58" s="63" t="s">
        <v>1470</v>
      </c>
      <c r="M58" s="62" t="s">
        <v>163</v>
      </c>
      <c r="N58" s="62"/>
      <c r="O58" s="62" t="s">
        <v>118</v>
      </c>
      <c r="P58" s="62"/>
      <c r="Q58" s="65" t="s">
        <v>119</v>
      </c>
      <c r="R58" s="65"/>
      <c r="S58" s="66"/>
      <c r="T58" s="308"/>
      <c r="U58" s="62"/>
      <c r="V58" s="309"/>
      <c r="W58" s="62"/>
      <c r="X58" s="64" t="n">
        <v>1</v>
      </c>
      <c r="Y58" s="64" t="n">
        <v>1</v>
      </c>
    </row>
    <row r="59" s="153" customFormat="true" ht="13.5" hidden="false" customHeight="true" outlineLevel="0" collapsed="false">
      <c r="A59" s="60" t="n">
        <v>52</v>
      </c>
      <c r="B59" s="127"/>
      <c r="C59" s="127"/>
      <c r="D59" s="127"/>
      <c r="E59" s="127"/>
      <c r="F59" s="127"/>
      <c r="G59" s="127" t="s">
        <v>1471</v>
      </c>
      <c r="H59" s="127"/>
      <c r="I59" s="127"/>
      <c r="J59" s="62" t="s">
        <v>1472</v>
      </c>
      <c r="K59" s="63"/>
      <c r="L59" s="63" t="s">
        <v>1473</v>
      </c>
      <c r="M59" s="62" t="s">
        <v>163</v>
      </c>
      <c r="N59" s="62"/>
      <c r="O59" s="62" t="s">
        <v>118</v>
      </c>
      <c r="P59" s="62"/>
      <c r="Q59" s="65" t="s">
        <v>119</v>
      </c>
      <c r="R59" s="65"/>
      <c r="S59" s="66"/>
      <c r="T59" s="308"/>
      <c r="U59" s="62"/>
      <c r="V59" s="309"/>
      <c r="W59" s="62"/>
      <c r="X59" s="64" t="n">
        <v>1</v>
      </c>
      <c r="Y59" s="64"/>
    </row>
    <row r="60" s="67" customFormat="true" ht="13.5" hidden="false" customHeight="true" outlineLevel="0" collapsed="false">
      <c r="A60" s="60" t="n">
        <v>53</v>
      </c>
      <c r="B60" s="127"/>
      <c r="C60" s="127"/>
      <c r="D60" s="127"/>
      <c r="E60" s="127"/>
      <c r="F60" s="127" t="s">
        <v>1474</v>
      </c>
      <c r="G60" s="127"/>
      <c r="H60" s="127"/>
      <c r="I60" s="127"/>
      <c r="J60" s="62" t="s">
        <v>2484</v>
      </c>
      <c r="K60" s="63"/>
      <c r="L60" s="63" t="s">
        <v>1476</v>
      </c>
      <c r="M60" s="62" t="s">
        <v>1247</v>
      </c>
      <c r="N60" s="62" t="s">
        <v>119</v>
      </c>
      <c r="O60" s="140" t="s">
        <v>1476</v>
      </c>
      <c r="P60" s="62"/>
      <c r="Q60" s="65" t="s">
        <v>119</v>
      </c>
      <c r="R60" s="65"/>
      <c r="S60" s="66"/>
      <c r="T60" s="308"/>
      <c r="U60" s="62"/>
      <c r="V60" s="309"/>
      <c r="W60" s="62"/>
      <c r="X60" s="64" t="n">
        <v>1</v>
      </c>
      <c r="Y60" s="64" t="n">
        <v>1</v>
      </c>
    </row>
    <row r="61" s="67" customFormat="true" ht="13.5" hidden="false" customHeight="true" outlineLevel="0" collapsed="false">
      <c r="A61" s="60" t="n">
        <v>54</v>
      </c>
      <c r="B61" s="127"/>
      <c r="C61" s="127"/>
      <c r="D61" s="127"/>
      <c r="E61" s="127"/>
      <c r="F61" s="127"/>
      <c r="G61" s="127" t="s">
        <v>1477</v>
      </c>
      <c r="H61" s="127"/>
      <c r="I61" s="127"/>
      <c r="J61" s="62" t="s">
        <v>2485</v>
      </c>
      <c r="K61" s="63" t="s">
        <v>2486</v>
      </c>
      <c r="L61" s="63" t="s">
        <v>1313</v>
      </c>
      <c r="M61" s="62" t="s">
        <v>117</v>
      </c>
      <c r="N61" s="62"/>
      <c r="O61" s="62" t="s">
        <v>118</v>
      </c>
      <c r="P61" s="62" t="s">
        <v>2990</v>
      </c>
      <c r="Q61" s="65" t="s">
        <v>119</v>
      </c>
      <c r="R61" s="65"/>
      <c r="S61" s="66"/>
      <c r="T61" s="308"/>
      <c r="U61" s="62"/>
      <c r="V61" s="309"/>
      <c r="W61" s="62"/>
      <c r="X61" s="64" t="n">
        <v>1</v>
      </c>
      <c r="Y61" s="64" t="n">
        <v>1</v>
      </c>
    </row>
    <row r="62" s="67" customFormat="true" ht="13.5" hidden="false" customHeight="true" outlineLevel="0" collapsed="false">
      <c r="A62" s="60" t="n">
        <v>55</v>
      </c>
      <c r="B62" s="127"/>
      <c r="C62" s="127"/>
      <c r="D62" s="127"/>
      <c r="E62" s="127"/>
      <c r="F62" s="127"/>
      <c r="G62" s="127" t="s">
        <v>1481</v>
      </c>
      <c r="H62" s="127"/>
      <c r="I62" s="127"/>
      <c r="J62" s="62" t="s">
        <v>2487</v>
      </c>
      <c r="K62" s="63" t="s">
        <v>2488</v>
      </c>
      <c r="L62" s="63" t="s">
        <v>1281</v>
      </c>
      <c r="M62" s="62" t="s">
        <v>117</v>
      </c>
      <c r="N62" s="62"/>
      <c r="O62" s="62" t="s">
        <v>118</v>
      </c>
      <c r="P62" s="62" t="s">
        <v>1988</v>
      </c>
      <c r="Q62" s="65" t="s">
        <v>119</v>
      </c>
      <c r="R62" s="65"/>
      <c r="S62" s="66"/>
      <c r="T62" s="308"/>
      <c r="U62" s="62"/>
      <c r="V62" s="309"/>
      <c r="W62" s="62"/>
      <c r="X62" s="64" t="n">
        <v>1</v>
      </c>
      <c r="Y62" s="64" t="n">
        <v>1</v>
      </c>
    </row>
    <row r="63" s="61" customFormat="true" ht="13.5" hidden="false" customHeight="true" outlineLevel="0" collapsed="false">
      <c r="A63" s="60" t="n">
        <v>56</v>
      </c>
      <c r="B63" s="127"/>
      <c r="C63" s="127"/>
      <c r="D63" s="127"/>
      <c r="E63" s="127"/>
      <c r="F63" s="127"/>
      <c r="G63" s="127" t="s">
        <v>1335</v>
      </c>
      <c r="H63" s="127"/>
      <c r="I63" s="127"/>
      <c r="J63" s="62" t="s">
        <v>2489</v>
      </c>
      <c r="K63" s="63" t="s">
        <v>2490</v>
      </c>
      <c r="L63" s="63" t="s">
        <v>1487</v>
      </c>
      <c r="M63" s="62" t="s">
        <v>117</v>
      </c>
      <c r="N63" s="62"/>
      <c r="O63" s="152" t="s">
        <v>118</v>
      </c>
      <c r="P63" s="62"/>
      <c r="Q63" s="65" t="s">
        <v>119</v>
      </c>
      <c r="R63" s="65"/>
      <c r="S63" s="66"/>
      <c r="T63" s="308"/>
      <c r="U63" s="62"/>
      <c r="V63" s="309"/>
      <c r="W63" s="62"/>
      <c r="X63" s="64" t="n">
        <v>1</v>
      </c>
      <c r="Y63" s="64" t="n">
        <v>1</v>
      </c>
    </row>
    <row r="64" s="67" customFormat="true" ht="13.5" hidden="false" customHeight="true" outlineLevel="0" collapsed="false">
      <c r="A64" s="60" t="n">
        <v>57</v>
      </c>
      <c r="B64" s="127"/>
      <c r="C64" s="127"/>
      <c r="D64" s="127"/>
      <c r="E64" s="127"/>
      <c r="F64" s="127" t="s">
        <v>1488</v>
      </c>
      <c r="G64" s="127"/>
      <c r="H64" s="127"/>
      <c r="I64" s="127"/>
      <c r="J64" s="62"/>
      <c r="K64" s="63" t="s">
        <v>1489</v>
      </c>
      <c r="L64" s="62" t="s">
        <v>1490</v>
      </c>
      <c r="M64" s="62" t="s">
        <v>117</v>
      </c>
      <c r="N64" s="62"/>
      <c r="O64" s="152" t="s">
        <v>118</v>
      </c>
      <c r="P64" s="62" t="s">
        <v>1491</v>
      </c>
      <c r="Q64" s="65" t="s">
        <v>119</v>
      </c>
      <c r="R64" s="65"/>
      <c r="S64" s="66"/>
      <c r="T64" s="308"/>
      <c r="U64" s="62" t="s">
        <v>2991</v>
      </c>
      <c r="V64" s="167" t="s">
        <v>2992</v>
      </c>
      <c r="W64" s="62"/>
      <c r="X64" s="64"/>
      <c r="Y64" s="64" t="n">
        <v>1</v>
      </c>
    </row>
    <row r="65" customFormat="false" ht="14.25" hidden="false" customHeight="false" outlineLevel="0" collapsed="false">
      <c r="A65" s="60"/>
      <c r="B65" s="67"/>
      <c r="C65" s="60"/>
      <c r="D65" s="60"/>
      <c r="E65" s="60"/>
      <c r="F65" s="60"/>
      <c r="G65" s="60"/>
      <c r="H65" s="60"/>
      <c r="I65" s="60"/>
      <c r="J65" s="60"/>
      <c r="L65" s="69"/>
      <c r="M65" s="60"/>
      <c r="N65" s="60"/>
      <c r="O65" s="60"/>
      <c r="P65" s="60"/>
      <c r="Q65" s="60"/>
      <c r="R65" s="60"/>
      <c r="S65" s="67"/>
      <c r="T65" s="317"/>
      <c r="U65" s="60"/>
      <c r="V65" s="317"/>
      <c r="W65" s="60"/>
      <c r="X65" s="60"/>
      <c r="Y65" s="60"/>
    </row>
  </sheetData>
  <mergeCells count="2">
    <mergeCell ref="Q7:R7"/>
    <mergeCell ref="X7:Y7"/>
  </mergeCells>
  <conditionalFormatting sqref="A66:F67 A87:F927">
    <cfRule type="expression" priority="2" aboveAverage="0" equalAverage="0" bottom="0" percent="0" rank="0" text="" dxfId="4236">
      <formula>OR($Y66="X",$W66="X")</formula>
    </cfRule>
    <cfRule type="expression" priority="3" aboveAverage="0" equalAverage="0" bottom="0" percent="0" rank="0" text="" dxfId="4237">
      <formula>AND($Y66=1,$W66=1)</formula>
    </cfRule>
    <cfRule type="expression" priority="4" aboveAverage="0" equalAverage="0" bottom="0" percent="0" rank="0" text="" dxfId="4238">
      <formula>$Y66=1</formula>
    </cfRule>
    <cfRule type="expression" priority="5" aboveAverage="0" equalAverage="0" bottom="0" percent="0" rank="0" text="" dxfId="4239">
      <formula>$W66=1</formula>
    </cfRule>
  </conditionalFormatting>
  <conditionalFormatting sqref="C9:I9 K9:K64">
    <cfRule type="expression" priority="6" aboveAverage="0" equalAverage="0" bottom="0" percent="0" rank="0" text="" dxfId="4240">
      <formula>$N9="X"</formula>
    </cfRule>
  </conditionalFormatting>
  <conditionalFormatting sqref="E3">
    <cfRule type="dataBar" priority="7">
      <dataBar showValue="1" minLength="10" maxLength="90">
        <cfvo type="num" val="0"/>
        <cfvo type="num" val="1"/>
        <color rgb="FF63C384"/>
      </dataBar>
      <extLst>
        <ext xmlns:x14="http://schemas.microsoft.com/office/spreadsheetml/2009/9/main" uri="{B025F937-C7B1-47D3-B67F-A62EFF666E3E}">
          <x14:id>{7BE3FCC0-FA8C-454B-9FC8-919B994FDE41}</x14:id>
        </ext>
      </extLst>
    </cfRule>
  </conditionalFormatting>
  <conditionalFormatting sqref="E18:J18">
    <cfRule type="expression" priority="8" aboveAverage="0" equalAverage="0" bottom="0" percent="0" rank="0" text="" dxfId="4241">
      <formula>$N18="X"</formula>
    </cfRule>
  </conditionalFormatting>
  <conditionalFormatting sqref="J66:J67 J87:J927">
    <cfRule type="expression" priority="9" aboveAverage="0" equalAverage="0" bottom="0" percent="0" rank="0" text="" dxfId="4242">
      <formula>$M66="X"</formula>
    </cfRule>
  </conditionalFormatting>
  <conditionalFormatting sqref="M9:M64">
    <cfRule type="cellIs" priority="10" operator="equal" aboveAverage="0" equalAverage="0" bottom="0" percent="0" rank="0" text="" dxfId="4243">
      <formula>"1..1"</formula>
    </cfRule>
    <cfRule type="cellIs" priority="11" operator="equal" aboveAverage="0" equalAverage="0" bottom="0" percent="0" rank="0" text="" dxfId="4244">
      <formula>"0..n"</formula>
    </cfRule>
    <cfRule type="cellIs" priority="12" operator="equal" aboveAverage="0" equalAverage="0" bottom="0" percent="0" rank="0" text="" dxfId="424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BE3FCC0-FA8C-454B-9FC8-919B994FDE4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K9" activePane="bottomRight" state="frozen"/>
      <selection pane="topLeft" activeCell="A1" activeCellId="0" sqref="A1"/>
      <selection pane="topRight" activeCell="K1" activeCellId="0" sqref="K1"/>
      <selection pane="bottomLeft" activeCell="A9" activeCellId="0" sqref="A9"/>
      <selection pane="bottomRight" activeCell="M11" activeCellId="0" sqref="M11"/>
    </sheetView>
  </sheetViews>
  <sheetFormatPr defaultColWidth="9" defaultRowHeight="14.25" zeroHeight="false" outlineLevelRow="0" outlineLevelCol="0"/>
  <cols>
    <col collapsed="false" customWidth="true" hidden="false" outlineLevel="0" max="1" min="1" style="0" width="10"/>
    <col collapsed="false" customWidth="true" hidden="false" outlineLevel="0" max="2" min="2" style="0" width="12.87"/>
    <col collapsed="false" customWidth="true" hidden="false" outlineLevel="0" max="3" min="3" style="0" width="31.38"/>
    <col collapsed="false" customWidth="true" hidden="false" outlineLevel="0" max="4" min="4" style="0" width="8.88"/>
    <col collapsed="false" customWidth="true" hidden="false" outlineLevel="0" max="7" min="5" style="0" width="11.63"/>
    <col collapsed="false" customWidth="true" hidden="false" outlineLevel="0" max="8" min="8" style="318" width="52"/>
    <col collapsed="false" customWidth="true" hidden="false" outlineLevel="0" max="9" min="9" style="0" width="31"/>
    <col collapsed="false" customWidth="true" hidden="false" outlineLevel="0" max="10" min="10" style="0" width="16"/>
    <col collapsed="false" customWidth="true" hidden="false" outlineLevel="0" max="11" min="11" style="0" width="11"/>
    <col collapsed="false" customWidth="true" hidden="false" outlineLevel="0" max="12" min="12" style="0" width="7.13"/>
    <col collapsed="false" customWidth="true" hidden="false" outlineLevel="0" max="14" min="14" style="0" width="37.38"/>
    <col collapsed="false" customWidth="false" hidden="false" outlineLevel="0" max="15" min="15" style="319" width="9"/>
    <col collapsed="false" customWidth="true" hidden="false" outlineLevel="0" max="16" min="16" style="319" width="8.88"/>
    <col collapsed="false" customWidth="true" hidden="false" outlineLevel="0" max="17" min="17" style="0" width="3.62"/>
    <col collapsed="false" customWidth="true" hidden="false" outlineLevel="0" max="18" min="18" style="0" width="8.88"/>
  </cols>
  <sheetData>
    <row r="1" customFormat="false" ht="14.25" hidden="false" customHeight="true" outlineLevel="0" collapsed="false">
      <c r="A1" s="71" t="s">
        <v>2993</v>
      </c>
      <c r="B1" s="30"/>
      <c r="C1" s="72"/>
      <c r="D1" s="30"/>
      <c r="E1" s="37"/>
      <c r="F1" s="37"/>
      <c r="G1" s="30"/>
      <c r="H1" s="47"/>
      <c r="I1" s="302"/>
      <c r="J1" s="32"/>
      <c r="K1" s="31"/>
      <c r="L1" s="31"/>
      <c r="M1" s="31"/>
      <c r="N1" s="31"/>
      <c r="O1" s="33"/>
      <c r="P1" s="33"/>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2994</v>
      </c>
      <c r="B3" s="75" t="s">
        <v>85</v>
      </c>
      <c r="C3" s="80" t="s">
        <v>2995</v>
      </c>
      <c r="D3" s="75" t="s">
        <v>2996</v>
      </c>
      <c r="E3" s="75"/>
      <c r="F3" s="75"/>
      <c r="G3" s="75" t="s">
        <v>90</v>
      </c>
      <c r="H3" s="75" t="s">
        <v>91</v>
      </c>
      <c r="I3" s="75" t="s">
        <v>90</v>
      </c>
      <c r="J3" s="81" t="s">
        <v>2997</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3"/>
      <c r="P6" s="33"/>
    </row>
    <row r="7" customFormat="false" ht="14.25" hidden="false" customHeight="true" outlineLevel="0" collapsed="false">
      <c r="C7" s="51"/>
      <c r="D7" s="118"/>
      <c r="E7" s="51"/>
      <c r="F7" s="51"/>
      <c r="G7" s="31"/>
      <c r="H7" s="31"/>
      <c r="I7" s="60"/>
      <c r="J7" s="32"/>
      <c r="K7" s="31"/>
      <c r="L7" s="31"/>
      <c r="M7" s="31"/>
      <c r="N7" s="31"/>
      <c r="O7" s="52" t="s">
        <v>93</v>
      </c>
      <c r="P7" s="52" t="s">
        <v>93</v>
      </c>
    </row>
    <row r="8" customFormat="false" ht="33" hidden="false" customHeight="true" outlineLevel="0" collapsed="false">
      <c r="A8" s="320" t="s">
        <v>94</v>
      </c>
      <c r="B8" s="121" t="s">
        <v>95</v>
      </c>
      <c r="C8" s="121" t="s">
        <v>96</v>
      </c>
      <c r="D8" s="121" t="s">
        <v>97</v>
      </c>
      <c r="E8" s="121" t="s">
        <v>98</v>
      </c>
      <c r="F8" s="121" t="s">
        <v>99</v>
      </c>
      <c r="G8" s="121" t="s">
        <v>100</v>
      </c>
      <c r="H8" s="321" t="s">
        <v>101</v>
      </c>
      <c r="I8" s="321" t="s">
        <v>102</v>
      </c>
      <c r="J8" s="321" t="s">
        <v>105</v>
      </c>
      <c r="K8" s="321" t="s">
        <v>106</v>
      </c>
      <c r="L8" s="321" t="s">
        <v>107</v>
      </c>
      <c r="M8" s="321" t="s">
        <v>176</v>
      </c>
      <c r="N8" s="321" t="s">
        <v>109</v>
      </c>
      <c r="O8" s="123" t="s">
        <v>110</v>
      </c>
      <c r="P8" s="123" t="s">
        <v>85</v>
      </c>
      <c r="Q8" s="182" t="s">
        <v>111</v>
      </c>
    </row>
    <row r="9" customFormat="false" ht="13.5" hidden="false" customHeight="true" outlineLevel="0" collapsed="false">
      <c r="A9" s="322" t="n">
        <v>1</v>
      </c>
      <c r="B9" s="95" t="s">
        <v>2998</v>
      </c>
      <c r="C9" s="95"/>
      <c r="D9" s="95"/>
      <c r="E9" s="95"/>
      <c r="F9" s="95"/>
      <c r="G9" s="95"/>
      <c r="H9" s="98" t="s">
        <v>2999</v>
      </c>
      <c r="I9" s="99" t="s">
        <v>166</v>
      </c>
      <c r="J9" s="98" t="s">
        <v>2156</v>
      </c>
      <c r="K9" s="244" t="s">
        <v>148</v>
      </c>
      <c r="L9" s="100" t="s">
        <v>119</v>
      </c>
      <c r="M9" s="100" t="s">
        <v>2156</v>
      </c>
      <c r="N9" s="101"/>
      <c r="O9" s="323" t="s">
        <v>119</v>
      </c>
      <c r="P9" s="324" t="s">
        <v>119</v>
      </c>
      <c r="Q9" s="66"/>
    </row>
    <row r="10" customFormat="false" ht="14.25" hidden="false" customHeight="true" outlineLevel="0" collapsed="false">
      <c r="A10" s="322" t="n">
        <v>2</v>
      </c>
      <c r="B10" s="325"/>
      <c r="C10" s="325" t="s">
        <v>3000</v>
      </c>
      <c r="D10" s="326"/>
      <c r="E10" s="326"/>
      <c r="F10" s="326"/>
      <c r="G10" s="326"/>
      <c r="H10" s="136" t="s">
        <v>2369</v>
      </c>
      <c r="I10" s="137" t="s">
        <v>2370</v>
      </c>
      <c r="J10" s="137" t="s">
        <v>2371</v>
      </c>
      <c r="K10" s="224" t="s">
        <v>117</v>
      </c>
      <c r="L10" s="67"/>
      <c r="M10" s="67" t="s">
        <v>118</v>
      </c>
      <c r="N10" s="62" t="s">
        <v>2372</v>
      </c>
      <c r="O10" s="319" t="s">
        <v>119</v>
      </c>
      <c r="P10" s="319" t="s">
        <v>119</v>
      </c>
      <c r="Q10" s="66"/>
    </row>
    <row r="11" customFormat="false" ht="14.25" hidden="false" customHeight="true" outlineLevel="0" collapsed="false">
      <c r="A11" s="322" t="n">
        <v>3</v>
      </c>
      <c r="B11" s="325"/>
      <c r="C11" s="325" t="s">
        <v>3001</v>
      </c>
      <c r="D11" s="325"/>
      <c r="E11" s="325"/>
      <c r="F11" s="325"/>
      <c r="G11" s="325"/>
      <c r="H11" s="98" t="s">
        <v>3002</v>
      </c>
      <c r="I11" s="98" t="s">
        <v>3003</v>
      </c>
      <c r="J11" s="98" t="s">
        <v>134</v>
      </c>
      <c r="K11" s="224" t="s">
        <v>117</v>
      </c>
      <c r="L11" s="67"/>
      <c r="M11" s="67" t="s">
        <v>134</v>
      </c>
      <c r="O11" s="319" t="s">
        <v>119</v>
      </c>
      <c r="P11" s="319" t="s">
        <v>119</v>
      </c>
      <c r="Q11" s="66"/>
    </row>
    <row r="12" customFormat="false" ht="14.25" hidden="false" customHeight="true" outlineLevel="0" collapsed="false">
      <c r="A12" s="322" t="n">
        <v>4</v>
      </c>
      <c r="B12" s="325"/>
      <c r="C12" s="325" t="s">
        <v>1438</v>
      </c>
      <c r="D12" s="325"/>
      <c r="E12" s="325"/>
      <c r="F12" s="325"/>
      <c r="G12" s="325"/>
      <c r="H12" s="327" t="s">
        <v>3004</v>
      </c>
      <c r="I12" s="99"/>
      <c r="J12" s="327" t="s">
        <v>1440</v>
      </c>
      <c r="K12" s="244" t="s">
        <v>117</v>
      </c>
      <c r="L12" s="67" t="s">
        <v>119</v>
      </c>
      <c r="M12" s="0" t="s">
        <v>1440</v>
      </c>
      <c r="O12" s="319" t="s">
        <v>119</v>
      </c>
      <c r="P12" s="319" t="s">
        <v>119</v>
      </c>
      <c r="Q12" s="66"/>
    </row>
    <row r="13" customFormat="false" ht="14.25" hidden="false" customHeight="true" outlineLevel="0" collapsed="false">
      <c r="A13" s="322" t="n">
        <v>5</v>
      </c>
      <c r="B13" s="325"/>
      <c r="C13" s="325"/>
      <c r="D13" s="325" t="s">
        <v>2175</v>
      </c>
      <c r="E13" s="325"/>
      <c r="F13" s="325"/>
      <c r="G13" s="325"/>
      <c r="H13" s="328" t="s">
        <v>3005</v>
      </c>
      <c r="I13" s="328" t="s">
        <v>2178</v>
      </c>
      <c r="J13" s="328" t="s">
        <v>1444</v>
      </c>
      <c r="K13" s="224" t="s">
        <v>117</v>
      </c>
      <c r="L13" s="67"/>
      <c r="M13" s="152" t="s">
        <v>1364</v>
      </c>
      <c r="O13" s="319" t="s">
        <v>119</v>
      </c>
      <c r="P13" s="319" t="s">
        <v>119</v>
      </c>
      <c r="Q13" s="66"/>
    </row>
    <row r="14" customFormat="false" ht="14.25" hidden="false" customHeight="true" outlineLevel="0" collapsed="false">
      <c r="A14" s="322" t="n">
        <v>6</v>
      </c>
      <c r="B14" s="325"/>
      <c r="C14" s="325"/>
      <c r="D14" s="325" t="s">
        <v>1445</v>
      </c>
      <c r="E14" s="325"/>
      <c r="F14" s="325"/>
      <c r="G14" s="325"/>
      <c r="H14" s="327" t="s">
        <v>3006</v>
      </c>
      <c r="I14" s="327" t="s">
        <v>2182</v>
      </c>
      <c r="J14" s="327" t="s">
        <v>1448</v>
      </c>
      <c r="K14" s="224" t="s">
        <v>117</v>
      </c>
      <c r="L14" s="67"/>
      <c r="M14" s="0" t="s">
        <v>1364</v>
      </c>
      <c r="O14" s="319" t="s">
        <v>119</v>
      </c>
      <c r="P14" s="319" t="s">
        <v>119</v>
      </c>
      <c r="Q14" s="66"/>
    </row>
    <row r="15" customFormat="false" ht="14.25" hidden="false" customHeight="true" outlineLevel="0" collapsed="false">
      <c r="A15" s="322" t="n">
        <v>7</v>
      </c>
      <c r="B15" s="325"/>
      <c r="C15" s="325"/>
      <c r="D15" s="325" t="s">
        <v>2184</v>
      </c>
      <c r="E15" s="325"/>
      <c r="F15" s="325"/>
      <c r="G15" s="325"/>
      <c r="H15" s="328" t="s">
        <v>3007</v>
      </c>
      <c r="I15" s="329" t="n">
        <v>1</v>
      </c>
      <c r="J15" s="328" t="s">
        <v>1451</v>
      </c>
      <c r="K15" s="102" t="s">
        <v>163</v>
      </c>
      <c r="L15" s="67"/>
      <c r="M15" s="152" t="s">
        <v>1364</v>
      </c>
      <c r="O15" s="319" t="s">
        <v>119</v>
      </c>
      <c r="P15" s="319" t="s">
        <v>119</v>
      </c>
      <c r="Q15" s="66"/>
    </row>
    <row r="16" customFormat="false" ht="14.25" hidden="false" customHeight="true" outlineLevel="0" collapsed="false">
      <c r="A16" s="322" t="n">
        <v>8</v>
      </c>
      <c r="B16" s="325"/>
      <c r="C16" s="325" t="s">
        <v>3008</v>
      </c>
      <c r="D16" s="325"/>
      <c r="E16" s="325"/>
      <c r="F16" s="325"/>
      <c r="G16" s="325"/>
      <c r="H16" s="327" t="s">
        <v>3009</v>
      </c>
      <c r="I16" s="330" t="n">
        <v>80</v>
      </c>
      <c r="J16" s="327" t="s">
        <v>1457</v>
      </c>
      <c r="K16" s="102" t="s">
        <v>163</v>
      </c>
      <c r="L16" s="67"/>
      <c r="M16" s="152" t="s">
        <v>1364</v>
      </c>
      <c r="O16" s="319" t="s">
        <v>119</v>
      </c>
      <c r="P16" s="319" t="s">
        <v>119</v>
      </c>
      <c r="Q16" s="66"/>
    </row>
    <row r="17" customFormat="false" ht="14.25" hidden="false" customHeight="true" outlineLevel="0" collapsed="false">
      <c r="A17" s="322" t="n">
        <v>9</v>
      </c>
      <c r="B17" s="325"/>
      <c r="C17" s="325" t="s">
        <v>3010</v>
      </c>
      <c r="D17" s="325"/>
      <c r="E17" s="325"/>
      <c r="F17" s="325"/>
      <c r="G17" s="325"/>
      <c r="H17" s="328" t="s">
        <v>3011</v>
      </c>
      <c r="I17" s="329" t="n">
        <v>96</v>
      </c>
      <c r="J17" s="328" t="s">
        <v>3012</v>
      </c>
      <c r="K17" s="102" t="s">
        <v>163</v>
      </c>
      <c r="L17" s="67"/>
      <c r="M17" s="152" t="s">
        <v>1364</v>
      </c>
      <c r="O17" s="319" t="s">
        <v>119</v>
      </c>
      <c r="P17" s="319" t="s">
        <v>119</v>
      </c>
      <c r="Q17" s="66"/>
    </row>
    <row r="18" customFormat="false" ht="14.25" hidden="false" customHeight="true" outlineLevel="0" collapsed="false">
      <c r="A18" s="322" t="n">
        <v>10</v>
      </c>
      <c r="B18" s="325"/>
      <c r="C18" s="325" t="s">
        <v>3013</v>
      </c>
      <c r="D18" s="325"/>
      <c r="E18" s="325"/>
      <c r="F18" s="325"/>
      <c r="G18" s="325"/>
      <c r="H18" s="327" t="s">
        <v>3014</v>
      </c>
      <c r="I18" s="330" t="s">
        <v>3015</v>
      </c>
      <c r="J18" s="327" t="s">
        <v>3016</v>
      </c>
      <c r="K18" s="102" t="s">
        <v>163</v>
      </c>
      <c r="L18" s="67"/>
      <c r="M18" s="67" t="s">
        <v>118</v>
      </c>
      <c r="N18" s="62" t="s">
        <v>3017</v>
      </c>
      <c r="O18" s="319" t="s">
        <v>119</v>
      </c>
      <c r="P18" s="319" t="s">
        <v>119</v>
      </c>
      <c r="Q18" s="66"/>
    </row>
    <row r="19" s="328" customFormat="true" ht="14.25" hidden="false" customHeight="true" outlineLevel="0" collapsed="false">
      <c r="A19" s="322" t="n">
        <v>11</v>
      </c>
      <c r="B19" s="325"/>
      <c r="C19" s="325" t="s">
        <v>3018</v>
      </c>
      <c r="D19" s="325"/>
      <c r="E19" s="325"/>
      <c r="F19" s="325"/>
      <c r="G19" s="325"/>
      <c r="H19" s="328" t="s">
        <v>3019</v>
      </c>
      <c r="I19" s="331" t="b">
        <f aca="false">TRUE()</f>
        <v>1</v>
      </c>
      <c r="J19" s="328" t="s">
        <v>3020</v>
      </c>
      <c r="K19" s="328" t="s">
        <v>163</v>
      </c>
      <c r="M19" s="328" t="s">
        <v>184</v>
      </c>
      <c r="O19" s="319" t="s">
        <v>119</v>
      </c>
      <c r="P19" s="319" t="s">
        <v>119</v>
      </c>
    </row>
    <row r="20" customFormat="false" ht="14.25" hidden="false" customHeight="true" outlineLevel="0" collapsed="false">
      <c r="A20" s="322" t="n">
        <v>12</v>
      </c>
      <c r="B20" s="325"/>
      <c r="C20" s="325" t="s">
        <v>3021</v>
      </c>
      <c r="D20" s="325"/>
      <c r="E20" s="325"/>
      <c r="F20" s="325"/>
      <c r="G20" s="325"/>
      <c r="H20" s="327" t="s">
        <v>3022</v>
      </c>
      <c r="I20" s="332" t="b">
        <f aca="false">TRUE()</f>
        <v>1</v>
      </c>
      <c r="J20" s="327" t="s">
        <v>3023</v>
      </c>
      <c r="K20" s="102" t="s">
        <v>163</v>
      </c>
      <c r="L20" s="67"/>
      <c r="M20" s="152" t="s">
        <v>184</v>
      </c>
      <c r="N20" s="60"/>
      <c r="O20" s="319" t="s">
        <v>119</v>
      </c>
      <c r="P20" s="319" t="s">
        <v>119</v>
      </c>
      <c r="Q20" s="66"/>
    </row>
    <row r="21" customFormat="false" ht="14.25" hidden="false" customHeight="true" outlineLevel="0" collapsed="false">
      <c r="A21" s="322" t="n">
        <v>13</v>
      </c>
      <c r="B21" s="325"/>
      <c r="C21" s="325" t="s">
        <v>3024</v>
      </c>
      <c r="D21" s="325"/>
      <c r="E21" s="325"/>
      <c r="F21" s="325"/>
      <c r="G21" s="325"/>
      <c r="H21" s="328" t="s">
        <v>3025</v>
      </c>
      <c r="I21" s="328" t="s">
        <v>3026</v>
      </c>
      <c r="J21" s="328" t="s">
        <v>3027</v>
      </c>
      <c r="K21" s="102" t="s">
        <v>163</v>
      </c>
      <c r="L21" s="67"/>
      <c r="M21" s="67" t="s">
        <v>134</v>
      </c>
      <c r="Q21" s="66"/>
    </row>
    <row r="22" customFormat="false" ht="14.25" hidden="false" customHeight="true" outlineLevel="0" collapsed="false">
      <c r="A22" s="322" t="n">
        <v>14</v>
      </c>
      <c r="B22" s="325"/>
      <c r="C22" s="325" t="s">
        <v>2330</v>
      </c>
      <c r="D22" s="325"/>
      <c r="E22" s="325"/>
      <c r="F22" s="325"/>
      <c r="G22" s="325"/>
      <c r="H22" s="327" t="s">
        <v>3028</v>
      </c>
      <c r="I22" s="330" t="s">
        <v>3029</v>
      </c>
      <c r="J22" s="327" t="s">
        <v>143</v>
      </c>
      <c r="K22" s="102" t="s">
        <v>163</v>
      </c>
      <c r="L22" s="67"/>
      <c r="M22" s="152" t="s">
        <v>118</v>
      </c>
      <c r="N22" s="60" t="s">
        <v>3030</v>
      </c>
      <c r="O22" s="319" t="s">
        <v>119</v>
      </c>
      <c r="P22" s="319" t="s">
        <v>119</v>
      </c>
      <c r="Q22" s="66"/>
    </row>
    <row r="23" customFormat="false" ht="14.25" hidden="false" customHeight="true" outlineLevel="0" collapsed="false">
      <c r="A23" s="322" t="n">
        <v>15</v>
      </c>
      <c r="B23" s="333"/>
      <c r="C23" s="333" t="s">
        <v>3031</v>
      </c>
      <c r="D23" s="333"/>
      <c r="E23" s="333"/>
      <c r="F23" s="333"/>
      <c r="G23" s="333"/>
      <c r="H23" s="328" t="s">
        <v>3032</v>
      </c>
      <c r="I23" s="328" t="s">
        <v>3033</v>
      </c>
      <c r="J23" s="328" t="s">
        <v>3034</v>
      </c>
      <c r="K23" s="334" t="s">
        <v>163</v>
      </c>
      <c r="L23" s="335"/>
      <c r="M23" s="335" t="s">
        <v>118</v>
      </c>
      <c r="N23" s="336" t="s">
        <v>3035</v>
      </c>
      <c r="O23" s="337" t="s">
        <v>119</v>
      </c>
      <c r="P23" s="337" t="s">
        <v>119</v>
      </c>
      <c r="Q23" s="66"/>
    </row>
    <row r="24" customFormat="false" ht="15" hidden="false" customHeight="false" outlineLevel="0" collapsed="false">
      <c r="A24" s="338"/>
      <c r="B24" s="338"/>
      <c r="C24" s="338"/>
      <c r="D24" s="338"/>
      <c r="E24" s="338"/>
      <c r="F24" s="338"/>
      <c r="G24" s="338"/>
      <c r="H24" s="338"/>
      <c r="I24" s="338"/>
      <c r="J24" s="338"/>
      <c r="K24" s="338"/>
      <c r="L24" s="338"/>
      <c r="M24" s="338"/>
      <c r="N24" s="338"/>
      <c r="O24" s="338"/>
      <c r="P24" s="338"/>
      <c r="Q24" s="66"/>
    </row>
  </sheetData>
  <conditionalFormatting sqref="E1">
    <cfRule type="dataBar" priority="2">
      <dataBar showValue="1" minLength="10" maxLength="90">
        <cfvo type="num" val="0"/>
        <cfvo type="num" val="1"/>
        <color rgb="FF63C384"/>
      </dataBar>
      <extLst>
        <ext xmlns:x14="http://schemas.microsoft.com/office/spreadsheetml/2009/9/main" uri="{B025F937-C7B1-47D3-B67F-A62EFF666E3E}">
          <x14:id>{27A82337-434E-4C9C-BC68-6A697CCECDD0}</x14:id>
        </ext>
      </extLst>
    </cfRule>
  </conditionalFormatting>
  <conditionalFormatting sqref="E3">
    <cfRule type="dataBar" priority="3">
      <dataBar showValue="1" minLength="10" maxLength="90">
        <cfvo type="num" val="0"/>
        <cfvo type="num" val="1"/>
        <color rgb="FF63C384"/>
      </dataBar>
      <extLst>
        <ext xmlns:x14="http://schemas.microsoft.com/office/spreadsheetml/2009/9/main" uri="{B025F937-C7B1-47D3-B67F-A62EFF666E3E}">
          <x14:id>{4128B78E-409D-4547-97E4-3099772AD9D8}</x14:id>
        </ext>
      </extLst>
    </cfRule>
  </conditionalFormatting>
  <conditionalFormatting sqref="F1">
    <cfRule type="dataBar" priority="4">
      <dataBar showValue="1" minLength="10" maxLength="90">
        <cfvo type="num" val="0"/>
        <cfvo type="num" val="1"/>
        <color rgb="FF63C384"/>
      </dataBar>
      <extLst>
        <ext xmlns:x14="http://schemas.microsoft.com/office/spreadsheetml/2009/9/main" uri="{B025F937-C7B1-47D3-B67F-A62EFF666E3E}">
          <x14:id>{9749F9C9-CB5E-471F-80CE-DC18A050BEC2}</x14:id>
        </ext>
      </extLst>
    </cfRule>
  </conditionalFormatting>
  <conditionalFormatting sqref="I10">
    <cfRule type="expression" priority="5" aboveAverage="0" equalAverage="0" bottom="0" percent="0" rank="0" text="" dxfId="4247">
      <formula>$L10="X"</formula>
    </cfRule>
  </conditionalFormatting>
  <conditionalFormatting sqref="K9">
    <cfRule type="cellIs" priority="6" operator="equal" aboveAverage="0" equalAverage="0" bottom="0" percent="0" rank="0" text="" dxfId="4248">
      <formula>"1..1"</formula>
    </cfRule>
    <cfRule type="cellIs" priority="7" operator="equal" aboveAverage="0" equalAverage="0" bottom="0" percent="0" rank="0" text="" dxfId="4249">
      <formula>"0..n"</formula>
    </cfRule>
    <cfRule type="cellIs" priority="8" operator="equal" aboveAverage="0" equalAverage="0" bottom="0" percent="0" rank="0" text="" dxfId="4250">
      <formula>"0..1"</formula>
    </cfRule>
  </conditionalFormatting>
  <conditionalFormatting sqref="K12">
    <cfRule type="cellIs" priority="9" operator="equal" aboveAverage="0" equalAverage="0" bottom="0" percent="0" rank="0" text="" dxfId="4251">
      <formula>"1..1"</formula>
    </cfRule>
    <cfRule type="cellIs" priority="10" operator="equal" aboveAverage="0" equalAverage="0" bottom="0" percent="0" rank="0" text="" dxfId="4252">
      <formula>"0..n"</formula>
    </cfRule>
    <cfRule type="cellIs" priority="11" operator="equal" aboveAverage="0" equalAverage="0" bottom="0" percent="0" rank="0" text="" dxfId="4253">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7A82337-434E-4C9C-BC68-6A697CCECDD0}">
            <x14:dataBar minLength="10" maxLength="90" axisPosition="automatic" gradient="true">
              <x14:cfvo type="num">
                <xm:f>0</xm:f>
              </x14:cfvo>
              <x14:cfvo type="num">
                <xm:f>1</xm:f>
              </x14:cfvo>
              <x14:negativeFillColor rgb="FFFF0000"/>
              <x14:axisColor rgb="FF000000"/>
            </x14:dataBar>
          </x14:cfRule>
          <xm:sqref>E1</xm:sqref>
        </x14:conditionalFormatting>
        <x14:conditionalFormatting xmlns:xm="http://schemas.microsoft.com/office/excel/2006/main">
          <x14:cfRule type="dataBar" id="{4128B78E-409D-4547-97E4-3099772AD9D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9749F9C9-CB5E-471F-80CE-DC18A050BEC2}">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L9" activePane="bottomRight" state="frozen"/>
      <selection pane="topLeft" activeCell="A1" activeCellId="0" sqref="A1"/>
      <selection pane="topRight" activeCell="L1" activeCellId="0" sqref="L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3"/>
    <col collapsed="false" customWidth="true" hidden="false" outlineLevel="0" max="2" min="2" style="0" width="21.87"/>
    <col collapsed="false" customWidth="true" hidden="false" outlineLevel="0" max="3" min="3" style="0" width="26.5"/>
    <col collapsed="false" customWidth="true" hidden="false" outlineLevel="0" max="4" min="4" style="0" width="11"/>
    <col collapsed="false" customWidth="true" hidden="false" outlineLevel="0" max="5" min="5" style="318" width="11"/>
    <col collapsed="false" customWidth="true" hidden="false" outlineLevel="0" max="7" min="6" style="0" width="11"/>
    <col collapsed="false" customWidth="true" hidden="false" outlineLevel="0" max="8" min="8" style="0" width="44.13"/>
    <col collapsed="false" customWidth="true" hidden="false" outlineLevel="0" max="9" min="9" style="0" width="25.38"/>
    <col collapsed="false" customWidth="true" hidden="false" outlineLevel="0" max="10" min="10" style="0" width="12.13"/>
    <col collapsed="false" customWidth="true" hidden="false" outlineLevel="0" max="11" min="11" style="0" width="10.13"/>
    <col collapsed="false" customWidth="true" hidden="false" outlineLevel="0" max="12" min="12" style="0" width="17.13"/>
    <col collapsed="false" customWidth="true" hidden="false" outlineLevel="0" max="13" min="13" style="0" width="19.13"/>
    <col collapsed="false" customWidth="true" hidden="false" outlineLevel="0" max="14" min="14" style="0" width="64.38"/>
    <col collapsed="false" customWidth="true" hidden="false" outlineLevel="0" max="17" min="17" style="0" width="3.62"/>
  </cols>
  <sheetData>
    <row r="1" customFormat="false" ht="14.25" hidden="false" customHeight="true" outlineLevel="0" collapsed="false">
      <c r="A1" s="71" t="s">
        <v>3036</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3037</v>
      </c>
      <c r="B3" s="75" t="s">
        <v>85</v>
      </c>
      <c r="C3" s="80" t="s">
        <v>3038</v>
      </c>
      <c r="D3" s="75" t="s">
        <v>2996</v>
      </c>
      <c r="E3" s="75"/>
      <c r="F3" s="75"/>
      <c r="G3" s="75" t="s">
        <v>90</v>
      </c>
      <c r="H3" s="75" t="s">
        <v>91</v>
      </c>
      <c r="I3" s="75" t="s">
        <v>90</v>
      </c>
      <c r="J3" s="81" t="s">
        <v>3039</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customFormat="false" ht="14.25" hidden="false" customHeight="false" outlineLevel="0" collapsed="false">
      <c r="A5" s="30"/>
      <c r="B5" s="30"/>
      <c r="C5" s="44"/>
      <c r="D5" s="45"/>
      <c r="E5" s="209"/>
      <c r="F5" s="45"/>
      <c r="G5" s="47"/>
      <c r="H5" s="47"/>
      <c r="I5" s="302"/>
      <c r="J5" s="48"/>
      <c r="K5" s="47"/>
      <c r="L5" s="47"/>
      <c r="M5" s="47"/>
      <c r="N5" s="47"/>
      <c r="O5" s="47"/>
      <c r="P5" s="4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18"/>
      <c r="E7" s="51"/>
      <c r="F7" s="51"/>
      <c r="G7" s="31"/>
      <c r="H7" s="31"/>
      <c r="I7" s="60"/>
      <c r="J7" s="32"/>
      <c r="K7" s="31"/>
      <c r="L7" s="31"/>
      <c r="M7" s="31"/>
      <c r="N7" s="31"/>
      <c r="O7" s="85" t="s">
        <v>93</v>
      </c>
      <c r="P7" s="85" t="s">
        <v>93</v>
      </c>
    </row>
    <row r="8" customFormat="false" ht="33" hidden="false" customHeight="true" outlineLevel="0" collapsed="false">
      <c r="A8" s="320" t="s">
        <v>94</v>
      </c>
      <c r="B8" s="121" t="s">
        <v>95</v>
      </c>
      <c r="C8" s="121" t="s">
        <v>96</v>
      </c>
      <c r="D8" s="121" t="s">
        <v>97</v>
      </c>
      <c r="E8" s="121" t="s">
        <v>98</v>
      </c>
      <c r="F8" s="121" t="s">
        <v>99</v>
      </c>
      <c r="G8" s="121" t="s">
        <v>100</v>
      </c>
      <c r="H8" s="321" t="s">
        <v>101</v>
      </c>
      <c r="I8" s="321" t="s">
        <v>102</v>
      </c>
      <c r="J8" s="321" t="s">
        <v>105</v>
      </c>
      <c r="K8" s="321" t="s">
        <v>106</v>
      </c>
      <c r="L8" s="321" t="s">
        <v>107</v>
      </c>
      <c r="M8" s="321" t="s">
        <v>176</v>
      </c>
      <c r="N8" s="321" t="s">
        <v>109</v>
      </c>
      <c r="O8" s="123" t="s">
        <v>110</v>
      </c>
      <c r="P8" s="123" t="s">
        <v>85</v>
      </c>
      <c r="Q8" s="182" t="s">
        <v>111</v>
      </c>
    </row>
    <row r="9" customFormat="false" ht="14.25" hidden="false" customHeight="true" outlineLevel="0" collapsed="false">
      <c r="A9" s="339" t="n">
        <v>1</v>
      </c>
      <c r="B9" s="340" t="s">
        <v>3040</v>
      </c>
      <c r="C9" s="341"/>
      <c r="D9" s="340"/>
      <c r="E9" s="333"/>
      <c r="F9" s="333"/>
      <c r="G9" s="333"/>
      <c r="H9" s="342" t="s">
        <v>3041</v>
      </c>
      <c r="I9" s="342" t="s">
        <v>2370</v>
      </c>
      <c r="J9" s="342" t="s">
        <v>2371</v>
      </c>
      <c r="K9" s="334" t="s">
        <v>148</v>
      </c>
      <c r="L9" s="335"/>
      <c r="M9" s="335" t="s">
        <v>118</v>
      </c>
      <c r="N9" s="343" t="s">
        <v>2372</v>
      </c>
      <c r="O9" s="343" t="s">
        <v>119</v>
      </c>
      <c r="P9" s="343" t="s">
        <v>119</v>
      </c>
      <c r="Q9" s="66"/>
    </row>
    <row r="10" customFormat="false" ht="15" hidden="false" customHeight="false" outlineLevel="0" collapsed="false">
      <c r="A10" s="344"/>
      <c r="B10" s="344"/>
      <c r="C10" s="344"/>
      <c r="D10" s="344"/>
      <c r="E10" s="344"/>
      <c r="F10" s="344"/>
      <c r="G10" s="344"/>
      <c r="H10" s="344"/>
      <c r="I10" s="344"/>
      <c r="J10" s="344"/>
      <c r="K10" s="344"/>
      <c r="L10" s="344"/>
      <c r="M10" s="344"/>
      <c r="N10" s="344"/>
      <c r="O10" s="344"/>
      <c r="P10" s="344"/>
      <c r="Q1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{B069DF4A-5D1E-4017-9665-60C051C3604E}</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{CB5A2527-E4BB-4420-B578-799F208C5A8E}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B069DF4A-5D1E-4017-9665-60C051C3604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CB5A2527-E4BB-4420-B578-799F208C5A8E}">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 defaultRowHeight="13.5" zeroHeight="false" outlineLevelRow="0" outlineLevelCol="0"/>
  <cols>
    <col collapsed="false" customWidth="true" hidden="false" outlineLevel="0" max="1" min="1" style="0" width="4.13"/>
    <col collapsed="false" customWidth="true" hidden="false" outlineLevel="0" max="2" min="2" style="0" width="18.5"/>
    <col collapsed="false" customWidth="true" hidden="false" outlineLevel="0" max="3" min="3" style="0" width="30.13"/>
    <col collapsed="false" customWidth="true" hidden="false" outlineLevel="0" max="4" min="4" style="0" width="15.62"/>
    <col collapsed="false" customWidth="true" hidden="false" outlineLevel="0" max="5" min="5" style="318" width="9.63"/>
    <col collapsed="false" customWidth="true" hidden="false" outlineLevel="0" max="7" min="6" style="0" width="9.63"/>
    <col collapsed="false" customWidth="true" hidden="false" outlineLevel="0" max="8" min="8" style="0" width="46.5"/>
    <col collapsed="false" customWidth="true" hidden="false" outlineLevel="0" max="9" min="9" style="0" width="17.62"/>
    <col collapsed="false" customWidth="true" hidden="false" outlineLevel="0" max="10" min="10" style="0" width="18.62"/>
    <col collapsed="false" customWidth="true" hidden="false" outlineLevel="0" max="11" min="11" style="0" width="11.87"/>
    <col collapsed="false" customWidth="true" hidden="false" outlineLevel="0" max="14" min="14" style="0" width="47.62"/>
    <col collapsed="false" customWidth="true" hidden="false" outlineLevel="0" max="17" min="17" style="0" width="4.88"/>
  </cols>
  <sheetData>
    <row r="1" customFormat="false" ht="14.25" hidden="false" customHeight="true" outlineLevel="0" collapsed="false">
      <c r="A1" s="71" t="s">
        <v>3042</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3043</v>
      </c>
      <c r="B3" s="75" t="s">
        <v>85</v>
      </c>
      <c r="C3" s="80" t="s">
        <v>3044</v>
      </c>
      <c r="D3" s="75" t="s">
        <v>2996</v>
      </c>
      <c r="E3" s="75"/>
      <c r="F3" s="75"/>
      <c r="G3" s="75" t="s">
        <v>90</v>
      </c>
      <c r="H3" s="75" t="s">
        <v>91</v>
      </c>
      <c r="I3" s="75" t="s">
        <v>90</v>
      </c>
      <c r="J3" s="81" t="s">
        <v>3045</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18"/>
      <c r="E7" s="51"/>
      <c r="F7" s="51"/>
      <c r="G7" s="31"/>
      <c r="H7" s="31"/>
      <c r="I7" s="60"/>
      <c r="J7" s="32"/>
      <c r="K7" s="31"/>
      <c r="L7" s="31"/>
      <c r="M7" s="31"/>
      <c r="N7" s="31"/>
      <c r="O7" s="85" t="s">
        <v>93</v>
      </c>
      <c r="P7" s="85" t="s">
        <v>93</v>
      </c>
    </row>
    <row r="8" customFormat="false" ht="33" hidden="false" customHeight="true" outlineLevel="0" collapsed="false">
      <c r="A8" s="320" t="s">
        <v>94</v>
      </c>
      <c r="B8" s="121" t="s">
        <v>95</v>
      </c>
      <c r="C8" s="121" t="s">
        <v>96</v>
      </c>
      <c r="D8" s="121" t="s">
        <v>97</v>
      </c>
      <c r="E8" s="121" t="s">
        <v>98</v>
      </c>
      <c r="F8" s="121" t="s">
        <v>99</v>
      </c>
      <c r="G8" s="121" t="s">
        <v>100</v>
      </c>
      <c r="H8" s="321" t="s">
        <v>101</v>
      </c>
      <c r="I8" s="321" t="s">
        <v>102</v>
      </c>
      <c r="J8" s="321" t="s">
        <v>105</v>
      </c>
      <c r="K8" s="321" t="s">
        <v>106</v>
      </c>
      <c r="L8" s="321" t="s">
        <v>107</v>
      </c>
      <c r="M8" s="321" t="s">
        <v>176</v>
      </c>
      <c r="N8" s="321" t="s">
        <v>109</v>
      </c>
      <c r="O8" s="123" t="s">
        <v>110</v>
      </c>
      <c r="P8" s="123" t="s">
        <v>85</v>
      </c>
      <c r="Q8" s="182" t="s">
        <v>111</v>
      </c>
    </row>
    <row r="9" customFormat="false" ht="15.75" hidden="false" customHeight="true" outlineLevel="0" collapsed="false">
      <c r="A9" s="106" t="n">
        <v>1</v>
      </c>
      <c r="B9" s="345" t="s">
        <v>2263</v>
      </c>
      <c r="C9" s="345"/>
      <c r="D9" s="345"/>
      <c r="E9" s="325"/>
      <c r="F9" s="325"/>
      <c r="G9" s="325"/>
      <c r="H9" s="98" t="s">
        <v>3046</v>
      </c>
      <c r="I9" s="99"/>
      <c r="J9" s="98" t="s">
        <v>2267</v>
      </c>
      <c r="K9" s="99" t="s">
        <v>1247</v>
      </c>
      <c r="L9" s="67" t="s">
        <v>119</v>
      </c>
      <c r="M9" s="67" t="s">
        <v>2267</v>
      </c>
      <c r="N9" s="67"/>
      <c r="O9" s="0" t="s">
        <v>119</v>
      </c>
      <c r="P9" s="0" t="s">
        <v>119</v>
      </c>
      <c r="Q9" s="66"/>
    </row>
    <row r="10" customFormat="false" ht="13.5" hidden="false" customHeight="true" outlineLevel="0" collapsed="false">
      <c r="A10" s="106" t="n">
        <v>2</v>
      </c>
      <c r="B10" s="346"/>
      <c r="C10" s="346" t="s">
        <v>3000</v>
      </c>
      <c r="D10" s="346"/>
      <c r="E10" s="326"/>
      <c r="F10" s="326"/>
      <c r="G10" s="325"/>
      <c r="H10" s="136" t="s">
        <v>2369</v>
      </c>
      <c r="I10" s="152" t="s">
        <v>2370</v>
      </c>
      <c r="J10" s="152" t="s">
        <v>2371</v>
      </c>
      <c r="K10" s="224" t="s">
        <v>117</v>
      </c>
      <c r="L10" s="67"/>
      <c r="M10" s="67" t="s">
        <v>118</v>
      </c>
      <c r="N10" s="62" t="s">
        <v>2372</v>
      </c>
      <c r="O10" s="0" t="s">
        <v>119</v>
      </c>
      <c r="P10" s="0" t="s">
        <v>119</v>
      </c>
      <c r="Q10" s="66"/>
    </row>
    <row r="11" customFormat="false" ht="13.5" hidden="false" customHeight="true" outlineLevel="0" collapsed="false">
      <c r="A11" s="106" t="n">
        <v>3</v>
      </c>
      <c r="B11" s="345"/>
      <c r="C11" s="345" t="s">
        <v>2215</v>
      </c>
      <c r="D11" s="345"/>
      <c r="E11" s="325"/>
      <c r="F11" s="325"/>
      <c r="G11" s="325"/>
      <c r="H11" s="98" t="s">
        <v>3047</v>
      </c>
      <c r="I11" s="98" t="s">
        <v>3048</v>
      </c>
      <c r="J11" s="98" t="s">
        <v>2384</v>
      </c>
      <c r="K11" s="224" t="s">
        <v>117</v>
      </c>
      <c r="L11" s="67"/>
      <c r="M11" s="67" t="s">
        <v>118</v>
      </c>
      <c r="N11" s="67"/>
      <c r="O11" s="0" t="s">
        <v>119</v>
      </c>
      <c r="P11" s="0" t="s">
        <v>119</v>
      </c>
      <c r="Q11" s="66"/>
    </row>
    <row r="12" customFormat="false" ht="13.5" hidden="false" customHeight="true" outlineLevel="0" collapsed="false">
      <c r="A12" s="106" t="n">
        <v>4</v>
      </c>
      <c r="B12" s="345"/>
      <c r="C12" s="345" t="s">
        <v>2294</v>
      </c>
      <c r="D12" s="345"/>
      <c r="E12" s="325"/>
      <c r="F12" s="325"/>
      <c r="G12" s="325"/>
      <c r="H12" s="152" t="s">
        <v>3049</v>
      </c>
      <c r="I12" s="152" t="s">
        <v>3050</v>
      </c>
      <c r="J12" s="152" t="s">
        <v>126</v>
      </c>
      <c r="K12" s="102" t="s">
        <v>163</v>
      </c>
      <c r="L12" s="67"/>
      <c r="M12" s="67" t="s">
        <v>118</v>
      </c>
      <c r="N12" s="67"/>
      <c r="O12" s="0" t="s">
        <v>119</v>
      </c>
      <c r="P12" s="0" t="s">
        <v>119</v>
      </c>
      <c r="Q12" s="66"/>
    </row>
    <row r="13" customFormat="false" ht="13.5" hidden="false" customHeight="true" outlineLevel="0" collapsed="false">
      <c r="A13" s="106" t="n">
        <v>5</v>
      </c>
      <c r="B13" s="345"/>
      <c r="C13" s="345" t="s">
        <v>1799</v>
      </c>
      <c r="D13" s="345"/>
      <c r="E13" s="325"/>
      <c r="F13" s="325"/>
      <c r="G13" s="325"/>
      <c r="H13" s="98" t="s">
        <v>3051</v>
      </c>
      <c r="I13" s="98" t="s">
        <v>2393</v>
      </c>
      <c r="J13" s="98" t="s">
        <v>1802</v>
      </c>
      <c r="K13" s="224" t="s">
        <v>117</v>
      </c>
      <c r="L13" s="67"/>
      <c r="M13" s="67" t="s">
        <v>118</v>
      </c>
      <c r="N13" s="67" t="s">
        <v>3052</v>
      </c>
      <c r="O13" s="0" t="s">
        <v>119</v>
      </c>
      <c r="P13" s="0" t="s">
        <v>119</v>
      </c>
      <c r="Q13" s="66"/>
    </row>
    <row r="14" customFormat="false" ht="13.5" hidden="false" customHeight="true" outlineLevel="0" collapsed="false">
      <c r="A14" s="106" t="n">
        <v>6</v>
      </c>
      <c r="B14" s="345"/>
      <c r="C14" s="345" t="s">
        <v>3053</v>
      </c>
      <c r="D14" s="345"/>
      <c r="E14" s="325"/>
      <c r="F14" s="325"/>
      <c r="G14" s="325"/>
      <c r="H14" s="152" t="s">
        <v>3054</v>
      </c>
      <c r="I14" s="152" t="s">
        <v>3055</v>
      </c>
      <c r="J14" s="152" t="s">
        <v>3056</v>
      </c>
      <c r="K14" s="102" t="s">
        <v>163</v>
      </c>
      <c r="L14" s="67"/>
      <c r="M14" s="67" t="s">
        <v>118</v>
      </c>
      <c r="N14" s="67" t="s">
        <v>3057</v>
      </c>
      <c r="O14" s="0" t="s">
        <v>119</v>
      </c>
      <c r="P14" s="0" t="s">
        <v>119</v>
      </c>
      <c r="Q14" s="66"/>
    </row>
    <row r="15" customFormat="false" ht="13.5" hidden="false" customHeight="true" outlineLevel="0" collapsed="false">
      <c r="A15" s="106" t="n">
        <v>7</v>
      </c>
      <c r="B15" s="345"/>
      <c r="C15" s="345" t="s">
        <v>3058</v>
      </c>
      <c r="D15" s="345"/>
      <c r="E15" s="325"/>
      <c r="F15" s="325"/>
      <c r="G15" s="325"/>
      <c r="H15" s="98" t="s">
        <v>3059</v>
      </c>
      <c r="I15" s="98" t="s">
        <v>3060</v>
      </c>
      <c r="J15" s="98" t="s">
        <v>3061</v>
      </c>
      <c r="K15" s="102" t="s">
        <v>163</v>
      </c>
      <c r="L15" s="67"/>
      <c r="M15" s="67" t="s">
        <v>118</v>
      </c>
      <c r="N15" s="67" t="s">
        <v>3062</v>
      </c>
      <c r="O15" s="0" t="s">
        <v>119</v>
      </c>
      <c r="P15" s="0" t="s">
        <v>119</v>
      </c>
      <c r="Q15" s="66"/>
    </row>
    <row r="16" customFormat="false" ht="13.5" hidden="false" customHeight="true" outlineLevel="0" collapsed="false">
      <c r="A16" s="106" t="n">
        <v>8</v>
      </c>
      <c r="B16" s="345"/>
      <c r="C16" s="345" t="s">
        <v>2279</v>
      </c>
      <c r="D16" s="345"/>
      <c r="E16" s="325"/>
      <c r="F16" s="325"/>
      <c r="G16" s="325"/>
      <c r="H16" s="152" t="s">
        <v>3063</v>
      </c>
      <c r="I16" s="152" t="s">
        <v>3064</v>
      </c>
      <c r="J16" s="152" t="s">
        <v>3065</v>
      </c>
      <c r="K16" s="102" t="s">
        <v>163</v>
      </c>
      <c r="L16" s="67"/>
      <c r="M16" s="67" t="s">
        <v>118</v>
      </c>
      <c r="N16" s="67" t="s">
        <v>3066</v>
      </c>
      <c r="O16" s="0" t="s">
        <v>119</v>
      </c>
      <c r="P16" s="0" t="s">
        <v>119</v>
      </c>
      <c r="Q16" s="66"/>
    </row>
    <row r="17" customFormat="false" ht="13.5" hidden="false" customHeight="true" outlineLevel="0" collapsed="false">
      <c r="A17" s="106" t="n">
        <v>9</v>
      </c>
      <c r="B17" s="345"/>
      <c r="C17" s="345" t="s">
        <v>2339</v>
      </c>
      <c r="D17" s="345"/>
      <c r="E17" s="325"/>
      <c r="F17" s="325"/>
      <c r="G17" s="325"/>
      <c r="H17" s="327" t="s">
        <v>2340</v>
      </c>
      <c r="I17" s="99"/>
      <c r="J17" s="98" t="s">
        <v>3067</v>
      </c>
      <c r="K17" s="99" t="s">
        <v>1247</v>
      </c>
      <c r="L17" s="67" t="s">
        <v>119</v>
      </c>
      <c r="M17" s="67" t="s">
        <v>1526</v>
      </c>
      <c r="N17" s="67"/>
      <c r="O17" s="0" t="s">
        <v>119</v>
      </c>
      <c r="P17" s="0" t="s">
        <v>119</v>
      </c>
      <c r="Q17" s="66"/>
    </row>
    <row r="18" customFormat="false" ht="13.5" hidden="false" customHeight="true" outlineLevel="0" collapsed="false">
      <c r="A18" s="347" t="n">
        <v>10</v>
      </c>
      <c r="B18" s="348"/>
      <c r="C18" s="348"/>
      <c r="D18" s="348" t="s">
        <v>1532</v>
      </c>
      <c r="E18" s="349"/>
      <c r="F18" s="349"/>
      <c r="G18" s="349"/>
      <c r="H18" s="350" t="s">
        <v>3068</v>
      </c>
      <c r="I18" s="350" t="s">
        <v>2345</v>
      </c>
      <c r="J18" s="350" t="s">
        <v>1281</v>
      </c>
      <c r="K18" s="351" t="s">
        <v>163</v>
      </c>
      <c r="L18" s="67"/>
      <c r="M18" s="61" t="s">
        <v>118</v>
      </c>
      <c r="N18" s="67" t="s">
        <v>3069</v>
      </c>
      <c r="O18" s="0" t="s">
        <v>119</v>
      </c>
      <c r="P18" s="0" t="s">
        <v>119</v>
      </c>
      <c r="Q18" s="66"/>
    </row>
    <row r="19" customFormat="false" ht="13.5" hidden="false" customHeight="true" outlineLevel="0" collapsed="false">
      <c r="A19" s="339" t="n">
        <v>11</v>
      </c>
      <c r="B19" s="340"/>
      <c r="C19" s="340"/>
      <c r="D19" s="340" t="s">
        <v>2347</v>
      </c>
      <c r="E19" s="333"/>
      <c r="F19" s="333"/>
      <c r="G19" s="333"/>
      <c r="H19" s="352" t="s">
        <v>3070</v>
      </c>
      <c r="I19" s="352" t="s">
        <v>3071</v>
      </c>
      <c r="J19" s="352" t="s">
        <v>1272</v>
      </c>
      <c r="K19" s="334" t="s">
        <v>163</v>
      </c>
      <c r="L19" s="335"/>
      <c r="M19" s="353" t="s">
        <v>118</v>
      </c>
      <c r="N19" s="335"/>
      <c r="O19" s="343" t="s">
        <v>119</v>
      </c>
      <c r="P19" s="343" t="s">
        <v>119</v>
      </c>
      <c r="Q19" s="66"/>
    </row>
    <row r="20" customFormat="false" ht="15" hidden="false" customHeight="false" outlineLevel="0" collapsed="false">
      <c r="A20" s="344"/>
      <c r="B20" s="344"/>
      <c r="C20" s="344"/>
      <c r="D20" s="344"/>
      <c r="E20" s="344"/>
      <c r="F20" s="344"/>
      <c r="G20" s="344"/>
      <c r="H20" s="344"/>
      <c r="I20" s="344"/>
      <c r="J20" s="344"/>
      <c r="K20" s="344"/>
      <c r="L20" s="344"/>
      <c r="M20" s="344"/>
      <c r="N20" s="344"/>
      <c r="O20" s="344"/>
      <c r="P20" s="344"/>
      <c r="Q2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{48C04F80-18ED-4F00-9DD0-162027868F94}</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{346C9EA2-4BDB-4B40-8D85-83F9495FEB3D}</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48C04F80-18ED-4F00-9DD0-162027868F94}">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346C9EA2-4BDB-4B40-8D85-83F9495FEB3D}">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N1" activeCellId="0" sqref="N1"/>
    </sheetView>
  </sheetViews>
  <sheetFormatPr defaultColWidth="9.515625" defaultRowHeight="12" zeroHeight="false" outlineLevelRow="0" outlineLevelCol="0"/>
  <cols>
    <col collapsed="false" customWidth="true" hidden="false" outlineLevel="0" max="1" min="1" style="30" width="4.5"/>
    <col collapsed="false" customWidth="true" hidden="false" outlineLevel="0" max="2" min="2" style="30" width="25"/>
    <col collapsed="false" customWidth="true" hidden="false" outlineLevel="0" max="6" min="3" style="30" width="7.64"/>
    <col collapsed="false" customWidth="true" hidden="false" outlineLevel="0" max="7" min="7" style="31" width="7.64"/>
    <col collapsed="false" customWidth="true" hidden="false" outlineLevel="0" max="8" min="8" style="31" width="61"/>
    <col collapsed="false" customWidth="true" hidden="false" outlineLevel="0" max="9" min="9" style="60" width="22.37"/>
    <col collapsed="false" customWidth="true" hidden="false" outlineLevel="0" max="10" min="10" style="32" width="16.13"/>
    <col collapsed="false" customWidth="true" hidden="false" outlineLevel="0" max="11" min="11" style="31" width="10.51"/>
    <col collapsed="false" customWidth="true" hidden="false" outlineLevel="0" max="12" min="12" style="31" width="5.88"/>
    <col collapsed="false" customWidth="true" hidden="false" outlineLevel="0" max="13" min="13" style="31" width="18.5"/>
    <col collapsed="false" customWidth="true" hidden="false" outlineLevel="0" max="14" min="14" style="31" width="16"/>
    <col collapsed="false" customWidth="true" hidden="false" outlineLevel="0" max="15" min="15" style="31" width="8.38"/>
    <col collapsed="false" customWidth="true" hidden="false" outlineLevel="0" max="16" min="16" style="31" width="10.63"/>
    <col collapsed="false" customWidth="true" hidden="false" outlineLevel="0" max="17" min="17" style="0" width="4"/>
    <col collapsed="false" customWidth="true" hidden="false" outlineLevel="0" max="18" min="18" style="30" width="8.88"/>
    <col collapsed="false" customWidth="false" hidden="false" outlineLevel="0" max="1000" min="20" style="30" width="9.51"/>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1555</v>
      </c>
      <c r="C1" s="35"/>
      <c r="E1" s="36"/>
      <c r="F1" s="37"/>
      <c r="G1" s="30"/>
      <c r="I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J2" s="32" t="s">
        <v>83</v>
      </c>
    </row>
    <row r="3" customFormat="false" ht="13.5" hidden="false" customHeight="true" outlineLevel="0" collapsed="false">
      <c r="A3" s="39"/>
      <c r="B3" s="39"/>
      <c r="C3" s="40"/>
      <c r="D3" s="39"/>
      <c r="E3" s="39"/>
      <c r="F3" s="39"/>
      <c r="G3" s="39"/>
      <c r="H3" s="39"/>
      <c r="I3" s="39"/>
    </row>
    <row r="4" customFormat="false" ht="13.5" hidden="false" customHeight="true" outlineLevel="0" collapsed="false">
      <c r="C4" s="42"/>
      <c r="E4" s="35"/>
      <c r="G4" s="43"/>
    </row>
    <row r="5" s="46" customFormat="true" ht="13.5" hidden="false" customHeight="true" outlineLevel="0" collapsed="false">
      <c r="A5" s="30"/>
      <c r="B5" s="30"/>
      <c r="C5" s="44"/>
      <c r="D5" s="45"/>
      <c r="E5" s="209"/>
      <c r="F5" s="45"/>
      <c r="G5" s="47"/>
      <c r="H5" s="47"/>
      <c r="I5" s="302"/>
      <c r="J5" s="48"/>
      <c r="K5" s="47"/>
      <c r="L5" s="47"/>
      <c r="M5" s="47"/>
      <c r="N5" s="47"/>
      <c r="O5" s="47"/>
      <c r="P5" s="47"/>
    </row>
    <row r="6" customFormat="false" ht="13.5" hidden="false" customHeight="true" outlineLevel="0" collapsed="false">
      <c r="C6" s="50"/>
      <c r="D6" s="51"/>
      <c r="F6" s="51"/>
    </row>
    <row r="7" customFormat="false" ht="13.5" hidden="false" customHeight="true" outlineLevel="0" collapsed="false">
      <c r="C7" s="51"/>
      <c r="D7" s="51"/>
      <c r="E7" s="51"/>
      <c r="F7" s="51"/>
      <c r="O7" s="52" t="s">
        <v>93</v>
      </c>
      <c r="P7" s="52" t="s">
        <v>93</v>
      </c>
    </row>
    <row r="8" s="125" customFormat="true" ht="27.75" hidden="false" customHeight="true" outlineLevel="0" collapsed="false">
      <c r="A8" s="119" t="s">
        <v>94</v>
      </c>
      <c r="B8" s="121"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110</v>
      </c>
      <c r="P8" s="123" t="s">
        <v>85</v>
      </c>
      <c r="Q8" s="354" t="s">
        <v>111</v>
      </c>
    </row>
    <row r="9" s="67" customFormat="true" ht="13.5" hidden="false" customHeight="true" outlineLevel="0" collapsed="false">
      <c r="A9" s="60" t="n">
        <v>1</v>
      </c>
      <c r="B9" s="69" t="s">
        <v>1204</v>
      </c>
      <c r="C9" s="128"/>
      <c r="D9" s="129"/>
      <c r="E9" s="129"/>
      <c r="F9" s="129"/>
      <c r="G9" s="129"/>
      <c r="H9" s="62" t="s">
        <v>3072</v>
      </c>
      <c r="I9" s="63" t="s">
        <v>3073</v>
      </c>
      <c r="J9" s="63" t="s">
        <v>1206</v>
      </c>
      <c r="K9" s="62" t="s">
        <v>117</v>
      </c>
      <c r="L9" s="62"/>
      <c r="M9" s="62" t="s">
        <v>118</v>
      </c>
      <c r="N9" s="62"/>
      <c r="O9" s="65" t="s">
        <v>119</v>
      </c>
      <c r="P9" s="65" t="s">
        <v>119</v>
      </c>
      <c r="Q9" s="66"/>
    </row>
    <row r="10" s="67" customFormat="true" ht="13.5" hidden="false" customHeight="true" outlineLevel="0" collapsed="false">
      <c r="A10" s="60" t="n">
        <v>2</v>
      </c>
      <c r="B10" s="69" t="s">
        <v>3074</v>
      </c>
      <c r="C10" s="133"/>
      <c r="D10" s="133"/>
      <c r="E10" s="133"/>
      <c r="F10" s="133"/>
      <c r="G10" s="133"/>
      <c r="H10" s="62" t="s">
        <v>3075</v>
      </c>
      <c r="I10" s="63" t="s">
        <v>3076</v>
      </c>
      <c r="J10" s="63" t="s">
        <v>1211</v>
      </c>
      <c r="K10" s="62" t="s">
        <v>163</v>
      </c>
      <c r="L10" s="62"/>
      <c r="M10" s="62" t="s">
        <v>118</v>
      </c>
      <c r="N10" s="62"/>
      <c r="O10" s="65" t="s">
        <v>119</v>
      </c>
      <c r="P10" s="65" t="s">
        <v>119</v>
      </c>
      <c r="Q10" s="66"/>
    </row>
    <row r="11" s="67" customFormat="true" ht="13.5" hidden="false" customHeight="true" outlineLevel="0" collapsed="false">
      <c r="A11" s="60" t="n">
        <v>3</v>
      </c>
      <c r="B11" s="69" t="s">
        <v>3077</v>
      </c>
      <c r="C11" s="128"/>
      <c r="D11" s="129"/>
      <c r="E11" s="129"/>
      <c r="F11" s="129"/>
      <c r="G11" s="129"/>
      <c r="H11" s="62" t="s">
        <v>3078</v>
      </c>
      <c r="I11" s="63" t="s">
        <v>1214</v>
      </c>
      <c r="J11" s="63" t="s">
        <v>1215</v>
      </c>
      <c r="K11" s="62" t="s">
        <v>117</v>
      </c>
      <c r="L11" s="62"/>
      <c r="M11" s="62" t="s">
        <v>134</v>
      </c>
      <c r="N11" s="62" t="s">
        <v>1929</v>
      </c>
      <c r="O11" s="65" t="s">
        <v>119</v>
      </c>
      <c r="P11" s="65" t="s">
        <v>119</v>
      </c>
      <c r="Q11" s="66"/>
    </row>
    <row r="12" s="67" customFormat="true" ht="13.5" hidden="false" customHeight="true" outlineLevel="0" collapsed="false">
      <c r="A12" s="60" t="n">
        <v>4</v>
      </c>
      <c r="B12" s="69" t="s">
        <v>3079</v>
      </c>
      <c r="C12" s="128"/>
      <c r="D12" s="129"/>
      <c r="E12" s="129"/>
      <c r="F12" s="129"/>
      <c r="G12" s="129"/>
      <c r="H12" s="62" t="s">
        <v>3080</v>
      </c>
      <c r="I12" s="63" t="s">
        <v>1219</v>
      </c>
      <c r="J12" s="63" t="s">
        <v>3081</v>
      </c>
      <c r="K12" s="62" t="s">
        <v>117</v>
      </c>
      <c r="L12" s="62"/>
      <c r="M12" s="62" t="s">
        <v>118</v>
      </c>
      <c r="N12" s="62"/>
      <c r="O12" s="65" t="s">
        <v>119</v>
      </c>
      <c r="P12" s="65" t="s">
        <v>119</v>
      </c>
      <c r="Q12" s="66"/>
    </row>
    <row r="13" s="67" customFormat="true" ht="13.5" hidden="false" customHeight="true" outlineLevel="0" collapsed="false">
      <c r="A13" s="60" t="n">
        <v>5</v>
      </c>
      <c r="B13" s="69" t="s">
        <v>3082</v>
      </c>
      <c r="C13" s="128"/>
      <c r="D13" s="129"/>
      <c r="E13" s="129"/>
      <c r="F13" s="129"/>
      <c r="G13" s="129"/>
      <c r="H13" s="62" t="s">
        <v>3083</v>
      </c>
      <c r="I13" s="63"/>
      <c r="J13" s="63" t="s">
        <v>1313</v>
      </c>
      <c r="K13" s="62" t="s">
        <v>117</v>
      </c>
      <c r="L13" s="62"/>
      <c r="M13" s="62" t="s">
        <v>118</v>
      </c>
      <c r="N13" s="62"/>
      <c r="O13" s="65" t="s">
        <v>119</v>
      </c>
      <c r="P13" s="65" t="s">
        <v>119</v>
      </c>
      <c r="Q13" s="66"/>
    </row>
    <row r="14" s="67" customFormat="true" ht="13.5" hidden="false" customHeight="true" outlineLevel="0" collapsed="false">
      <c r="A14" s="60" t="n">
        <v>6</v>
      </c>
      <c r="B14" s="69" t="s">
        <v>3084</v>
      </c>
      <c r="C14" s="129"/>
      <c r="D14" s="129"/>
      <c r="E14" s="129"/>
      <c r="F14" s="129"/>
      <c r="G14" s="129"/>
      <c r="H14" s="62" t="s">
        <v>3085</v>
      </c>
      <c r="I14" s="63"/>
      <c r="J14" s="63" t="s">
        <v>1934</v>
      </c>
      <c r="K14" s="62" t="s">
        <v>163</v>
      </c>
      <c r="L14" s="62"/>
      <c r="M14" s="62" t="s">
        <v>130</v>
      </c>
      <c r="N14" s="62"/>
      <c r="O14" s="65" t="s">
        <v>119</v>
      </c>
      <c r="P14" s="65" t="s">
        <v>119</v>
      </c>
      <c r="Q14" s="66"/>
    </row>
    <row r="15" s="67" customFormat="true" ht="12" hidden="false" customHeight="true" outlineLevel="0" collapsed="false">
      <c r="A15" s="60"/>
      <c r="B15" s="60"/>
      <c r="C15" s="60"/>
      <c r="D15" s="60"/>
      <c r="E15" s="60"/>
      <c r="F15" s="60"/>
      <c r="G15" s="60"/>
      <c r="H15" s="60"/>
      <c r="I15" s="60"/>
      <c r="J15" s="69"/>
      <c r="K15" s="60"/>
      <c r="L15" s="60"/>
      <c r="M15" s="60"/>
      <c r="N15" s="60"/>
      <c r="O15" s="60"/>
      <c r="P15" s="60"/>
    </row>
  </sheetData>
  <conditionalFormatting sqref="A16:F17 A37:F877">
    <cfRule type="expression" priority="2" aboveAverage="0" equalAverage="0" bottom="0" percent="0" rank="0" text="" dxfId="4254">
      <formula>OR(#ref!="X",#ref!="X")</formula>
    </cfRule>
    <cfRule type="expression" priority="3" aboveAverage="0" equalAverage="0" bottom="0" percent="0" rank="0" text="" dxfId="4255">
      <formula>AND(#ref!=1,#ref!=1)</formula>
    </cfRule>
    <cfRule type="expression" priority="4" aboveAverage="0" equalAverage="0" bottom="0" percent="0" rank="0" text="" dxfId="4256">
      <formula>#ref!=1</formula>
    </cfRule>
    <cfRule type="expression" priority="5" aboveAverage="0" equalAverage="0" bottom="0" percent="0" rank="0" text="" dxfId="4257">
      <formula>#ref!=1</formula>
    </cfRule>
  </conditionalFormatting>
  <conditionalFormatting sqref="A9:G14">
    <cfRule type="expression" priority="6" aboveAverage="0" equalAverage="0" bottom="0" percent="0" rank="0" text="" dxfId="4258">
      <formula>OR(#ref!="X",#ref!="X")</formula>
    </cfRule>
    <cfRule type="expression" priority="7" aboveAverage="0" equalAverage="0" bottom="0" percent="0" rank="0" text="" dxfId="4259">
      <formula>AND(#ref!=1,#ref!=1)</formula>
    </cfRule>
    <cfRule type="expression" priority="8" aboveAverage="0" equalAverage="0" bottom="0" percent="0" rank="0" text="" dxfId="4260">
      <formula>#ref!=1</formula>
    </cfRule>
    <cfRule type="expression" priority="9" aboveAverage="0" equalAverage="0" bottom="0" percent="0" rank="0" text="" dxfId="4261">
      <formula>#ref!=1</formula>
    </cfRule>
    <cfRule type="expression" priority="10" aboveAverage="0" equalAverage="0" bottom="0" percent="0" rank="0" text="" dxfId="4262">
      <formula>AND(NOT(ISBLANK($P9)),ISBLANK(#ref!),ISBLANK(#ref!))</formula>
    </cfRule>
  </conditionalFormatting>
  <conditionalFormatting sqref="C9:C14">
    <cfRule type="expression" priority="11" aboveAverage="0" equalAverage="0" bottom="0" percent="0" rank="0" text="" dxfId="4263">
      <formula>AND($L9="X",$B9&lt;&gt;"")</formula>
    </cfRule>
  </conditionalFormatting>
  <conditionalFormatting sqref="D9:D14">
    <cfRule type="expression" priority="12" aboveAverage="0" equalAverage="0" bottom="0" percent="0" rank="0" text="" dxfId="4264">
      <formula>AND($L9="X",OR($B9&lt;&gt;"",$C9&lt;&gt;""))</formula>
    </cfRule>
  </conditionalFormatting>
  <conditionalFormatting sqref="E3">
    <cfRule type="dataBar" priority="13">
      <dataBar showValue="1" minLength="10" maxLength="90">
        <cfvo type="num" val="0"/>
        <cfvo type="num" val="1"/>
        <color rgb="FF63C384"/>
      </dataBar>
      <extLst>
        <ext xmlns:x14="http://schemas.microsoft.com/office/spreadsheetml/2009/9/main" uri="{B025F937-C7B1-47D3-B67F-A62EFF666E3E}">
          <x14:id>{50E0B26D-F169-43D9-BDD0-1AE0E990668B}</x14:id>
        </ext>
      </extLst>
    </cfRule>
  </conditionalFormatting>
  <conditionalFormatting sqref="E9:E14">
    <cfRule type="expression" priority="14" aboveAverage="0" equalAverage="0" bottom="0" percent="0" rank="0" text="" dxfId="4265">
      <formula>AND($L9="X",OR($B9&lt;&gt;"",$C9&lt;&gt;"",$D9&lt;&gt;""))</formula>
    </cfRule>
  </conditionalFormatting>
  <conditionalFormatting sqref="F1">
    <cfRule type="dataBar" priority="15">
      <dataBar showValue="1" minLength="10" maxLength="90">
        <cfvo type="num" val="0"/>
        <cfvo type="num" val="1"/>
        <color rgb="FF63C384"/>
      </dataBar>
      <extLst>
        <ext xmlns:x14="http://schemas.microsoft.com/office/spreadsheetml/2009/9/main" uri="{B025F937-C7B1-47D3-B67F-A62EFF666E3E}">
          <x14:id>{40E2E12F-1FF2-4674-9155-C4859AF9A0CF}</x14:id>
        </ext>
      </extLst>
    </cfRule>
  </conditionalFormatting>
  <conditionalFormatting sqref="F9:F14">
    <cfRule type="expression" priority="16" aboveAverage="0" equalAverage="0" bottom="0" percent="0" rank="0" text="" dxfId="4266">
      <formula>AND($L9="X",OR($B9&lt;&gt;"",$C9&lt;&gt;"",$D9&lt;&gt;"",$E9&lt;&gt;""))</formula>
    </cfRule>
  </conditionalFormatting>
  <conditionalFormatting sqref="G9:G14">
    <cfRule type="expression" priority="17" aboveAverage="0" equalAverage="0" bottom="0" percent="0" rank="0" text="" dxfId="4267">
      <formula>AND($L9="X",OR($B9&lt;&gt;"",$C9&lt;&gt;"",$D9&lt;&gt;"",$E9&lt;&gt;"",$F9&lt;&gt;""))</formula>
    </cfRule>
  </conditionalFormatting>
  <conditionalFormatting sqref="H16:H17 H37:H877">
    <cfRule type="expression" priority="18" aboveAverage="0" equalAverage="0" bottom="0" percent="0" rank="0" text="" dxfId="4268">
      <formula>$K16="X"</formula>
    </cfRule>
  </conditionalFormatting>
  <conditionalFormatting sqref="I9:I14">
    <cfRule type="expression" priority="19" aboveAverage="0" equalAverage="0" bottom="0" percent="0" rank="0" text="" dxfId="4269">
      <formula>$L9="X"</formula>
    </cfRule>
  </conditionalFormatting>
  <conditionalFormatting sqref="K9:K14">
    <cfRule type="cellIs" priority="20" operator="equal" aboveAverage="0" equalAverage="0" bottom="0" percent="0" rank="0" text="" dxfId="4270">
      <formula>"1..1"</formula>
    </cfRule>
    <cfRule type="cellIs" priority="21" operator="equal" aboveAverage="0" equalAverage="0" bottom="0" percent="0" rank="0" text="" dxfId="4271">
      <formula>"0..n"</formula>
    </cfRule>
    <cfRule type="cellIs" priority="22" operator="equal" aboveAverage="0" equalAverage="0" bottom="0" percent="0" rank="0" text="" dxfId="4272">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&amp;C&amp;1#&amp;"Calibri,Regular"&amp;9&amp;K000000Confidential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0E0B26D-F169-43D9-BDD0-1AE0E990668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40E2E12F-1FF2-4674-9155-C4859AF9A0CF}">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3" activeCellId="0" sqref="H3"/>
    </sheetView>
  </sheetViews>
  <sheetFormatPr defaultColWidth="9.515625" defaultRowHeight="14.25" zeroHeight="false" outlineLevelRow="0" outlineLevelCol="0"/>
  <cols>
    <col collapsed="false" customWidth="true" hidden="false" outlineLevel="0" max="1" min="1" style="30" width="4.62"/>
    <col collapsed="false" customWidth="true" hidden="false" outlineLevel="0" max="2" min="2" style="30" width="23.12"/>
    <col collapsed="false" customWidth="true" hidden="false" outlineLevel="0" max="3" min="3" style="30" width="19.37"/>
    <col collapsed="false" customWidth="true" hidden="false" outlineLevel="0" max="4" min="4" style="30" width="6"/>
    <col collapsed="false" customWidth="true" hidden="false" outlineLevel="0" max="5" min="5" style="30" width="3.25"/>
    <col collapsed="false" customWidth="true" hidden="false" outlineLevel="0" max="6" min="6" style="30" width="2.62"/>
    <col collapsed="false" customWidth="true" hidden="false" outlineLevel="0" max="7" min="7" style="31" width="4.13"/>
    <col collapsed="false" customWidth="true" hidden="false" outlineLevel="0" max="8" min="8" style="31" width="26.12"/>
    <col collapsed="false" customWidth="true" hidden="false" outlineLevel="0" max="9" min="9" style="60" width="26.38"/>
    <col collapsed="false" customWidth="true" hidden="false" outlineLevel="0" max="10" min="10" style="32" width="21.37"/>
    <col collapsed="false" customWidth="true" hidden="false" outlineLevel="0" max="11" min="11" style="31" width="10.51"/>
    <col collapsed="false" customWidth="true" hidden="false" outlineLevel="0" max="12" min="12" style="33" width="11"/>
    <col collapsed="false" customWidth="true" hidden="false" outlineLevel="0" max="13" min="13" style="31" width="18.5"/>
    <col collapsed="false" customWidth="true" hidden="false" outlineLevel="0" max="14" min="14" style="31" width="28.12"/>
    <col collapsed="false" customWidth="true" hidden="false" outlineLevel="0" max="15" min="15" style="31" width="8.88"/>
    <col collapsed="false" customWidth="true" hidden="false" outlineLevel="0" max="16" min="16" style="0" width="4.38"/>
    <col collapsed="false" customWidth="true" hidden="false" outlineLevel="0" max="17" min="17" style="30" width="8.88"/>
    <col collapsed="false" customWidth="false" hidden="false" outlineLevel="0" max="999" min="19" style="30" width="9.51"/>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0" t="s">
        <v>3086</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3087</v>
      </c>
      <c r="B3" s="75" t="s">
        <v>3088</v>
      </c>
      <c r="C3" s="80" t="s">
        <v>3089</v>
      </c>
      <c r="D3" s="75" t="s">
        <v>3090</v>
      </c>
      <c r="E3" s="75"/>
      <c r="F3" s="75"/>
      <c r="G3" s="75" t="s">
        <v>90</v>
      </c>
      <c r="H3" s="75" t="s">
        <v>91</v>
      </c>
      <c r="I3" s="75" t="s">
        <v>90</v>
      </c>
      <c r="J3" s="81" t="s">
        <v>3091</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18"/>
      <c r="E7" s="51"/>
      <c r="F7" s="51"/>
      <c r="O7" s="52" t="s">
        <v>93</v>
      </c>
    </row>
    <row r="8" s="125" customFormat="true" ht="55.5" hidden="false" customHeight="true" outlineLevel="0" collapsed="false">
      <c r="A8" s="119" t="s">
        <v>94</v>
      </c>
      <c r="B8" s="120" t="s">
        <v>95</v>
      </c>
      <c r="C8" s="121" t="s">
        <v>96</v>
      </c>
      <c r="D8" s="121" t="s">
        <v>97</v>
      </c>
      <c r="E8" s="121" t="s">
        <v>98</v>
      </c>
      <c r="F8" s="121" t="s">
        <v>99</v>
      </c>
      <c r="G8" s="121" t="s">
        <v>100</v>
      </c>
      <c r="H8" s="122" t="s">
        <v>101</v>
      </c>
      <c r="I8" s="122" t="s">
        <v>102</v>
      </c>
      <c r="J8" s="122" t="s">
        <v>105</v>
      </c>
      <c r="K8" s="122" t="s">
        <v>106</v>
      </c>
      <c r="L8" s="122" t="s">
        <v>107</v>
      </c>
      <c r="M8" s="122" t="s">
        <v>204</v>
      </c>
      <c r="N8" s="122" t="s">
        <v>109</v>
      </c>
      <c r="O8" s="123" t="s">
        <v>3088</v>
      </c>
      <c r="P8" s="249" t="s">
        <v>111</v>
      </c>
    </row>
    <row r="9" s="67" customFormat="true" ht="13.5" hidden="false" customHeight="true" outlineLevel="0" collapsed="false">
      <c r="A9" s="273" t="n">
        <f aca="false">ROW()-8</f>
        <v>1</v>
      </c>
      <c r="B9" s="261" t="s">
        <v>3092</v>
      </c>
      <c r="C9" s="261"/>
      <c r="D9" s="261"/>
      <c r="E9" s="261"/>
      <c r="F9" s="261"/>
      <c r="G9" s="261"/>
      <c r="H9" s="62" t="s">
        <v>3093</v>
      </c>
      <c r="I9" s="158" t="s">
        <v>3094</v>
      </c>
      <c r="J9" s="158" t="s">
        <v>3095</v>
      </c>
      <c r="K9" s="256" t="s">
        <v>117</v>
      </c>
      <c r="L9" s="257"/>
      <c r="M9" s="256" t="s">
        <v>118</v>
      </c>
      <c r="N9" s="287"/>
      <c r="O9" s="259" t="s">
        <v>119</v>
      </c>
      <c r="P9" s="260"/>
    </row>
    <row r="10" s="67" customFormat="true" ht="13.5" hidden="false" customHeight="true" outlineLevel="0" collapsed="false">
      <c r="A10" s="276" t="n">
        <f aca="false">ROW()-8</f>
        <v>2</v>
      </c>
      <c r="B10" s="262" t="s">
        <v>3096</v>
      </c>
      <c r="C10" s="261"/>
      <c r="D10" s="261"/>
      <c r="E10" s="261"/>
      <c r="F10" s="261"/>
      <c r="G10" s="261"/>
      <c r="H10" s="256" t="s">
        <v>3097</v>
      </c>
      <c r="I10" s="158" t="s">
        <v>3098</v>
      </c>
      <c r="J10" s="158" t="s">
        <v>3099</v>
      </c>
      <c r="K10" s="256" t="s">
        <v>117</v>
      </c>
      <c r="L10" s="257"/>
      <c r="M10" s="256" t="s">
        <v>118</v>
      </c>
      <c r="N10" s="256" t="s">
        <v>3100</v>
      </c>
      <c r="O10" s="288" t="s">
        <v>119</v>
      </c>
      <c r="P10" s="260"/>
    </row>
    <row r="11" s="67" customFormat="true" ht="13.5" hidden="false" customHeight="true" outlineLevel="0" collapsed="false">
      <c r="A11" s="273" t="n">
        <f aca="false">ROW()-8</f>
        <v>3</v>
      </c>
      <c r="B11" s="261" t="s">
        <v>3101</v>
      </c>
      <c r="C11" s="261"/>
      <c r="D11" s="261"/>
      <c r="E11" s="261"/>
      <c r="F11" s="261"/>
      <c r="G11" s="261"/>
      <c r="H11" s="256" t="s">
        <v>3102</v>
      </c>
      <c r="I11" s="63" t="s">
        <v>3103</v>
      </c>
      <c r="J11" s="158" t="s">
        <v>3104</v>
      </c>
      <c r="K11" s="256" t="s">
        <v>117</v>
      </c>
      <c r="L11" s="130"/>
      <c r="M11" s="63" t="s">
        <v>134</v>
      </c>
      <c r="N11" s="63"/>
      <c r="O11" s="259" t="s">
        <v>119</v>
      </c>
      <c r="P11" s="260"/>
    </row>
    <row r="12" s="67" customFormat="true" ht="13.5" hidden="false" customHeight="true" outlineLevel="0" collapsed="false">
      <c r="A12" s="273" t="n">
        <f aca="false">ROW()-8</f>
        <v>4</v>
      </c>
      <c r="B12" s="261" t="s">
        <v>3105</v>
      </c>
      <c r="C12" s="261"/>
      <c r="D12" s="261"/>
      <c r="E12" s="261"/>
      <c r="F12" s="261"/>
      <c r="G12" s="261"/>
      <c r="H12" s="256" t="s">
        <v>3106</v>
      </c>
      <c r="I12" s="158" t="s">
        <v>3107</v>
      </c>
      <c r="J12" s="158" t="s">
        <v>3108</v>
      </c>
      <c r="K12" s="256" t="s">
        <v>117</v>
      </c>
      <c r="L12" s="257"/>
      <c r="M12" s="63" t="s">
        <v>134</v>
      </c>
      <c r="N12" s="256"/>
      <c r="O12" s="259" t="s">
        <v>119</v>
      </c>
      <c r="P12" s="260"/>
    </row>
    <row r="13" s="67" customFormat="true" ht="13.5" hidden="false" customHeight="true" outlineLevel="0" collapsed="false">
      <c r="A13" s="276" t="n">
        <f aca="false">ROW()-8</f>
        <v>5</v>
      </c>
      <c r="B13" s="261" t="s">
        <v>3109</v>
      </c>
      <c r="C13" s="158"/>
      <c r="D13" s="158"/>
      <c r="E13" s="158"/>
      <c r="F13" s="158"/>
      <c r="G13" s="158"/>
      <c r="H13" s="256" t="s">
        <v>3110</v>
      </c>
      <c r="I13" s="158" t="s">
        <v>3111</v>
      </c>
      <c r="J13" s="158" t="s">
        <v>1885</v>
      </c>
      <c r="K13" s="256" t="s">
        <v>163</v>
      </c>
      <c r="L13" s="257"/>
      <c r="M13" s="63" t="s">
        <v>134</v>
      </c>
      <c r="N13" s="256"/>
      <c r="O13" s="288" t="s">
        <v>119</v>
      </c>
      <c r="P13" s="260"/>
    </row>
    <row r="14" s="67" customFormat="true" ht="13.5" hidden="false" customHeight="true" outlineLevel="0" collapsed="false">
      <c r="A14" s="276" t="n">
        <f aca="false">ROW()-8</f>
        <v>6</v>
      </c>
      <c r="B14" s="262" t="s">
        <v>3112</v>
      </c>
      <c r="C14" s="261"/>
      <c r="D14" s="261"/>
      <c r="E14" s="261"/>
      <c r="F14" s="261"/>
      <c r="G14" s="261"/>
      <c r="H14" s="158" t="s">
        <v>3113</v>
      </c>
      <c r="I14" s="158" t="s">
        <v>3114</v>
      </c>
      <c r="J14" s="158" t="s">
        <v>143</v>
      </c>
      <c r="K14" s="256" t="s">
        <v>117</v>
      </c>
      <c r="L14" s="257"/>
      <c r="M14" s="275" t="s">
        <v>118</v>
      </c>
      <c r="N14" s="256" t="s">
        <v>3115</v>
      </c>
      <c r="O14" s="288" t="s">
        <v>119</v>
      </c>
      <c r="P14" s="260"/>
    </row>
    <row r="15" s="67" customFormat="true" ht="13.5" hidden="false" customHeight="true" outlineLevel="0" collapsed="false">
      <c r="A15" s="276" t="n">
        <f aca="false">ROW()-8</f>
        <v>7</v>
      </c>
      <c r="B15" s="262" t="s">
        <v>3116</v>
      </c>
      <c r="C15" s="261"/>
      <c r="D15" s="261"/>
      <c r="E15" s="261"/>
      <c r="F15" s="261"/>
      <c r="G15" s="261"/>
      <c r="H15" s="256" t="s">
        <v>3117</v>
      </c>
      <c r="I15" s="158" t="s">
        <v>3118</v>
      </c>
      <c r="J15" s="158" t="s">
        <v>3119</v>
      </c>
      <c r="K15" s="256" t="s">
        <v>163</v>
      </c>
      <c r="L15" s="257"/>
      <c r="M15" s="275" t="s">
        <v>118</v>
      </c>
      <c r="N15" s="256" t="s">
        <v>3120</v>
      </c>
      <c r="O15" s="288" t="s">
        <v>119</v>
      </c>
      <c r="P15" s="260"/>
    </row>
    <row r="16" s="67" customFormat="true" ht="13.5" hidden="false" customHeight="true" outlineLevel="0" collapsed="false">
      <c r="A16" s="276" t="n">
        <f aca="false">ROW()-8</f>
        <v>8</v>
      </c>
      <c r="B16" s="262" t="s">
        <v>3121</v>
      </c>
      <c r="C16" s="261"/>
      <c r="D16" s="261"/>
      <c r="E16" s="261"/>
      <c r="F16" s="261"/>
      <c r="G16" s="261"/>
      <c r="H16" s="256" t="s">
        <v>3122</v>
      </c>
      <c r="I16" s="158"/>
      <c r="J16" s="158" t="s">
        <v>3123</v>
      </c>
      <c r="K16" s="244" t="s">
        <v>163</v>
      </c>
      <c r="L16" s="257" t="s">
        <v>119</v>
      </c>
      <c r="M16" s="258" t="s">
        <v>3123</v>
      </c>
      <c r="N16" s="256"/>
      <c r="O16" s="288" t="s">
        <v>119</v>
      </c>
      <c r="P16" s="260"/>
    </row>
    <row r="17" s="67" customFormat="true" ht="13.5" hidden="false" customHeight="true" outlineLevel="0" collapsed="false">
      <c r="A17" s="273" t="n">
        <f aca="false">ROW()-8</f>
        <v>9</v>
      </c>
      <c r="B17" s="141"/>
      <c r="C17" s="129" t="s">
        <v>1649</v>
      </c>
      <c r="D17" s="158"/>
      <c r="E17" s="158"/>
      <c r="F17" s="158"/>
      <c r="G17" s="158"/>
      <c r="H17" s="158" t="s">
        <v>3124</v>
      </c>
      <c r="I17" s="158" t="s">
        <v>3125</v>
      </c>
      <c r="J17" s="137" t="s">
        <v>1651</v>
      </c>
      <c r="K17" s="244" t="s">
        <v>117</v>
      </c>
      <c r="L17" s="147"/>
      <c r="M17" s="146" t="s">
        <v>118</v>
      </c>
      <c r="N17" s="256" t="s">
        <v>3126</v>
      </c>
      <c r="O17" s="288" t="s">
        <v>119</v>
      </c>
      <c r="P17" s="260"/>
    </row>
    <row r="18" s="67" customFormat="true" ht="13.5" hidden="false" customHeight="true" outlineLevel="0" collapsed="false">
      <c r="A18" s="273" t="n">
        <f aca="false">ROW()-8</f>
        <v>10</v>
      </c>
      <c r="B18" s="141"/>
      <c r="C18" s="141" t="s">
        <v>3127</v>
      </c>
      <c r="D18" s="261"/>
      <c r="E18" s="261"/>
      <c r="F18" s="261"/>
      <c r="G18" s="261"/>
      <c r="H18" s="158" t="s">
        <v>3128</v>
      </c>
      <c r="I18" s="158" t="s">
        <v>1404</v>
      </c>
      <c r="J18" s="63" t="s">
        <v>1568</v>
      </c>
      <c r="K18" s="244" t="s">
        <v>117</v>
      </c>
      <c r="L18" s="147"/>
      <c r="M18" s="146" t="s">
        <v>118</v>
      </c>
      <c r="N18" s="256"/>
      <c r="O18" s="288" t="s">
        <v>119</v>
      </c>
      <c r="P18" s="260"/>
    </row>
    <row r="19" s="67" customFormat="true" ht="13.5" hidden="false" customHeight="true" outlineLevel="0" collapsed="false">
      <c r="A19" s="273" t="n">
        <f aca="false">ROW()-8</f>
        <v>11</v>
      </c>
      <c r="B19" s="262"/>
      <c r="C19" s="277" t="s">
        <v>3129</v>
      </c>
      <c r="D19" s="261"/>
      <c r="E19" s="261"/>
      <c r="F19" s="261"/>
      <c r="G19" s="261"/>
      <c r="H19" s="158" t="s">
        <v>3130</v>
      </c>
      <c r="I19" s="158" t="s">
        <v>1571</v>
      </c>
      <c r="J19" s="63" t="s">
        <v>1572</v>
      </c>
      <c r="K19" s="244" t="s">
        <v>117</v>
      </c>
      <c r="L19" s="257"/>
      <c r="M19" s="146" t="s">
        <v>118</v>
      </c>
      <c r="N19" s="256"/>
      <c r="O19" s="288" t="s">
        <v>119</v>
      </c>
      <c r="P19" s="260"/>
    </row>
    <row r="20" s="67" customFormat="true" ht="12" hidden="false" customHeight="true" outlineLevel="0" collapsed="false">
      <c r="A20" s="276" t="n">
        <f aca="false">ROW()-8</f>
        <v>12</v>
      </c>
      <c r="B20" s="262"/>
      <c r="C20" s="262" t="s">
        <v>3131</v>
      </c>
      <c r="D20" s="261"/>
      <c r="E20" s="261"/>
      <c r="F20" s="261"/>
      <c r="G20" s="261"/>
      <c r="H20" s="256" t="s">
        <v>3132</v>
      </c>
      <c r="I20" s="355" t="s">
        <v>3133</v>
      </c>
      <c r="J20" s="158" t="s">
        <v>3134</v>
      </c>
      <c r="K20" s="256" t="s">
        <v>163</v>
      </c>
      <c r="L20" s="257"/>
      <c r="M20" s="256" t="s">
        <v>118</v>
      </c>
      <c r="N20" s="256"/>
      <c r="O20" s="288" t="s">
        <v>119</v>
      </c>
      <c r="P20" s="260"/>
    </row>
    <row r="21" s="67" customFormat="true" ht="12" hidden="false" customHeight="true" outlineLevel="0" collapsed="false">
      <c r="A21" s="276" t="n">
        <f aca="false">ROW()-8</f>
        <v>13</v>
      </c>
      <c r="B21" s="262"/>
      <c r="C21" s="262" t="s">
        <v>3135</v>
      </c>
      <c r="D21" s="261"/>
      <c r="E21" s="261"/>
      <c r="F21" s="261"/>
      <c r="G21" s="261"/>
      <c r="H21" s="256" t="s">
        <v>3136</v>
      </c>
      <c r="I21" s="356" t="s">
        <v>3137</v>
      </c>
      <c r="J21" s="158" t="s">
        <v>3138</v>
      </c>
      <c r="K21" s="256" t="s">
        <v>163</v>
      </c>
      <c r="L21" s="257"/>
      <c r="M21" s="256" t="s">
        <v>118</v>
      </c>
      <c r="N21" s="256"/>
      <c r="O21" s="259" t="s">
        <v>119</v>
      </c>
      <c r="P21" s="260"/>
    </row>
    <row r="22" s="67" customFormat="true" ht="12" hidden="false" customHeight="true" outlineLevel="0" collapsed="false">
      <c r="A22" s="276" t="n">
        <f aca="false">ROW()-8</f>
        <v>14</v>
      </c>
      <c r="B22" s="262"/>
      <c r="C22" s="262" t="s">
        <v>3139</v>
      </c>
      <c r="D22" s="261"/>
      <c r="E22" s="261"/>
      <c r="F22" s="261"/>
      <c r="G22" s="261"/>
      <c r="H22" s="256" t="s">
        <v>3140</v>
      </c>
      <c r="I22" s="357" t="s">
        <v>3141</v>
      </c>
      <c r="J22" s="158" t="s">
        <v>3142</v>
      </c>
      <c r="K22" s="256" t="s">
        <v>163</v>
      </c>
      <c r="L22" s="257"/>
      <c r="M22" s="256" t="s">
        <v>118</v>
      </c>
      <c r="N22" s="256"/>
      <c r="O22" s="259" t="s">
        <v>119</v>
      </c>
      <c r="P22" s="260"/>
    </row>
    <row r="23" s="67" customFormat="true" ht="12" hidden="false" customHeight="true" outlineLevel="0" collapsed="false">
      <c r="A23" s="276" t="n">
        <f aca="false">ROW()-8</f>
        <v>15</v>
      </c>
      <c r="B23" s="262"/>
      <c r="C23" s="262" t="s">
        <v>3143</v>
      </c>
      <c r="D23" s="261"/>
      <c r="E23" s="261"/>
      <c r="F23" s="261"/>
      <c r="G23" s="261"/>
      <c r="H23" s="256" t="s">
        <v>3144</v>
      </c>
      <c r="I23" s="356" t="s">
        <v>3145</v>
      </c>
      <c r="J23" s="158" t="s">
        <v>3146</v>
      </c>
      <c r="K23" s="256" t="s">
        <v>163</v>
      </c>
      <c r="L23" s="257"/>
      <c r="M23" s="256" t="s">
        <v>118</v>
      </c>
      <c r="N23" s="256"/>
      <c r="O23" s="259" t="s">
        <v>119</v>
      </c>
      <c r="P23" s="260"/>
    </row>
    <row r="24" customFormat="false" ht="14.25" hidden="false" customHeight="false" outlineLevel="0" collapsed="false">
      <c r="A24" s="276" t="n">
        <f aca="false">ROW()-8</f>
        <v>16</v>
      </c>
      <c r="B24" s="262" t="s">
        <v>3147</v>
      </c>
      <c r="C24" s="262"/>
      <c r="D24" s="261"/>
      <c r="E24" s="261"/>
      <c r="F24" s="261"/>
      <c r="G24" s="261"/>
      <c r="H24" s="358" t="s">
        <v>3148</v>
      </c>
      <c r="I24" s="158"/>
      <c r="J24" s="158" t="s">
        <v>1584</v>
      </c>
      <c r="K24" s="256" t="s">
        <v>163</v>
      </c>
      <c r="L24" s="257" t="s">
        <v>119</v>
      </c>
      <c r="M24" s="258" t="s">
        <v>1584</v>
      </c>
      <c r="N24" s="256"/>
      <c r="O24" s="288" t="s">
        <v>119</v>
      </c>
      <c r="P24" s="260"/>
    </row>
    <row r="25" customFormat="false" ht="14.25" hidden="false" customHeight="false" outlineLevel="0" collapsed="false">
      <c r="A25" s="276" t="n">
        <f aca="false">ROW()-8</f>
        <v>17</v>
      </c>
      <c r="B25" s="262"/>
      <c r="C25" s="262" t="s">
        <v>3149</v>
      </c>
      <c r="D25" s="261"/>
      <c r="E25" s="261"/>
      <c r="F25" s="261"/>
      <c r="G25" s="261"/>
      <c r="H25" s="358" t="s">
        <v>3150</v>
      </c>
      <c r="I25" s="158" t="s">
        <v>3151</v>
      </c>
      <c r="J25" s="158" t="s">
        <v>3152</v>
      </c>
      <c r="K25" s="359" t="s">
        <v>117</v>
      </c>
      <c r="L25" s="257"/>
      <c r="M25" s="256" t="s">
        <v>118</v>
      </c>
      <c r="N25" s="256"/>
      <c r="O25" s="288" t="s">
        <v>119</v>
      </c>
      <c r="P25" s="260"/>
    </row>
    <row r="26" customFormat="false" ht="14.25" hidden="false" customHeight="false" outlineLevel="0" collapsed="false">
      <c r="A26" s="276" t="n">
        <f aca="false">ROW()-8</f>
        <v>18</v>
      </c>
      <c r="B26" s="262"/>
      <c r="C26" s="262" t="s">
        <v>3153</v>
      </c>
      <c r="D26" s="261"/>
      <c r="E26" s="261"/>
      <c r="F26" s="261"/>
      <c r="G26" s="261"/>
      <c r="H26" s="256" t="s">
        <v>3154</v>
      </c>
      <c r="I26" s="158" t="s">
        <v>3155</v>
      </c>
      <c r="J26" s="158" t="s">
        <v>126</v>
      </c>
      <c r="K26" s="244" t="s">
        <v>117</v>
      </c>
      <c r="L26" s="257"/>
      <c r="M26" s="256" t="s">
        <v>118</v>
      </c>
      <c r="N26" s="256"/>
      <c r="O26" s="288" t="s">
        <v>119</v>
      </c>
      <c r="P26" s="260"/>
    </row>
    <row r="27" customFormat="false" ht="14.25" hidden="false" customHeight="false" outlineLevel="0" collapsed="false">
      <c r="A27" s="60"/>
      <c r="B27" s="67"/>
      <c r="C27" s="60"/>
      <c r="D27" s="60"/>
      <c r="E27" s="60"/>
      <c r="F27" s="60"/>
      <c r="G27" s="60"/>
      <c r="H27" s="60"/>
      <c r="J27" s="69"/>
      <c r="K27" s="60"/>
      <c r="L27" s="70"/>
      <c r="M27" s="60"/>
      <c r="N27" s="60"/>
      <c r="O27" s="60"/>
      <c r="P27" s="67"/>
    </row>
  </sheetData>
  <conditionalFormatting sqref="A20:A23 A24:B24 D24:F24 B25:F25 A45:F885">
    <cfRule type="expression" priority="2" aboveAverage="0" equalAverage="0" bottom="0" percent="0" rank="0" text="" dxfId="4273">
      <formula>OR(#ref!="X",#ref!="X")</formula>
    </cfRule>
    <cfRule type="expression" priority="3" aboveAverage="0" equalAverage="0" bottom="0" percent="0" rank="0" text="" dxfId="4274">
      <formula>AND(#ref!=1,#ref!=1)</formula>
    </cfRule>
    <cfRule type="expression" priority="4" aboveAverage="0" equalAverage="0" bottom="0" percent="0" rank="0" text="" dxfId="4275">
      <formula>#ref!=1</formula>
    </cfRule>
    <cfRule type="expression" priority="5" aboveAverage="0" equalAverage="0" bottom="0" percent="0" rank="0" text="" dxfId="4276">
      <formula>#ref!=1</formula>
    </cfRule>
  </conditionalFormatting>
  <conditionalFormatting sqref="C17">
    <cfRule type="expression" priority="6" aboveAverage="0" equalAverage="0" bottom="0" percent="0" rank="0" text="" dxfId="4277">
      <formula>AND($L17="X",OR($B17&lt;&gt;"",$C17&lt;&gt;"",$D17&lt;&gt;""))</formula>
    </cfRule>
    <cfRule type="expression" priority="7" aboveAverage="0" equalAverage="0" bottom="0" percent="0" rank="0" text="" dxfId="4278">
      <formula>#ref!=1</formula>
    </cfRule>
    <cfRule type="expression" priority="8" aboveAverage="0" equalAverage="0" bottom="0" percent="0" rank="0" text="" dxfId="4279">
      <formula>OR(#ref!="X",#ref!="X")</formula>
    </cfRule>
    <cfRule type="expression" priority="9" aboveAverage="0" equalAverage="0" bottom="0" percent="0" rank="0" text="" dxfId="4280">
      <formula>AND(#ref!=1,#ref!=1)</formula>
    </cfRule>
    <cfRule type="expression" priority="10" aboveAverage="0" equalAverage="0" bottom="0" percent="0" rank="0" text="" dxfId="4281">
      <formula>#ref!=1</formula>
    </cfRule>
  </conditionalFormatting>
  <conditionalFormatting sqref="E3">
    <cfRule type="dataBar" priority="11">
      <dataBar showValue="1" minLength="10" maxLength="90">
        <cfvo type="num" val="0"/>
        <cfvo type="num" val="1"/>
        <color rgb="FF63C384"/>
      </dataBar>
      <extLst>
        <ext xmlns:x14="http://schemas.microsoft.com/office/spreadsheetml/2009/9/main" uri="{B025F937-C7B1-47D3-B67F-A62EFF666E3E}">
          <x14:id>{80EECF65-EF49-4C89-96C1-64E7AABD5150}</x14:id>
        </ext>
      </extLst>
    </cfRule>
  </conditionalFormatting>
  <conditionalFormatting sqref="F1">
    <cfRule type="dataBar" priority="12">
      <dataBar showValue="1" minLength="10" maxLength="90">
        <cfvo type="num" val="0"/>
        <cfvo type="num" val="1"/>
        <color rgb="FF63C384"/>
      </dataBar>
      <extLst>
        <ext xmlns:x14="http://schemas.microsoft.com/office/spreadsheetml/2009/9/main" uri="{B025F937-C7B1-47D3-B67F-A62EFF666E3E}">
          <x14:id>{9079F73E-2D37-49BA-9B46-2526FDD8CE84}</x14:id>
        </ext>
      </extLst>
    </cfRule>
  </conditionalFormatting>
  <conditionalFormatting sqref="H24:H25 H45:H885">
    <cfRule type="expression" priority="13" aboveAverage="0" equalAverage="0" bottom="0" percent="0" rank="0" text="" dxfId="4282">
      <formula>$K24="X"</formula>
    </cfRule>
  </conditionalFormatting>
  <conditionalFormatting sqref="I11">
    <cfRule type="expression" priority="14" aboveAverage="0" equalAverage="0" bottom="0" percent="0" rank="0" text="" dxfId="4283">
      <formula>$L11="X"</formula>
    </cfRule>
  </conditionalFormatting>
  <conditionalFormatting sqref="K9:K19 K24:K26">
    <cfRule type="cellIs" priority="15" operator="equal" aboveAverage="0" equalAverage="0" bottom="0" percent="0" rank="0" text="" dxfId="4284">
      <formula>"1..1"</formula>
    </cfRule>
    <cfRule type="cellIs" priority="16" operator="equal" aboveAverage="0" equalAverage="0" bottom="0" percent="0" rank="0" text="" dxfId="4285">
      <formula>"0..n"</formula>
    </cfRule>
    <cfRule type="cellIs" priority="17" operator="equal" aboveAverage="0" equalAverage="0" bottom="0" percent="0" rank="0" text="" dxfId="4286">
      <formula>"0..1"</formula>
    </cfRule>
  </conditionalFormatting>
  <hyperlinks>
    <hyperlink ref="I21" r:id="rId1" display="https://mos.esante.gouv.fr/NOS/TRE_R38-SpecialiteOrdinale/FHIR/TRE-R38-SpecialiteOrdinale"/>
    <hyperlink ref="I23" r:id="rId2" display="https://mos.esante.gouv.fr/NOS/TRE_G15-ProfessionSante/FHIR/TRE-G15-ProfessionSan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
  </tableParts>
  <extLst>
    <ext xmlns:x14="http://schemas.microsoft.com/office/spreadsheetml/2009/9/main" uri="{78C0D931-6437-407d-A8EE-F0AAD7539E65}">
      <x14:conditionalFormattings>
        <x14:conditionalFormatting xmlns:xm="http://schemas.microsoft.com/office/excel/2006/main">
          <x14:cfRule type="dataBar" id="{80EECF65-EF49-4C89-96C1-64E7AABD5150}">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9079F73E-2D37-49BA-9B46-2526FDD8CE84}">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E5" activeCellId="0" sqref="E5"/>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15"/>
    <col collapsed="false" customWidth="true" hidden="false" outlineLevel="0" max="3" min="3" style="0" width="24.62"/>
    <col collapsed="false" customWidth="true" hidden="false" outlineLevel="0" max="4" min="4" style="0" width="10.51"/>
    <col collapsed="false" customWidth="true" hidden="false" outlineLevel="0" max="5" min="5" style="0" width="10.63"/>
    <col collapsed="false" customWidth="true" hidden="false" outlineLevel="0" max="7" min="6" style="0" width="11"/>
    <col collapsed="false" customWidth="true" hidden="false" outlineLevel="0" max="8" min="8" style="0" width="37.13"/>
    <col collapsed="false" customWidth="true" hidden="false" outlineLevel="0" max="9" min="9" style="0" width="26.5"/>
    <col collapsed="false" customWidth="true" hidden="false" outlineLevel="0" max="10" min="10" style="0" width="22.13"/>
    <col collapsed="false" customWidth="true" hidden="false" outlineLevel="0" max="11" min="11" style="0" width="11"/>
    <col collapsed="false" customWidth="true" hidden="false" outlineLevel="0" max="14" min="14" style="0" width="11"/>
    <col collapsed="false" customWidth="true" hidden="false" outlineLevel="0" max="17" min="17" style="0" width="3.62"/>
  </cols>
  <sheetData>
    <row r="1" customFormat="false" ht="14.25" hidden="false" customHeight="true" outlineLevel="0" collapsed="false">
      <c r="A1" s="71" t="s">
        <v>3156</v>
      </c>
      <c r="B1" s="71"/>
      <c r="C1" s="35"/>
      <c r="D1" s="30"/>
      <c r="E1" s="360"/>
      <c r="F1" s="360"/>
      <c r="G1" s="30"/>
      <c r="H1" s="208" t="s">
        <v>166</v>
      </c>
      <c r="I1" s="208"/>
      <c r="J1" s="31"/>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3157</v>
      </c>
      <c r="B3" s="75" t="s">
        <v>85</v>
      </c>
      <c r="C3" s="80" t="s">
        <v>3158</v>
      </c>
      <c r="D3" s="75" t="s">
        <v>3159</v>
      </c>
      <c r="E3" s="75"/>
      <c r="F3" s="75"/>
      <c r="G3" s="75" t="s">
        <v>91</v>
      </c>
      <c r="H3" s="75" t="s">
        <v>91</v>
      </c>
      <c r="I3" s="75" t="s">
        <v>91</v>
      </c>
      <c r="J3" s="81" t="s">
        <v>92</v>
      </c>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61" t="s">
        <v>94</v>
      </c>
      <c r="B8" s="362" t="s">
        <v>95</v>
      </c>
      <c r="C8" s="362" t="s">
        <v>96</v>
      </c>
      <c r="D8" s="362" t="s">
        <v>97</v>
      </c>
      <c r="E8" s="362" t="s">
        <v>98</v>
      </c>
      <c r="F8" s="362" t="s">
        <v>99</v>
      </c>
      <c r="G8" s="362" t="s">
        <v>100</v>
      </c>
      <c r="H8" s="90" t="s">
        <v>101</v>
      </c>
      <c r="I8" s="90" t="s">
        <v>102</v>
      </c>
      <c r="J8" s="90" t="s">
        <v>105</v>
      </c>
      <c r="K8" s="90" t="s">
        <v>106</v>
      </c>
      <c r="L8" s="90" t="s">
        <v>107</v>
      </c>
      <c r="M8" s="90" t="s">
        <v>176</v>
      </c>
      <c r="N8" s="90" t="s">
        <v>109</v>
      </c>
      <c r="O8" s="363" t="s">
        <v>110</v>
      </c>
      <c r="P8" s="363" t="s">
        <v>85</v>
      </c>
      <c r="Q8" s="182" t="s">
        <v>111</v>
      </c>
    </row>
    <row r="9" customFormat="false" ht="15" hidden="false" customHeight="true" outlineLevel="0" collapsed="false">
      <c r="A9" s="95" t="n">
        <v>1</v>
      </c>
      <c r="B9" s="96" t="s">
        <v>3160</v>
      </c>
      <c r="C9" s="96"/>
      <c r="D9" s="96"/>
      <c r="E9" s="95"/>
      <c r="F9" s="95"/>
      <c r="G9" s="95"/>
      <c r="H9" s="364" t="s">
        <v>3161</v>
      </c>
      <c r="I9" s="230"/>
      <c r="J9" s="98" t="s">
        <v>3162</v>
      </c>
      <c r="K9" s="99" t="s">
        <v>117</v>
      </c>
      <c r="L9" s="100" t="s">
        <v>119</v>
      </c>
      <c r="M9" s="100" t="s">
        <v>3162</v>
      </c>
      <c r="N9" s="101"/>
      <c r="O9" s="101" t="s">
        <v>119</v>
      </c>
      <c r="P9" s="101" t="s">
        <v>119</v>
      </c>
      <c r="Q9" s="66"/>
    </row>
    <row r="10" customFormat="false" ht="15" hidden="false" customHeight="true" outlineLevel="0" collapsed="false">
      <c r="A10" s="95" t="n">
        <v>2</v>
      </c>
      <c r="B10" s="96"/>
      <c r="C10" s="96" t="s">
        <v>3163</v>
      </c>
      <c r="D10" s="96"/>
      <c r="E10" s="95"/>
      <c r="F10" s="95"/>
      <c r="G10" s="95"/>
      <c r="H10" s="365" t="s">
        <v>3164</v>
      </c>
      <c r="I10" s="328" t="n">
        <v>101</v>
      </c>
      <c r="J10" s="366" t="s">
        <v>3165</v>
      </c>
      <c r="K10" s="99" t="s">
        <v>117</v>
      </c>
      <c r="L10" s="103"/>
      <c r="M10" s="103" t="s">
        <v>1364</v>
      </c>
      <c r="N10" s="104"/>
      <c r="O10" s="104" t="s">
        <v>119</v>
      </c>
      <c r="P10" s="104" t="s">
        <v>119</v>
      </c>
      <c r="Q10" s="66"/>
    </row>
    <row r="11" customFormat="false" ht="15" hidden="false" customHeight="true" outlineLevel="0" collapsed="false">
      <c r="A11" s="95" t="n">
        <v>3</v>
      </c>
      <c r="B11" s="96"/>
      <c r="C11" s="96" t="s">
        <v>3166</v>
      </c>
      <c r="D11" s="96"/>
      <c r="E11" s="95"/>
      <c r="F11" s="95"/>
      <c r="G11" s="95"/>
      <c r="H11" s="367" t="s">
        <v>3167</v>
      </c>
      <c r="I11" s="368" t="s">
        <v>3168</v>
      </c>
      <c r="J11" s="98" t="s">
        <v>3169</v>
      </c>
      <c r="K11" s="99" t="s">
        <v>117</v>
      </c>
      <c r="L11" s="100"/>
      <c r="M11" s="100" t="s">
        <v>118</v>
      </c>
      <c r="N11" s="101"/>
      <c r="O11" s="101" t="s">
        <v>119</v>
      </c>
      <c r="P11" s="101" t="s">
        <v>119</v>
      </c>
      <c r="Q11" s="66"/>
    </row>
    <row r="12" customFormat="false" ht="15" hidden="false" customHeight="true" outlineLevel="0" collapsed="false">
      <c r="A12" s="95" t="n">
        <v>4</v>
      </c>
      <c r="B12" s="96" t="s">
        <v>3170</v>
      </c>
      <c r="C12" s="96"/>
      <c r="D12" s="96"/>
      <c r="E12" s="95"/>
      <c r="F12" s="95"/>
      <c r="G12" s="95"/>
      <c r="H12" s="369" t="s">
        <v>3171</v>
      </c>
      <c r="I12" s="328" t="s">
        <v>3172</v>
      </c>
      <c r="J12" s="366" t="s">
        <v>3173</v>
      </c>
      <c r="K12" s="99" t="s">
        <v>117</v>
      </c>
      <c r="L12" s="103"/>
      <c r="M12" s="103" t="s">
        <v>118</v>
      </c>
      <c r="N12" s="104"/>
      <c r="O12" s="104" t="s">
        <v>119</v>
      </c>
      <c r="P12" s="104" t="s">
        <v>119</v>
      </c>
      <c r="Q12" s="66"/>
    </row>
    <row r="13" customFormat="false" ht="15" hidden="false" customHeight="true" outlineLevel="0" collapsed="false">
      <c r="A13" s="370" t="n">
        <v>5</v>
      </c>
      <c r="B13" s="371" t="s">
        <v>3174</v>
      </c>
      <c r="C13" s="371"/>
      <c r="D13" s="371"/>
      <c r="E13" s="370"/>
      <c r="F13" s="370"/>
      <c r="G13" s="370"/>
      <c r="H13" s="372" t="s">
        <v>3175</v>
      </c>
      <c r="I13" s="373"/>
      <c r="J13" s="373" t="s">
        <v>3176</v>
      </c>
      <c r="K13" s="374" t="s">
        <v>163</v>
      </c>
      <c r="L13" s="375" t="s">
        <v>119</v>
      </c>
      <c r="M13" s="376" t="s">
        <v>3176</v>
      </c>
      <c r="N13" s="377"/>
      <c r="O13" s="377" t="s">
        <v>119</v>
      </c>
      <c r="P13" s="377" t="s">
        <v>119</v>
      </c>
      <c r="Q13" s="66"/>
    </row>
    <row r="14" customFormat="false" ht="15" hidden="false" customHeight="true" outlineLevel="0" collapsed="false">
      <c r="A14" s="378" t="n">
        <v>6</v>
      </c>
      <c r="B14" s="379" t="s">
        <v>3177</v>
      </c>
      <c r="C14" s="379"/>
      <c r="D14" s="379"/>
      <c r="E14" s="378"/>
      <c r="F14" s="378"/>
      <c r="G14" s="378"/>
      <c r="H14" s="380" t="s">
        <v>3178</v>
      </c>
      <c r="I14" s="381"/>
      <c r="J14" s="352" t="s">
        <v>3179</v>
      </c>
      <c r="K14" s="382" t="s">
        <v>117</v>
      </c>
      <c r="L14" s="383"/>
      <c r="M14" s="383" t="s">
        <v>118</v>
      </c>
      <c r="N14" s="384"/>
      <c r="O14" s="384" t="s">
        <v>119</v>
      </c>
      <c r="P14" s="384" t="s">
        <v>119</v>
      </c>
      <c r="Q14" s="66"/>
    </row>
    <row r="15" s="386" customFormat="true" ht="15" hidden="false" customHeight="false" outlineLevel="0" collapsed="false">
      <c r="A15" s="385"/>
      <c r="B15" s="385"/>
      <c r="C15" s="385"/>
      <c r="D15" s="385"/>
      <c r="E15" s="385"/>
      <c r="F15" s="385"/>
      <c r="G15" s="385"/>
      <c r="H15" s="385"/>
      <c r="I15" s="385"/>
      <c r="J15" s="385"/>
      <c r="K15" s="385"/>
      <c r="L15" s="385"/>
      <c r="M15" s="385"/>
      <c r="N15" s="385"/>
      <c r="O15" s="385"/>
      <c r="P15" s="385"/>
      <c r="Q15" s="66"/>
    </row>
  </sheetData>
  <mergeCells count="1">
    <mergeCell ref="E1:F1"/>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{AD8E6A70-A5CD-4F5A-A867-FFBCD320543E}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AD8E6A70-A5CD-4F5A-A867-FFBCD320543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 activeCellId="0" sqref="N1"/>
    </sheetView>
  </sheetViews>
  <sheetFormatPr defaultColWidth="9" defaultRowHeight="13.5" zeroHeight="false" outlineLevelRow="0" outlineLevelCol="0"/>
  <cols>
    <col collapsed="false" customWidth="true" hidden="false" outlineLevel="0" max="1" min="1" style="0" width="4.62"/>
    <col collapsed="false" customWidth="true" hidden="false" outlineLevel="0" max="2" min="2" style="0" width="15"/>
    <col collapsed="false" customWidth="true" hidden="false" outlineLevel="0" max="3" min="3" style="0" width="24.62"/>
    <col collapsed="false" customWidth="true" hidden="false" outlineLevel="0" max="4" min="4" style="0" width="10.51"/>
    <col collapsed="false" customWidth="true" hidden="false" outlineLevel="0" max="5" min="5" style="0" width="10.63"/>
    <col collapsed="false" customWidth="true" hidden="false" outlineLevel="0" max="7" min="6" style="0" width="11"/>
    <col collapsed="false" customWidth="true" hidden="false" outlineLevel="0" max="8" min="8" style="0" width="37.13"/>
    <col collapsed="false" customWidth="true" hidden="false" outlineLevel="0" max="9" min="9" style="0" width="26.5"/>
    <col collapsed="false" customWidth="true" hidden="false" outlineLevel="0" max="10" min="10" style="0" width="15"/>
    <col collapsed="false" customWidth="true" hidden="false" outlineLevel="0" max="11" min="11" style="0" width="9.38"/>
    <col collapsed="false" customWidth="true" hidden="false" outlineLevel="0" max="12" min="12" style="0" width="5.62"/>
    <col collapsed="false" customWidth="true" hidden="false" outlineLevel="0" max="13" min="13" style="0" width="12.63"/>
    <col collapsed="false" customWidth="true" hidden="false" outlineLevel="0" max="14" min="14" style="0" width="10.63"/>
    <col collapsed="false" customWidth="true" hidden="false" outlineLevel="0" max="15" min="15" style="0" width="11"/>
    <col collapsed="false" customWidth="true" hidden="false" outlineLevel="0" max="16" min="16" style="0" width="9.87"/>
    <col collapsed="false" customWidth="true" hidden="false" outlineLevel="0" max="17" min="17" style="0" width="4.62"/>
  </cols>
  <sheetData>
    <row r="1" customFormat="false" ht="14.25" hidden="false" customHeight="true" outlineLevel="0" collapsed="false">
      <c r="A1" s="71" t="s">
        <v>3180</v>
      </c>
      <c r="B1" s="30"/>
      <c r="C1" s="35"/>
      <c r="D1" s="30"/>
      <c r="E1" s="36"/>
      <c r="F1" s="30"/>
      <c r="G1" s="30"/>
      <c r="H1" s="208" t="s">
        <v>166</v>
      </c>
      <c r="I1" s="208"/>
      <c r="J1" s="31"/>
      <c r="K1" s="31"/>
      <c r="L1" s="31"/>
      <c r="M1" s="31"/>
      <c r="N1" s="31"/>
      <c r="O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3181</v>
      </c>
      <c r="B3" s="75" t="s">
        <v>85</v>
      </c>
      <c r="C3" s="80" t="s">
        <v>3182</v>
      </c>
      <c r="D3" s="75" t="s">
        <v>3182</v>
      </c>
      <c r="E3" s="75"/>
      <c r="F3" s="75"/>
      <c r="G3" s="75" t="s">
        <v>91</v>
      </c>
      <c r="H3" s="75" t="s">
        <v>91</v>
      </c>
      <c r="I3" s="75" t="s">
        <v>91</v>
      </c>
      <c r="J3" s="81"/>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75"/>
      <c r="D6" s="75"/>
      <c r="E6" s="75"/>
      <c r="F6" s="75"/>
      <c r="G6" s="75"/>
      <c r="H6" s="75"/>
      <c r="I6" s="75"/>
      <c r="K6" s="77"/>
      <c r="L6" s="78"/>
      <c r="M6" s="77"/>
      <c r="N6" s="77"/>
      <c r="O6" s="77"/>
      <c r="P6" s="77"/>
      <c r="Q6" s="77"/>
    </row>
    <row r="7" customFormat="false" ht="14.25" hidden="false" customHeight="true" outlineLevel="0" collapsed="false">
      <c r="C7" s="51" t="s">
        <v>166</v>
      </c>
      <c r="D7" s="82" t="s">
        <v>166</v>
      </c>
      <c r="E7" s="83" t="s">
        <v>166</v>
      </c>
      <c r="F7" s="83" t="s">
        <v>166</v>
      </c>
      <c r="G7" s="31"/>
      <c r="H7" s="31"/>
      <c r="I7" s="60"/>
      <c r="J7" s="31"/>
      <c r="K7" s="31"/>
      <c r="L7" s="31"/>
      <c r="M7" s="31"/>
      <c r="O7" s="85" t="s">
        <v>93</v>
      </c>
      <c r="P7" s="85" t="s">
        <v>93</v>
      </c>
    </row>
    <row r="8" s="94" customFormat="true" ht="27.75" hidden="false" customHeight="true" outlineLevel="0" collapsed="false">
      <c r="A8" s="214" t="s">
        <v>94</v>
      </c>
      <c r="B8" s="387" t="s">
        <v>95</v>
      </c>
      <c r="C8" s="387" t="s">
        <v>96</v>
      </c>
      <c r="D8" s="387" t="s">
        <v>97</v>
      </c>
      <c r="E8" s="387" t="s">
        <v>98</v>
      </c>
      <c r="F8" s="387" t="s">
        <v>99</v>
      </c>
      <c r="G8" s="387" t="s">
        <v>100</v>
      </c>
      <c r="H8" s="216" t="s">
        <v>101</v>
      </c>
      <c r="I8" s="216" t="s">
        <v>102</v>
      </c>
      <c r="J8" s="216" t="s">
        <v>105</v>
      </c>
      <c r="K8" s="216" t="s">
        <v>106</v>
      </c>
      <c r="L8" s="216" t="s">
        <v>107</v>
      </c>
      <c r="M8" s="216" t="s">
        <v>176</v>
      </c>
      <c r="N8" s="216" t="s">
        <v>109</v>
      </c>
      <c r="O8" s="219" t="s">
        <v>110</v>
      </c>
      <c r="P8" s="388" t="s">
        <v>85</v>
      </c>
      <c r="Q8" s="92" t="s">
        <v>111</v>
      </c>
    </row>
    <row r="9" customFormat="false" ht="29.25" hidden="false" customHeight="true" outlineLevel="0" collapsed="false">
      <c r="A9" s="322" t="n">
        <v>1</v>
      </c>
      <c r="B9" s="96" t="s">
        <v>3183</v>
      </c>
      <c r="C9" s="96"/>
      <c r="D9" s="96"/>
      <c r="E9" s="95"/>
      <c r="F9" s="95"/>
      <c r="G9" s="95"/>
      <c r="H9" s="364" t="s">
        <v>3184</v>
      </c>
      <c r="I9" s="327"/>
      <c r="J9" s="98" t="s">
        <v>3182</v>
      </c>
      <c r="K9" s="99" t="s">
        <v>117</v>
      </c>
      <c r="L9" s="100"/>
      <c r="M9" s="100" t="s">
        <v>118</v>
      </c>
      <c r="N9" s="101"/>
      <c r="O9" s="101" t="s">
        <v>119</v>
      </c>
      <c r="P9" s="389" t="s">
        <v>119</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{E222F06B-8050-4665-BC48-8530AA7B8B11}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E222F06B-8050-4665-BC48-8530AA7B8B1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21" activeCellId="0" sqref="U21"/>
    </sheetView>
  </sheetViews>
  <sheetFormatPr defaultColWidth="9" defaultRowHeight="13.5" zeroHeight="false" outlineLevelRow="0" outlineLevelCol="0"/>
  <cols>
    <col collapsed="false" customWidth="true" hidden="false" outlineLevel="0" max="1" min="1" style="0" width="2.38"/>
    <col collapsed="false" customWidth="true" hidden="false" outlineLevel="0" max="7" min="2" style="0" width="9.13"/>
    <col collapsed="false" customWidth="true" hidden="false" outlineLevel="0" max="8" min="8" style="0" width="9.63"/>
    <col collapsed="false" customWidth="true" hidden="false" outlineLevel="0" max="9" min="9" style="0" width="8.38"/>
    <col collapsed="false" customWidth="true" hidden="false" outlineLevel="0" max="10" min="10" style="0" width="5.5"/>
    <col collapsed="false" customWidth="true" hidden="false" outlineLevel="0" max="11" min="11" style="0" width="9.13"/>
    <col collapsed="false" customWidth="true" hidden="false" outlineLevel="0" max="12" min="12" style="0" width="5.13"/>
    <col collapsed="false" customWidth="true" hidden="false" outlineLevel="0" max="14" min="14" style="0" width="8.38"/>
    <col collapsed="false" customWidth="true" hidden="false" outlineLevel="0" max="15" min="15" style="0" width="11"/>
    <col collapsed="false" customWidth="true" hidden="false" outlineLevel="0" max="16" min="16" style="0" width="9.51"/>
    <col collapsed="false" customWidth="true" hidden="false" outlineLevel="0" max="17" min="17" style="0" width="4.13"/>
  </cols>
  <sheetData>
    <row r="1" customFormat="false" ht="14.25" hidden="false" customHeight="true" outlineLevel="0" collapsed="false">
      <c r="A1" s="71" t="s">
        <v>3185</v>
      </c>
      <c r="B1" s="71"/>
      <c r="C1" s="35"/>
      <c r="D1" s="30"/>
      <c r="E1" s="36"/>
      <c r="F1" s="30"/>
      <c r="G1" s="30"/>
      <c r="H1" s="30"/>
      <c r="I1" s="30"/>
      <c r="J1" s="31"/>
      <c r="K1" s="31"/>
      <c r="L1" s="31"/>
      <c r="M1" s="31"/>
      <c r="N1" s="31"/>
      <c r="O1" s="31"/>
      <c r="P1" s="31"/>
    </row>
    <row r="2" customFormat="false" ht="14.25" hidden="false" customHeight="false" outlineLevel="0" collapsed="false">
      <c r="A2" s="39" t="s">
        <v>74</v>
      </c>
      <c r="B2" s="39" t="s">
        <v>75</v>
      </c>
      <c r="C2" s="39" t="s">
        <v>76</v>
      </c>
      <c r="D2" s="39" t="s">
        <v>77</v>
      </c>
      <c r="E2" s="39" t="s">
        <v>78</v>
      </c>
      <c r="F2" s="39" t="s">
        <v>79</v>
      </c>
      <c r="G2" s="39" t="s">
        <v>80</v>
      </c>
      <c r="H2" s="39" t="s">
        <v>81</v>
      </c>
      <c r="I2" s="39" t="s">
        <v>82</v>
      </c>
      <c r="J2" s="31" t="s">
        <v>83</v>
      </c>
      <c r="K2" s="31"/>
      <c r="L2" s="31"/>
      <c r="M2" s="31"/>
      <c r="N2" s="31"/>
      <c r="O2" s="31"/>
      <c r="P2" s="31"/>
    </row>
    <row r="3" customFormat="false" ht="27.75" hidden="false" customHeight="false" outlineLevel="0" collapsed="false">
      <c r="A3" s="39" t="s">
        <v>3186</v>
      </c>
      <c r="B3" s="39" t="s">
        <v>85</v>
      </c>
      <c r="C3" s="40" t="s">
        <v>3186</v>
      </c>
      <c r="D3" s="39" t="s">
        <v>3186</v>
      </c>
      <c r="E3" s="301"/>
      <c r="F3" s="39"/>
      <c r="G3" s="39" t="s">
        <v>91</v>
      </c>
      <c r="H3" s="39" t="s">
        <v>91</v>
      </c>
      <c r="I3" s="39" t="s">
        <v>91</v>
      </c>
      <c r="J3" s="31" t="s">
        <v>3187</v>
      </c>
      <c r="K3" s="31"/>
      <c r="L3" s="31"/>
      <c r="M3" s="31"/>
      <c r="N3" s="31"/>
      <c r="O3" s="31"/>
      <c r="P3" s="31"/>
    </row>
    <row r="4" customFormat="false" ht="14.25" hidden="false" customHeight="false" outlineLevel="0" collapsed="false">
      <c r="A4" s="30"/>
      <c r="B4" s="30"/>
      <c r="C4" s="210"/>
      <c r="D4" s="30"/>
      <c r="E4" s="35"/>
      <c r="F4" s="30"/>
      <c r="G4" s="43" t="s">
        <v>166</v>
      </c>
      <c r="H4" s="31"/>
      <c r="I4" s="60"/>
      <c r="J4" s="31"/>
      <c r="K4" s="31"/>
      <c r="L4" s="31"/>
      <c r="M4" s="31"/>
      <c r="N4" s="31"/>
      <c r="O4" s="31"/>
      <c r="P4" s="31"/>
    </row>
    <row r="5" customFormat="false" ht="14.25" hidden="false" customHeight="false" outlineLevel="0" collapsed="false">
      <c r="A5" s="30"/>
      <c r="B5" s="30"/>
      <c r="C5" s="44"/>
      <c r="D5" s="45"/>
      <c r="E5" s="209"/>
      <c r="F5" s="45"/>
      <c r="G5" s="47"/>
      <c r="H5" s="47"/>
      <c r="I5" s="302"/>
      <c r="J5" s="47"/>
      <c r="K5" s="47"/>
      <c r="L5" s="47"/>
      <c r="M5" s="47"/>
      <c r="N5" s="47"/>
      <c r="O5" s="47"/>
      <c r="P5" s="47"/>
    </row>
    <row r="6" customFormat="false" ht="14.2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90" t="s">
        <v>94</v>
      </c>
      <c r="B8" s="391" t="s">
        <v>95</v>
      </c>
      <c r="C8" s="391" t="s">
        <v>96</v>
      </c>
      <c r="D8" s="391" t="s">
        <v>97</v>
      </c>
      <c r="E8" s="391" t="s">
        <v>98</v>
      </c>
      <c r="F8" s="391" t="s">
        <v>99</v>
      </c>
      <c r="G8" s="391" t="s">
        <v>100</v>
      </c>
      <c r="H8" s="392" t="s">
        <v>101</v>
      </c>
      <c r="I8" s="392" t="s">
        <v>102</v>
      </c>
      <c r="J8" s="392" t="s">
        <v>105</v>
      </c>
      <c r="K8" s="392" t="s">
        <v>106</v>
      </c>
      <c r="L8" s="393" t="s">
        <v>107</v>
      </c>
      <c r="M8" s="89" t="s">
        <v>176</v>
      </c>
      <c r="N8" s="89" t="s">
        <v>109</v>
      </c>
      <c r="O8" s="394" t="s">
        <v>110</v>
      </c>
      <c r="P8" s="394" t="s">
        <v>85</v>
      </c>
      <c r="Q8" s="395" t="s">
        <v>111</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{7B505E4B-8A58-47A1-941A-B9B0156ADEF9}</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B505E4B-8A58-47A1-941A-B9B0156ADEF9}">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23" activeCellId="0" sqref="A23"/>
    </sheetView>
  </sheetViews>
  <sheetFormatPr defaultColWidth="11" defaultRowHeight="13.5" zeroHeight="false" outlineLevelRow="0" outlineLevelCol="0"/>
  <sheetData>
    <row r="22" customFormat="false" ht="13.5" hidden="false" customHeight="false" outlineLevel="0" collapsed="false">
      <c r="A22" s="396" t="s">
        <v>3188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6:AMJ2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N12" activeCellId="0" sqref="N12"/>
    </sheetView>
  </sheetViews>
  <sheetFormatPr defaultColWidth="11" defaultRowHeight="13.5" zeroHeight="false" outlineLevelRow="0" outlineLevelCol="0"/>
  <sheetData>
    <row r="6" s="135" customFormat="true" ht="100.5" hidden="false" customHeight="false" outlineLevel="0" collapsed="false">
      <c r="A6" s="126" t="n">
        <f aca="false">ROW()-8</f>
        <v>-2</v>
      </c>
      <c r="B6" s="127" t="s">
        <v>1314</v>
      </c>
      <c r="C6" s="139"/>
      <c r="D6" s="139"/>
      <c r="E6" s="139"/>
      <c r="F6" s="139"/>
      <c r="G6" s="139"/>
      <c r="H6" s="62" t="s">
        <v>1315</v>
      </c>
      <c r="I6" s="63"/>
      <c r="J6" s="63" t="s">
        <v>1316</v>
      </c>
      <c r="K6" s="62" t="s">
        <v>117</v>
      </c>
      <c r="L6" s="130" t="s">
        <v>119</v>
      </c>
      <c r="M6" s="140" t="s">
        <v>1316</v>
      </c>
      <c r="N6" s="397"/>
      <c r="O6" s="62"/>
      <c r="P6" s="65" t="s">
        <v>119</v>
      </c>
      <c r="Q6" s="65" t="s">
        <v>119</v>
      </c>
      <c r="R6" s="64" t="s">
        <v>163</v>
      </c>
      <c r="S6" s="66"/>
      <c r="AME6" s="67"/>
      <c r="AMF6" s="67"/>
      <c r="AMG6" s="67"/>
      <c r="AMH6" s="67"/>
      <c r="AMI6" s="67"/>
      <c r="AMJ6" s="67"/>
    </row>
    <row r="7" s="135" customFormat="true" ht="144" hidden="false" customHeight="false" outlineLevel="0" collapsed="false">
      <c r="A7" s="126" t="n">
        <f aca="false">ROW()-8</f>
        <v>-1</v>
      </c>
      <c r="B7" s="127"/>
      <c r="C7" s="127" t="s">
        <v>1325</v>
      </c>
      <c r="D7" s="127"/>
      <c r="E7" s="127"/>
      <c r="F7" s="127"/>
      <c r="G7" s="127"/>
      <c r="H7" s="136" t="s">
        <v>1326</v>
      </c>
      <c r="I7" s="63" t="s">
        <v>1327</v>
      </c>
      <c r="J7" s="62" t="s">
        <v>126</v>
      </c>
      <c r="K7" s="62" t="s">
        <v>163</v>
      </c>
      <c r="L7" s="130"/>
      <c r="M7" s="62" t="s">
        <v>118</v>
      </c>
      <c r="N7" s="64"/>
      <c r="O7" s="136"/>
      <c r="P7" s="65" t="s">
        <v>119</v>
      </c>
      <c r="Q7" s="65" t="s">
        <v>119</v>
      </c>
      <c r="R7" s="65"/>
      <c r="S7" s="66"/>
      <c r="AME7" s="67"/>
      <c r="AMF7" s="67"/>
      <c r="AMG7" s="67"/>
      <c r="AMH7" s="67"/>
      <c r="AMI7" s="67"/>
      <c r="AMJ7" s="67"/>
    </row>
    <row r="8" s="135" customFormat="true" ht="186.75" hidden="false" customHeight="false" outlineLevel="0" collapsed="false">
      <c r="A8" s="126" t="n">
        <f aca="false">ROW()-8</f>
        <v>0</v>
      </c>
      <c r="B8" s="127"/>
      <c r="C8" s="129" t="s">
        <v>1328</v>
      </c>
      <c r="D8" s="139"/>
      <c r="E8" s="133"/>
      <c r="F8" s="133"/>
      <c r="G8" s="133"/>
      <c r="H8" s="62" t="s">
        <v>1329</v>
      </c>
      <c r="I8" s="63"/>
      <c r="J8" s="63" t="s">
        <v>1330</v>
      </c>
      <c r="K8" s="62" t="s">
        <v>1247</v>
      </c>
      <c r="L8" s="130" t="s">
        <v>119</v>
      </c>
      <c r="M8" s="146" t="s">
        <v>1330</v>
      </c>
      <c r="N8" s="64"/>
      <c r="O8" s="147"/>
      <c r="P8" s="148" t="s">
        <v>119</v>
      </c>
      <c r="Q8" s="143" t="s">
        <v>119</v>
      </c>
      <c r="R8" s="65"/>
      <c r="S8" s="66"/>
      <c r="AME8" s="67"/>
      <c r="AMF8" s="67"/>
      <c r="AMG8" s="67"/>
      <c r="AMH8" s="67"/>
      <c r="AMI8" s="67"/>
      <c r="AMJ8" s="67"/>
    </row>
    <row r="9" s="135" customFormat="true" ht="100.5" hidden="false" customHeight="false" outlineLevel="0" collapsed="false">
      <c r="A9" s="126" t="n">
        <f aca="false">ROW()-8</f>
        <v>1</v>
      </c>
      <c r="B9" s="127"/>
      <c r="C9" s="129"/>
      <c r="D9" s="129" t="s">
        <v>1331</v>
      </c>
      <c r="E9" s="129"/>
      <c r="F9" s="129"/>
      <c r="G9" s="129"/>
      <c r="H9" s="62" t="s">
        <v>1332</v>
      </c>
      <c r="I9" s="63" t="s">
        <v>1333</v>
      </c>
      <c r="J9" s="63" t="s">
        <v>162</v>
      </c>
      <c r="K9" s="62" t="s">
        <v>117</v>
      </c>
      <c r="L9" s="130"/>
      <c r="M9" s="62" t="s">
        <v>118</v>
      </c>
      <c r="N9" s="64" t="s">
        <v>119</v>
      </c>
      <c r="O9" s="137" t="s">
        <v>1334</v>
      </c>
      <c r="P9" s="148" t="s">
        <v>119</v>
      </c>
      <c r="Q9" s="143" t="s">
        <v>119</v>
      </c>
      <c r="R9" s="65"/>
      <c r="S9" s="66"/>
      <c r="AME9" s="67"/>
      <c r="AMF9" s="67"/>
      <c r="AMG9" s="67"/>
      <c r="AMH9" s="67"/>
      <c r="AMI9" s="67"/>
      <c r="AMJ9" s="67"/>
    </row>
    <row r="10" s="135" customFormat="true" ht="86.25" hidden="false" customHeight="false" outlineLevel="0" collapsed="false">
      <c r="A10" s="126" t="n">
        <f aca="false">ROW()-8</f>
        <v>2</v>
      </c>
      <c r="B10" s="127"/>
      <c r="C10" s="129"/>
      <c r="D10" s="129" t="s">
        <v>1335</v>
      </c>
      <c r="E10" s="129"/>
      <c r="F10" s="129"/>
      <c r="G10" s="129"/>
      <c r="H10" s="62" t="s">
        <v>1336</v>
      </c>
      <c r="I10" s="63" t="s">
        <v>1337</v>
      </c>
      <c r="J10" s="63" t="s">
        <v>1338</v>
      </c>
      <c r="K10" s="62" t="s">
        <v>117</v>
      </c>
      <c r="L10" s="130"/>
      <c r="M10" s="62" t="s">
        <v>118</v>
      </c>
      <c r="N10" s="64"/>
      <c r="O10" s="137" t="s">
        <v>1339</v>
      </c>
      <c r="P10" s="148" t="s">
        <v>119</v>
      </c>
      <c r="Q10" s="143" t="s">
        <v>119</v>
      </c>
      <c r="R10" s="65"/>
      <c r="S10" s="66"/>
      <c r="AME10" s="67"/>
      <c r="AMF10" s="67"/>
      <c r="AMG10" s="67"/>
      <c r="AMH10" s="67"/>
      <c r="AMI10" s="67"/>
      <c r="AMJ10" s="67"/>
    </row>
    <row r="11" s="135" customFormat="true" ht="28.5" hidden="false" customHeight="false" outlineLevel="0" collapsed="false">
      <c r="A11" s="126" t="n">
        <f aca="false">ROW()-8</f>
        <v>3</v>
      </c>
      <c r="B11" s="127"/>
      <c r="C11" s="127" t="s">
        <v>1340</v>
      </c>
      <c r="D11" s="139"/>
      <c r="E11" s="139"/>
      <c r="F11" s="139"/>
      <c r="G11" s="139"/>
      <c r="H11" s="62"/>
      <c r="I11" s="63"/>
      <c r="J11" s="63" t="s">
        <v>1341</v>
      </c>
      <c r="K11" s="62" t="s">
        <v>163</v>
      </c>
      <c r="L11" s="130" t="s">
        <v>119</v>
      </c>
      <c r="M11" s="140" t="s">
        <v>1341</v>
      </c>
      <c r="N11" s="64"/>
      <c r="O11" s="62"/>
      <c r="P11" s="65" t="s">
        <v>119</v>
      </c>
      <c r="Q11" s="65" t="s">
        <v>119</v>
      </c>
      <c r="R11" s="65"/>
      <c r="S11" s="66"/>
      <c r="AME11" s="67"/>
      <c r="AMF11" s="67"/>
      <c r="AMG11" s="67"/>
      <c r="AMH11" s="67"/>
      <c r="AMI11" s="67"/>
      <c r="AMJ11" s="67"/>
    </row>
    <row r="12" s="135" customFormat="true" ht="409.5" hidden="false" customHeight="false" outlineLevel="0" collapsed="false">
      <c r="A12" s="126" t="n">
        <f aca="false">ROW()-8</f>
        <v>4</v>
      </c>
      <c r="B12" s="127"/>
      <c r="C12" s="127"/>
      <c r="D12" s="129" t="s">
        <v>1356</v>
      </c>
      <c r="E12" s="132"/>
      <c r="F12" s="69"/>
      <c r="G12" s="69"/>
      <c r="H12" s="63" t="s">
        <v>1357</v>
      </c>
      <c r="I12" s="63" t="s">
        <v>1358</v>
      </c>
      <c r="J12" s="63" t="s">
        <v>1359</v>
      </c>
      <c r="K12" s="62" t="s">
        <v>117</v>
      </c>
      <c r="L12" s="130"/>
      <c r="M12" s="62" t="s">
        <v>118</v>
      </c>
      <c r="N12" s="64"/>
      <c r="O12" s="62" t="s">
        <v>1360</v>
      </c>
      <c r="P12" s="65" t="s">
        <v>119</v>
      </c>
      <c r="Q12" s="65" t="s">
        <v>119</v>
      </c>
      <c r="R12" s="65"/>
      <c r="S12" s="66"/>
      <c r="AME12" s="67"/>
      <c r="AMF12" s="67"/>
      <c r="AMG12" s="67"/>
      <c r="AMH12" s="67"/>
      <c r="AMI12" s="67"/>
      <c r="AMJ12" s="67"/>
    </row>
    <row r="13" s="135" customFormat="true" ht="316.5" hidden="false" customHeight="false" outlineLevel="0" collapsed="false">
      <c r="A13" s="126" t="n">
        <f aca="false">ROW()-8</f>
        <v>5</v>
      </c>
      <c r="B13" s="127"/>
      <c r="C13" s="150"/>
      <c r="D13" s="129" t="s">
        <v>1361</v>
      </c>
      <c r="E13" s="133"/>
      <c r="F13" s="133"/>
      <c r="G13" s="133"/>
      <c r="H13" s="62" t="s">
        <v>1362</v>
      </c>
      <c r="I13" s="63" t="s">
        <v>1363</v>
      </c>
      <c r="J13" s="63" t="s">
        <v>1364</v>
      </c>
      <c r="K13" s="62" t="s">
        <v>163</v>
      </c>
      <c r="L13" s="130"/>
      <c r="M13" s="62" t="s">
        <v>118</v>
      </c>
      <c r="N13" s="64"/>
      <c r="O13" s="62"/>
      <c r="P13" s="65" t="s">
        <v>119</v>
      </c>
      <c r="Q13" s="65" t="s">
        <v>119</v>
      </c>
      <c r="R13" s="65"/>
      <c r="S13" s="66"/>
      <c r="AME13" s="151"/>
      <c r="AMF13" s="151"/>
      <c r="AMG13" s="151"/>
      <c r="AMH13" s="151"/>
      <c r="AMI13" s="151"/>
      <c r="AMJ13" s="151"/>
    </row>
    <row r="14" s="135" customFormat="true" ht="114.75" hidden="false" customHeight="false" outlineLevel="0" collapsed="false">
      <c r="A14" s="126" t="n">
        <f aca="false">ROW()-8</f>
        <v>6</v>
      </c>
      <c r="B14" s="127"/>
      <c r="C14" s="150"/>
      <c r="D14" s="129" t="s">
        <v>1365</v>
      </c>
      <c r="E14" s="139"/>
      <c r="F14" s="139"/>
      <c r="G14" s="139"/>
      <c r="H14" s="62" t="s">
        <v>1366</v>
      </c>
      <c r="I14" s="63"/>
      <c r="J14" s="63" t="s">
        <v>1367</v>
      </c>
      <c r="K14" s="62" t="s">
        <v>163</v>
      </c>
      <c r="L14" s="130" t="s">
        <v>119</v>
      </c>
      <c r="M14" s="140" t="s">
        <v>1367</v>
      </c>
      <c r="N14" s="64"/>
      <c r="O14" s="62"/>
      <c r="P14" s="65" t="s">
        <v>119</v>
      </c>
      <c r="Q14" s="65" t="s">
        <v>119</v>
      </c>
      <c r="R14" s="65"/>
      <c r="S14" s="66"/>
      <c r="AME14" s="151"/>
      <c r="AMF14" s="151"/>
      <c r="AMG14" s="151"/>
      <c r="AMH14" s="151"/>
      <c r="AMI14" s="151"/>
      <c r="AMJ14" s="151"/>
    </row>
    <row r="15" s="135" customFormat="true" ht="258.75" hidden="false" customHeight="false" outlineLevel="0" collapsed="false">
      <c r="A15" s="126" t="n">
        <f aca="false">ROW()-8</f>
        <v>7</v>
      </c>
      <c r="B15" s="127"/>
      <c r="C15" s="150"/>
      <c r="D15" s="129"/>
      <c r="E15" s="129" t="s">
        <v>1368</v>
      </c>
      <c r="F15" s="129"/>
      <c r="G15" s="129"/>
      <c r="H15" s="62" t="s">
        <v>1369</v>
      </c>
      <c r="I15" s="63" t="s">
        <v>1370</v>
      </c>
      <c r="J15" s="63" t="s">
        <v>1359</v>
      </c>
      <c r="K15" s="62" t="s">
        <v>117</v>
      </c>
      <c r="L15" s="130"/>
      <c r="M15" s="62" t="s">
        <v>118</v>
      </c>
      <c r="N15" s="64"/>
      <c r="O15" s="62" t="s">
        <v>1371</v>
      </c>
      <c r="P15" s="65" t="s">
        <v>119</v>
      </c>
      <c r="Q15" s="65" t="s">
        <v>119</v>
      </c>
      <c r="R15" s="65"/>
      <c r="S15" s="66"/>
      <c r="AME15" s="151"/>
      <c r="AMF15" s="151"/>
      <c r="AMG15" s="151"/>
      <c r="AMH15" s="151"/>
      <c r="AMI15" s="151"/>
      <c r="AMJ15" s="151"/>
    </row>
    <row r="16" s="135" customFormat="true" ht="42.75" hidden="false" customHeight="false" outlineLevel="0" collapsed="false">
      <c r="A16" s="126" t="n">
        <f aca="false">ROW()-8</f>
        <v>8</v>
      </c>
      <c r="B16" s="127"/>
      <c r="C16" s="127"/>
      <c r="D16" s="129"/>
      <c r="E16" s="129" t="s">
        <v>1372</v>
      </c>
      <c r="F16" s="129"/>
      <c r="G16" s="129"/>
      <c r="H16" s="62" t="s">
        <v>1373</v>
      </c>
      <c r="I16" s="63" t="s">
        <v>1374</v>
      </c>
      <c r="J16" s="63" t="s">
        <v>1281</v>
      </c>
      <c r="K16" s="62" t="s">
        <v>163</v>
      </c>
      <c r="L16" s="130"/>
      <c r="M16" s="62" t="s">
        <v>118</v>
      </c>
      <c r="N16" s="64"/>
      <c r="O16" s="62"/>
      <c r="P16" s="65" t="s">
        <v>119</v>
      </c>
      <c r="Q16" s="65" t="s">
        <v>119</v>
      </c>
      <c r="R16" s="65"/>
      <c r="S16" s="66"/>
      <c r="AME16" s="67"/>
      <c r="AMF16" s="67"/>
      <c r="AMG16" s="67"/>
      <c r="AMH16" s="67"/>
      <c r="AMI16" s="67"/>
      <c r="AMJ16" s="67"/>
    </row>
    <row r="17" s="135" customFormat="true" ht="42.75" hidden="false" customHeight="false" outlineLevel="0" collapsed="false">
      <c r="A17" s="126" t="n">
        <f aca="false">ROW()-8</f>
        <v>9</v>
      </c>
      <c r="B17" s="127"/>
      <c r="C17" s="127"/>
      <c r="D17" s="129"/>
      <c r="E17" s="129" t="s">
        <v>1345</v>
      </c>
      <c r="F17" s="129"/>
      <c r="G17" s="129"/>
      <c r="H17" s="62" t="s">
        <v>1375</v>
      </c>
      <c r="I17" s="63" t="s">
        <v>1376</v>
      </c>
      <c r="J17" s="63" t="s">
        <v>126</v>
      </c>
      <c r="K17" s="62" t="s">
        <v>163</v>
      </c>
      <c r="L17" s="130"/>
      <c r="M17" s="62" t="s">
        <v>118</v>
      </c>
      <c r="N17" s="64"/>
      <c r="O17" s="62"/>
      <c r="P17" s="65" t="s">
        <v>119</v>
      </c>
      <c r="Q17" s="65" t="s">
        <v>119</v>
      </c>
      <c r="R17" s="65"/>
      <c r="S17" s="66"/>
      <c r="AME17" s="67"/>
      <c r="AMF17" s="67"/>
      <c r="AMG17" s="67"/>
      <c r="AMH17" s="67"/>
      <c r="AMI17" s="67"/>
      <c r="AMJ17" s="67"/>
    </row>
    <row r="18" s="135" customFormat="true" ht="258.75" hidden="false" customHeight="false" outlineLevel="0" collapsed="false">
      <c r="A18" s="126" t="n">
        <f aca="false">ROW()-8</f>
        <v>10</v>
      </c>
      <c r="B18" s="127"/>
      <c r="C18" s="127"/>
      <c r="D18" s="129" t="s">
        <v>1383</v>
      </c>
      <c r="E18" s="127"/>
      <c r="F18" s="127"/>
      <c r="G18" s="127"/>
      <c r="H18" s="62" t="s">
        <v>1384</v>
      </c>
      <c r="I18" s="63" t="n">
        <v>59350</v>
      </c>
      <c r="J18" s="63" t="s">
        <v>1385</v>
      </c>
      <c r="K18" s="62" t="s">
        <v>163</v>
      </c>
      <c r="L18" s="130"/>
      <c r="M18" s="62" t="s">
        <v>118</v>
      </c>
      <c r="N18" s="64"/>
      <c r="O18" s="62" t="s">
        <v>1386</v>
      </c>
      <c r="P18" s="65" t="s">
        <v>119</v>
      </c>
      <c r="Q18" s="65" t="s">
        <v>119</v>
      </c>
      <c r="R18" s="65"/>
      <c r="S18" s="66"/>
      <c r="AME18" s="67"/>
      <c r="AMF18" s="67"/>
      <c r="AMG18" s="67"/>
      <c r="AMH18" s="67"/>
      <c r="AMI18" s="67"/>
      <c r="AMJ18" s="67"/>
    </row>
    <row r="19" s="135" customFormat="true" ht="409.5" hidden="false" customHeight="false" outlineLevel="0" collapsed="false">
      <c r="A19" s="126" t="n">
        <f aca="false">ROW()-8</f>
        <v>11</v>
      </c>
      <c r="B19" s="127"/>
      <c r="C19" s="127" t="s">
        <v>1391</v>
      </c>
      <c r="D19" s="139"/>
      <c r="E19" s="139"/>
      <c r="F19" s="139"/>
      <c r="G19" s="139"/>
      <c r="H19" s="62" t="s">
        <v>1392</v>
      </c>
      <c r="I19" s="63"/>
      <c r="J19" s="63" t="s">
        <v>1393</v>
      </c>
      <c r="K19" s="62" t="s">
        <v>163</v>
      </c>
      <c r="L19" s="130" t="s">
        <v>119</v>
      </c>
      <c r="M19" s="140" t="s">
        <v>1393</v>
      </c>
      <c r="N19" s="64"/>
      <c r="O19" s="62"/>
      <c r="P19" s="65" t="s">
        <v>119</v>
      </c>
      <c r="Q19" s="65" t="s">
        <v>119</v>
      </c>
      <c r="R19" s="65"/>
      <c r="S19" s="66"/>
      <c r="AME19" s="153"/>
      <c r="AMF19" s="153"/>
      <c r="AMG19" s="153"/>
      <c r="AMH19" s="153"/>
      <c r="AMI19" s="153"/>
      <c r="AMJ19" s="153"/>
    </row>
    <row r="20" s="135" customFormat="true" ht="72" hidden="false" customHeight="false" outlineLevel="0" collapsed="false">
      <c r="A20" s="126" t="n">
        <f aca="false">ROW()-8</f>
        <v>12</v>
      </c>
      <c r="B20" s="127"/>
      <c r="C20" s="127"/>
      <c r="D20" s="129" t="s">
        <v>1394</v>
      </c>
      <c r="E20" s="133"/>
      <c r="F20" s="133"/>
      <c r="G20" s="133"/>
      <c r="H20" s="62" t="s">
        <v>1395</v>
      </c>
      <c r="I20" s="63" t="s">
        <v>1396</v>
      </c>
      <c r="J20" s="63" t="s">
        <v>1397</v>
      </c>
      <c r="K20" s="62" t="s">
        <v>163</v>
      </c>
      <c r="L20" s="130"/>
      <c r="M20" s="152" t="s">
        <v>118</v>
      </c>
      <c r="N20" s="64"/>
      <c r="O20" s="62"/>
      <c r="P20" s="65" t="s">
        <v>119</v>
      </c>
      <c r="Q20" s="65" t="s">
        <v>119</v>
      </c>
      <c r="R20" s="65"/>
      <c r="S20" s="66"/>
      <c r="AME20" s="153"/>
      <c r="AMF20" s="153"/>
      <c r="AMG20" s="153"/>
      <c r="AMH20" s="153"/>
      <c r="AMI20" s="153"/>
      <c r="AMJ20" s="153"/>
    </row>
    <row r="21" s="135" customFormat="true" ht="100.5" hidden="false" customHeight="false" outlineLevel="0" collapsed="false">
      <c r="A21" s="126" t="n">
        <f aca="false">ROW()-8</f>
        <v>13</v>
      </c>
      <c r="B21" s="127"/>
      <c r="C21" s="127"/>
      <c r="D21" s="129" t="s">
        <v>1398</v>
      </c>
      <c r="E21" s="133"/>
      <c r="F21" s="133"/>
      <c r="G21" s="133"/>
      <c r="H21" s="62" t="s">
        <v>1399</v>
      </c>
      <c r="I21" s="63" t="s">
        <v>1400</v>
      </c>
      <c r="J21" s="63" t="s">
        <v>1401</v>
      </c>
      <c r="K21" s="62" t="s">
        <v>163</v>
      </c>
      <c r="L21" s="130"/>
      <c r="M21" s="152" t="s">
        <v>118</v>
      </c>
      <c r="N21" s="64"/>
      <c r="O21" s="62"/>
      <c r="P21" s="65" t="s">
        <v>119</v>
      </c>
      <c r="Q21" s="65" t="s">
        <v>119</v>
      </c>
      <c r="R21" s="65"/>
      <c r="S21" s="66"/>
      <c r="AME21" s="153"/>
      <c r="AMF21" s="153"/>
      <c r="AMG21" s="153"/>
      <c r="AMH21" s="153"/>
      <c r="AMI21" s="153"/>
      <c r="AMJ21" s="153"/>
    </row>
    <row r="22" s="135" customFormat="true" ht="129" hidden="false" customHeight="false" outlineLevel="0" collapsed="false">
      <c r="A22" s="126" t="n">
        <f aca="false">ROW()-8</f>
        <v>14</v>
      </c>
      <c r="B22" s="127"/>
      <c r="C22" s="150"/>
      <c r="D22" s="129" t="s">
        <v>1402</v>
      </c>
      <c r="E22" s="133"/>
      <c r="F22" s="133"/>
      <c r="G22" s="133"/>
      <c r="H22" s="62" t="s">
        <v>1403</v>
      </c>
      <c r="I22" s="63" t="s">
        <v>1404</v>
      </c>
      <c r="J22" s="63" t="s">
        <v>1405</v>
      </c>
      <c r="K22" s="62" t="s">
        <v>163</v>
      </c>
      <c r="L22" s="130"/>
      <c r="M22" s="152" t="s">
        <v>118</v>
      </c>
      <c r="N22" s="64"/>
      <c r="O22" s="62"/>
      <c r="P22" s="65" t="s">
        <v>119</v>
      </c>
      <c r="Q22" s="65" t="s">
        <v>119</v>
      </c>
      <c r="R22" s="65"/>
      <c r="S22" s="66"/>
      <c r="AME22" s="154"/>
      <c r="AMF22" s="154"/>
      <c r="AMG22" s="154"/>
      <c r="AMH22" s="154"/>
      <c r="AMI22" s="154"/>
      <c r="AMJ22" s="154"/>
    </row>
    <row r="23" s="135" customFormat="true" ht="114.75" hidden="false" customHeight="false" outlineLevel="0" collapsed="false">
      <c r="A23" s="126" t="n">
        <f aca="false">ROW()-8</f>
        <v>15</v>
      </c>
      <c r="B23" s="127"/>
      <c r="C23" s="150"/>
      <c r="D23" s="129" t="s">
        <v>1406</v>
      </c>
      <c r="E23" s="133"/>
      <c r="F23" s="133"/>
      <c r="G23" s="133"/>
      <c r="H23" s="62" t="s">
        <v>1407</v>
      </c>
      <c r="I23" s="63" t="s">
        <v>1408</v>
      </c>
      <c r="J23" s="63" t="s">
        <v>1409</v>
      </c>
      <c r="K23" s="62" t="s">
        <v>1247</v>
      </c>
      <c r="L23" s="130"/>
      <c r="M23" s="152" t="s">
        <v>118</v>
      </c>
      <c r="N23" s="64"/>
      <c r="O23" s="62"/>
      <c r="P23" s="65" t="s">
        <v>119</v>
      </c>
      <c r="Q23" s="65" t="s">
        <v>119</v>
      </c>
      <c r="R23" s="65"/>
      <c r="S23" s="66"/>
      <c r="AME23" s="154"/>
      <c r="AMF23" s="154"/>
      <c r="AMG23" s="154"/>
      <c r="AMH23" s="154"/>
      <c r="AMI23" s="154"/>
      <c r="AMJ23" s="154"/>
    </row>
    <row r="24" s="135" customFormat="true" ht="100.5" hidden="false" customHeight="false" outlineLevel="0" collapsed="false">
      <c r="A24" s="126" t="n">
        <f aca="false">ROW()-8</f>
        <v>16</v>
      </c>
      <c r="B24" s="127"/>
      <c r="C24" s="150"/>
      <c r="D24" s="129" t="s">
        <v>1410</v>
      </c>
      <c r="E24" s="133"/>
      <c r="F24" s="133"/>
      <c r="G24" s="133"/>
      <c r="H24" s="62" t="s">
        <v>1411</v>
      </c>
      <c r="I24" s="63" t="s">
        <v>1412</v>
      </c>
      <c r="J24" s="63" t="s">
        <v>1413</v>
      </c>
      <c r="K24" s="62" t="s">
        <v>163</v>
      </c>
      <c r="L24" s="130"/>
      <c r="M24" s="152" t="s">
        <v>118</v>
      </c>
      <c r="N24" s="64"/>
      <c r="O24" s="62"/>
      <c r="P24" s="65" t="s">
        <v>119</v>
      </c>
      <c r="Q24" s="65" t="s">
        <v>119</v>
      </c>
      <c r="R24" s="65"/>
      <c r="S24" s="66"/>
      <c r="AME24" s="154"/>
      <c r="AMF24" s="154"/>
      <c r="AMG24" s="154"/>
      <c r="AMH24" s="154"/>
      <c r="AMI24" s="154"/>
      <c r="AMJ24" s="154"/>
    </row>
    <row r="25" s="135" customFormat="true" ht="42.75" hidden="false" customHeight="false" outlineLevel="0" collapsed="false">
      <c r="A25" s="126" t="n">
        <f aca="false">ROW()-8</f>
        <v>17</v>
      </c>
      <c r="B25" s="127"/>
      <c r="C25" s="150"/>
      <c r="D25" s="129" t="s">
        <v>1414</v>
      </c>
      <c r="E25" s="133"/>
      <c r="F25" s="133"/>
      <c r="G25" s="133"/>
      <c r="H25" s="62" t="s">
        <v>1415</v>
      </c>
      <c r="I25" s="63" t="s">
        <v>1416</v>
      </c>
      <c r="J25" s="63" t="s">
        <v>1417</v>
      </c>
      <c r="K25" s="62" t="s">
        <v>163</v>
      </c>
      <c r="L25" s="130"/>
      <c r="M25" s="152" t="s">
        <v>118</v>
      </c>
      <c r="N25" s="64"/>
      <c r="O25" s="62"/>
      <c r="P25" s="65" t="s">
        <v>119</v>
      </c>
      <c r="Q25" s="65" t="s">
        <v>119</v>
      </c>
      <c r="R25" s="65"/>
      <c r="S25" s="66"/>
      <c r="AME25" s="155"/>
      <c r="AMF25" s="155"/>
      <c r="AMG25" s="155"/>
      <c r="AMH25" s="155"/>
      <c r="AMI25" s="155"/>
      <c r="AMJ25" s="155"/>
    </row>
    <row r="26" s="135" customFormat="true" ht="42.75" hidden="false" customHeight="false" outlineLevel="0" collapsed="false">
      <c r="A26" s="126" t="n">
        <f aca="false">ROW()-8</f>
        <v>18</v>
      </c>
      <c r="B26" s="127"/>
      <c r="C26" s="156"/>
      <c r="D26" s="129" t="s">
        <v>1418</v>
      </c>
      <c r="E26" s="133"/>
      <c r="F26" s="133"/>
      <c r="G26" s="133"/>
      <c r="H26" s="62" t="s">
        <v>1419</v>
      </c>
      <c r="I26" s="62" t="s">
        <v>1419</v>
      </c>
      <c r="J26" s="63" t="s">
        <v>1420</v>
      </c>
      <c r="K26" s="62" t="s">
        <v>163</v>
      </c>
      <c r="L26" s="130"/>
      <c r="M26" s="152" t="s">
        <v>118</v>
      </c>
      <c r="N26" s="64"/>
      <c r="O26" s="62"/>
      <c r="P26" s="65" t="s">
        <v>119</v>
      </c>
      <c r="Q26" s="65" t="s">
        <v>119</v>
      </c>
      <c r="R26" s="65"/>
      <c r="S26" s="66"/>
      <c r="AME26" s="157"/>
      <c r="AMF26" s="157"/>
      <c r="AMG26" s="157"/>
      <c r="AMH26" s="157"/>
      <c r="AMI26" s="157"/>
      <c r="AMJ26" s="157"/>
    </row>
    <row r="27" s="135" customFormat="true" ht="172.5" hidden="false" customHeight="false" outlineLevel="0" collapsed="false">
      <c r="A27" s="126" t="n">
        <f aca="false">ROW()-8</f>
        <v>19</v>
      </c>
      <c r="B27" s="127"/>
      <c r="C27" s="156"/>
      <c r="D27" s="129" t="s">
        <v>1421</v>
      </c>
      <c r="E27" s="133"/>
      <c r="F27" s="133"/>
      <c r="G27" s="133"/>
      <c r="H27" s="62" t="s">
        <v>1422</v>
      </c>
      <c r="I27" s="63" t="s">
        <v>1423</v>
      </c>
      <c r="J27" s="63" t="s">
        <v>1424</v>
      </c>
      <c r="K27" s="62" t="s">
        <v>163</v>
      </c>
      <c r="L27" s="130"/>
      <c r="M27" s="152" t="s">
        <v>118</v>
      </c>
      <c r="N27" s="64"/>
      <c r="O27" s="62"/>
      <c r="P27" s="65" t="s">
        <v>119</v>
      </c>
      <c r="Q27" s="65" t="s">
        <v>119</v>
      </c>
      <c r="R27" s="65"/>
      <c r="S27" s="66"/>
      <c r="AME27" s="153"/>
      <c r="AMF27" s="153"/>
      <c r="AMG27" s="153"/>
      <c r="AMH27" s="153"/>
      <c r="AMI27" s="153"/>
      <c r="AMJ27" s="153"/>
    </row>
    <row r="28" s="135" customFormat="true" ht="12.75" hidden="false" customHeight="true" outlineLevel="0" collapsed="false">
      <c r="A28" s="126" t="n">
        <f aca="false">ROW()-8</f>
        <v>20</v>
      </c>
      <c r="B28" s="127"/>
      <c r="C28" s="156"/>
      <c r="D28" s="129" t="s">
        <v>1425</v>
      </c>
      <c r="E28" s="129"/>
      <c r="F28" s="129"/>
      <c r="G28" s="129"/>
      <c r="H28" s="62" t="s">
        <v>1426</v>
      </c>
      <c r="I28" s="158" t="s">
        <v>1427</v>
      </c>
      <c r="J28" s="63" t="s">
        <v>1428</v>
      </c>
      <c r="K28" s="62" t="s">
        <v>163</v>
      </c>
      <c r="L28" s="130"/>
      <c r="M28" s="62" t="s">
        <v>118</v>
      </c>
      <c r="N28" s="64"/>
      <c r="O28" s="62" t="s">
        <v>1429</v>
      </c>
      <c r="P28" s="65" t="s">
        <v>119</v>
      </c>
      <c r="Q28" s="65" t="s">
        <v>119</v>
      </c>
      <c r="R28" s="65"/>
      <c r="S28" s="66"/>
      <c r="AME28" s="153"/>
      <c r="AMF28" s="153"/>
      <c r="AMG28" s="153"/>
      <c r="AMH28" s="153"/>
      <c r="AMI28" s="153"/>
      <c r="AMJ28" s="153"/>
    </row>
    <row r="29" s="135" customFormat="true" ht="409.5" hidden="false" customHeight="false" outlineLevel="0" collapsed="false">
      <c r="A29" s="126" t="n">
        <f aca="false">ROW()-8</f>
        <v>21</v>
      </c>
      <c r="B29" s="127"/>
      <c r="C29" s="127" t="s">
        <v>1492</v>
      </c>
      <c r="D29" s="127"/>
      <c r="E29" s="127"/>
      <c r="F29" s="127"/>
      <c r="G29" s="127"/>
      <c r="H29" s="62" t="s">
        <v>1493</v>
      </c>
      <c r="I29" s="63" t="s">
        <v>1494</v>
      </c>
      <c r="J29" s="63" t="s">
        <v>1313</v>
      </c>
      <c r="K29" s="62" t="s">
        <v>163</v>
      </c>
      <c r="L29" s="130"/>
      <c r="M29" s="62" t="s">
        <v>118</v>
      </c>
      <c r="N29" s="64"/>
      <c r="O29" s="136"/>
      <c r="P29" s="65" t="s">
        <v>119</v>
      </c>
      <c r="Q29" s="65" t="s">
        <v>119</v>
      </c>
      <c r="R29" s="65"/>
      <c r="S29" s="66"/>
      <c r="AME29" s="67"/>
      <c r="AMF29" s="67"/>
      <c r="AMG29" s="67"/>
      <c r="AMH29" s="67"/>
      <c r="AMI29" s="67"/>
      <c r="AMJ29" s="67"/>
    </row>
  </sheetData>
  <conditionalFormatting sqref="A6:G6 B7:G7 A7:A17 B8:C8 D8:D10 E9:G10 B11:G17 A18:G29 B9:B10">
    <cfRule type="expression" priority="2" aboveAverage="0" equalAverage="0" bottom="0" percent="0" rank="0" text="" dxfId="4287">
      <formula>OR(#ref!="X",#ref!="X")</formula>
    </cfRule>
  </conditionalFormatting>
  <conditionalFormatting sqref="A6:G6 B7:G7 A7:A17 B8:D8 D8:D10 B9:B10 E9:G10 B11:G17 A18:G29">
    <cfRule type="expression" priority="3" aboveAverage="0" equalAverage="0" bottom="0" percent="0" rank="0" text="" dxfId="4288">
      <formula>AND(#ref!=1,#ref!=1)</formula>
    </cfRule>
    <cfRule type="expression" priority="4" aboveAverage="0" equalAverage="0" bottom="0" percent="0" rank="0" text="" dxfId="4289">
      <formula>#ref!=1</formula>
    </cfRule>
  </conditionalFormatting>
  <conditionalFormatting sqref="B9:C10">
    <cfRule type="expression" priority="5" aboveAverage="0" equalAverage="0" bottom="0" percent="0" rank="0" text="" dxfId="4290">
      <formula>#ref!=1</formula>
    </cfRule>
  </conditionalFormatting>
  <conditionalFormatting sqref="B7:G8 B11:G17 A18:G29 A6:G6 D8:D10 E9:G10 A7:A17">
    <cfRule type="expression" priority="6" aboveAverage="0" equalAverage="0" bottom="0" percent="0" rank="0" text="" dxfId="4291">
      <formula>#ref!=1</formula>
    </cfRule>
  </conditionalFormatting>
  <conditionalFormatting sqref="C6:C7 C11:C29">
    <cfRule type="expression" priority="7" aboveAverage="0" equalAverage="0" bottom="0" percent="0" rank="0" text="" dxfId="4292">
      <formula>AND($L6="X",$B6&lt;&gt;"")</formula>
    </cfRule>
  </conditionalFormatting>
  <conditionalFormatting sqref="C8 D8:D10">
    <cfRule type="expression" priority="8" aboveAverage="0" equalAverage="0" bottom="0" percent="0" rank="0" text="" dxfId="4293">
      <formula>AND($L8="X",OR($B8&lt;&gt;"",#ref!&lt;&gt;""))</formula>
    </cfRule>
  </conditionalFormatting>
  <conditionalFormatting sqref="C9:C10">
    <cfRule type="expression" priority="9" aboveAverage="0" equalAverage="0" bottom="0" percent="0" rank="0" text="" dxfId="4294">
      <formula>AND($L9="X",OR(#ref!&lt;&gt;"",$B9&lt;&gt;""))</formula>
    </cfRule>
    <cfRule type="expression" priority="10" aboveAverage="0" equalAverage="0" bottom="0" percent="0" rank="0" text="" dxfId="4295">
      <formula>OR(#ref!="X",#ref!="X")</formula>
    </cfRule>
    <cfRule type="expression" priority="11" aboveAverage="0" equalAverage="0" bottom="0" percent="0" rank="0" text="" dxfId="4296">
      <formula>AND(#ref!=1,#ref!=1)</formula>
    </cfRule>
    <cfRule type="expression" priority="12" aboveAverage="0" equalAverage="0" bottom="0" percent="0" rank="0" text="" dxfId="4297">
      <formula>#ref!=1</formula>
    </cfRule>
  </conditionalFormatting>
  <conditionalFormatting sqref="C6:D6 F6:G6">
    <cfRule type="expression" priority="13" aboveAverage="0" equalAverage="0" bottom="0" percent="0" rank="0" text="" dxfId="4298">
      <formula>AND($L6="X",OR($B6&lt;&gt;"",#ref!&lt;&gt;"",$C6&lt;&gt;""))</formula>
    </cfRule>
    <cfRule type="expression" priority="14" aboveAverage="0" equalAverage="0" bottom="0" percent="0" rank="0" text="" dxfId="4299">
      <formula>AND($L6="X",OR($B6&lt;&gt;"",$C6&lt;&gt;"",$D6&lt;&gt;""))</formula>
    </cfRule>
    <cfRule type="expression" priority="15" aboveAverage="0" equalAverage="0" bottom="0" percent="0" rank="0" text="" dxfId="4300">
      <formula>AND($L6="X",OR($B6&lt;&gt;"",$C6&lt;&gt;"",$D6&lt;&gt;"",$E6&lt;&gt;""))</formula>
    </cfRule>
    <cfRule type="expression" priority="16" aboveAverage="0" equalAverage="0" bottom="0" percent="0" rank="0" text="" dxfId="4301">
      <formula>AND($L6="X",OR($B6&lt;&gt;"",$C6&lt;&gt;"",$E6&lt;&gt;"",#ref!&lt;&gt;""))</formula>
    </cfRule>
    <cfRule type="expression" priority="17" aboveAverage="0" equalAverage="0" bottom="0" percent="0" rank="0" text="" dxfId="4302">
      <formula>#ref!=1</formula>
    </cfRule>
    <cfRule type="expression" priority="18" aboveAverage="0" equalAverage="0" bottom="0" percent="0" rank="0" text="" dxfId="4303">
      <formula>AND($L6="X",OR($B6&lt;&gt;"",$C6&lt;&gt;"",$D6&lt;&gt;""))</formula>
    </cfRule>
    <cfRule type="expression" priority="19" aboveAverage="0" equalAverage="0" bottom="0" percent="0" rank="0" text="" dxfId="4304">
      <formula>AND($L6="X",OR($B6&lt;&gt;"",$C6&lt;&gt;"",$D6&lt;&gt;"",$E6&lt;&gt;""))</formula>
    </cfRule>
    <cfRule type="expression" priority="20" aboveAverage="0" equalAverage="0" bottom="0" percent="0" rank="0" text="" dxfId="4305">
      <formula>AND(#ref!=1,#ref!=1)</formula>
    </cfRule>
    <cfRule type="expression" priority="21" aboveAverage="0" equalAverage="0" bottom="0" percent="0" rank="0" text="" dxfId="4306">
      <formula>#ref!=1</formula>
    </cfRule>
    <cfRule type="expression" priority="22" aboveAverage="0" equalAverage="0" bottom="0" percent="0" rank="0" text="" dxfId="4307">
      <formula>#ref!=1</formula>
    </cfRule>
    <cfRule type="expression" priority="23" aboveAverage="0" equalAverage="0" bottom="0" percent="0" rank="0" text="" dxfId="4308">
      <formula>AND($L6="X",OR($B6&lt;&gt;"",$C6&lt;&gt;"",$E6&lt;&gt;"",#ref!&lt;&gt;""))</formula>
    </cfRule>
    <cfRule type="expression" priority="24" aboveAverage="0" equalAverage="0" bottom="0" percent="0" rank="0" text="" dxfId="4309">
      <formula>AND($L6="X",OR($B6&lt;&gt;"",$C6&lt;&gt;""))</formula>
    </cfRule>
    <cfRule type="expression" priority="25" aboveAverage="0" equalAverage="0" bottom="0" percent="0" rank="0" text="" dxfId="4310">
      <formula>AND($L6="X",OR($B6&lt;&gt;"",$C6&lt;&gt;"",$D6&lt;&gt;"",$E6&lt;&gt;""))</formula>
    </cfRule>
    <cfRule type="expression" priority="26" aboveAverage="0" equalAverage="0" bottom="0" percent="0" rank="0" text="" dxfId="4311">
      <formula>AND(#ref!=1,#ref!=1)</formula>
    </cfRule>
    <cfRule type="expression" priority="27" aboveAverage="0" equalAverage="0" bottom="0" percent="0" rank="0" text="" dxfId="4312">
      <formula>#ref!=1</formula>
    </cfRule>
    <cfRule type="expression" priority="28" aboveAverage="0" equalAverage="0" bottom="0" percent="0" rank="0" text="" dxfId="4313">
      <formula>#ref!=1</formula>
    </cfRule>
    <cfRule type="expression" priority="29" aboveAverage="0" equalAverage="0" bottom="0" percent="0" rank="0" text="" dxfId="4314">
      <formula>AND($L6="X",OR($B6&lt;&gt;"",$C6&lt;&gt;"",$E6&lt;&gt;"",#ref!&lt;&gt;""))</formula>
    </cfRule>
    <cfRule type="expression" priority="30" aboveAverage="0" equalAverage="0" bottom="0" percent="0" rank="0" text="" dxfId="4315">
      <formula>#ref!=1</formula>
    </cfRule>
    <cfRule type="expression" priority="31" aboveAverage="0" equalAverage="0" bottom="0" percent="0" rank="0" text="" dxfId="4316">
      <formula>AND($L6="X",OR($B6&lt;&gt;"",$C6&lt;&gt;"",$D6&lt;&gt;""))</formula>
    </cfRule>
    <cfRule type="expression" priority="32" aboveAverage="0" equalAverage="0" bottom="0" percent="0" rank="0" text="" dxfId="4317">
      <formula>AND($L6="X",OR($B6&lt;&gt;"",$C6&lt;&gt;"",$D6&lt;&gt;"",$E6&lt;&gt;""))</formula>
    </cfRule>
    <cfRule type="expression" priority="33" aboveAverage="0" equalAverage="0" bottom="0" percent="0" rank="0" text="" dxfId="4318">
      <formula>AND(#ref!=1,#ref!=1)</formula>
    </cfRule>
    <cfRule type="expression" priority="34" aboveAverage="0" equalAverage="0" bottom="0" percent="0" rank="0" text="" dxfId="4319">
      <formula>#ref!=1</formula>
    </cfRule>
    <cfRule type="expression" priority="35" aboveAverage="0" equalAverage="0" bottom="0" percent="0" rank="0" text="" dxfId="4320">
      <formula>AND($L6="X",OR($B6&lt;&gt;"",$C6&lt;&gt;"",$E6&lt;&gt;"",#ref!&lt;&gt;""))</formula>
    </cfRule>
    <cfRule type="expression" priority="36" aboveAverage="0" equalAverage="0" bottom="0" percent="0" rank="0" text="" dxfId="4321">
      <formula>AND($L6="X",OR($B6&lt;&gt;"",$C6&lt;&gt;""))</formula>
    </cfRule>
    <cfRule type="expression" priority="37" aboveAverage="0" equalAverage="0" bottom="0" percent="0" rank="0" text="" dxfId="4322">
      <formula>AND($L6="X",$B6&lt;&gt;"")</formula>
    </cfRule>
    <cfRule type="expression" priority="38" aboveAverage="0" equalAverage="0" bottom="0" percent="0" rank="0" text="" dxfId="4323">
      <formula>AND($L6="X",OR($B6&lt;&gt;"",$C6&lt;&gt;"",$D6&lt;&gt;""))</formula>
    </cfRule>
  </conditionalFormatting>
  <conditionalFormatting sqref="C6:E6">
    <cfRule type="expression" priority="39" aboveAverage="0" equalAverage="0" bottom="0" percent="0" rank="0" text="" dxfId="4324">
      <formula>AND($L6="X",OR($B6&lt;&gt;"",$C6&lt;&gt;""))</formula>
    </cfRule>
  </conditionalFormatting>
  <conditionalFormatting sqref="C6:G6 D11:G11 E14:G14 D19:G19">
    <cfRule type="expression" priority="40" aboveAverage="0" equalAverage="0" bottom="0" percent="0" rank="0" text="" dxfId="4325">
      <formula>AND($L6="X",OR($B6&lt;&gt;"",$C6&lt;&gt;"",$D6&lt;&gt;"",$E6&lt;&gt;""))</formula>
    </cfRule>
    <cfRule type="expression" priority="41" aboveAverage="0" equalAverage="0" bottom="0" percent="0" rank="0" text="" dxfId="4326">
      <formula>AND($L6="X",OR($B6&lt;&gt;"",#ref!&lt;&gt;"",$C6&lt;&gt;"",$D6&lt;&gt;""))</formula>
    </cfRule>
    <cfRule type="expression" priority="42" aboveAverage="0" equalAverage="0" bottom="0" percent="0" rank="0" text="" dxfId="4327">
      <formula>AND(#ref!=1,#ref!=1)</formula>
    </cfRule>
    <cfRule type="expression" priority="43" aboveAverage="0" equalAverage="0" bottom="0" percent="0" rank="0" text="" dxfId="4328">
      <formula>#ref!=1</formula>
    </cfRule>
    <cfRule type="expression" priority="44" aboveAverage="0" equalAverage="0" bottom="0" percent="0" rank="0" text="" dxfId="4329">
      <formula>#ref!=1</formula>
    </cfRule>
    <cfRule type="expression" priority="45" aboveAverage="0" equalAverage="0" bottom="0" percent="0" rank="0" text="" dxfId="4330">
      <formula>AND($L6="X",OR($B6&lt;&gt;"",$C6&lt;&gt;""))</formula>
    </cfRule>
    <cfRule type="expression" priority="46" aboveAverage="0" equalAverage="0" bottom="0" percent="0" rank="0" text="" dxfId="4331">
      <formula>AND(#ref!=1,#ref!=1)</formula>
    </cfRule>
    <cfRule type="expression" priority="47" aboveAverage="0" equalAverage="0" bottom="0" percent="0" rank="0" text="" dxfId="4332">
      <formula>#ref!=1</formula>
    </cfRule>
    <cfRule type="expression" priority="48" aboveAverage="0" equalAverage="0" bottom="0" percent="0" rank="0" text="" dxfId="4333">
      <formula>#ref!=1</formula>
    </cfRule>
    <cfRule type="expression" priority="49" aboveAverage="0" equalAverage="0" bottom="0" percent="0" rank="0" text="" dxfId="4334">
      <formula>AND($L6="X",OR($B6&lt;&gt;"",$C6&lt;&gt;""))</formula>
    </cfRule>
    <cfRule type="expression" priority="50" aboveAverage="0" equalAverage="0" bottom="0" percent="0" rank="0" text="" dxfId="4335">
      <formula>AND(#ref!=1,#ref!=1)</formula>
    </cfRule>
    <cfRule type="expression" priority="51" aboveAverage="0" equalAverage="0" bottom="0" percent="0" rank="0" text="" dxfId="4336">
      <formula>#ref!=1</formula>
    </cfRule>
    <cfRule type="expression" priority="52" aboveAverage="0" equalAverage="0" bottom="0" percent="0" rank="0" text="" dxfId="4337">
      <formula>#ref!=1</formula>
    </cfRule>
    <cfRule type="expression" priority="53" aboveAverage="0" equalAverage="0" bottom="0" percent="0" rank="0" text="" dxfId="4338">
      <formula>AND($L6="X",OR($B6&lt;&gt;"",$C6&lt;&gt;""))</formula>
    </cfRule>
    <cfRule type="expression" priority="54" aboveAverage="0" equalAverage="0" bottom="0" percent="0" rank="0" text="" dxfId="4339">
      <formula>AND(#ref!=1,#ref!=1)</formula>
    </cfRule>
    <cfRule type="expression" priority="55" aboveAverage="0" equalAverage="0" bottom="0" percent="0" rank="0" text="" dxfId="4340">
      <formula>#ref!=1</formula>
    </cfRule>
    <cfRule type="expression" priority="56" aboveAverage="0" equalAverage="0" bottom="0" percent="0" rank="0" text="" dxfId="4341">
      <formula>#ref!=1</formula>
    </cfRule>
    <cfRule type="expression" priority="57" aboveAverage="0" equalAverage="0" bottom="0" percent="0" rank="0" text="" dxfId="4342">
      <formula>AND($L6="X",OR($B6&lt;&gt;"",$C6&lt;&gt;""))</formula>
    </cfRule>
    <cfRule type="expression" priority="58" aboveAverage="0" equalAverage="0" bottom="0" percent="0" rank="0" text="" dxfId="4343">
      <formula>AND(#ref!=1,#ref!=1)</formula>
    </cfRule>
    <cfRule type="expression" priority="59" aboveAverage="0" equalAverage="0" bottom="0" percent="0" rank="0" text="" dxfId="4344">
      <formula>#ref!=1</formula>
    </cfRule>
    <cfRule type="expression" priority="60" aboveAverage="0" equalAverage="0" bottom="0" percent="0" rank="0" text="" dxfId="4345">
      <formula>#ref!=1</formula>
    </cfRule>
    <cfRule type="expression" priority="61" aboveAverage="0" equalAverage="0" bottom="0" percent="0" rank="0" text="" dxfId="4346">
      <formula>AND($L6="X",OR($B6&lt;&gt;"",$C6&lt;&gt;""))</formula>
    </cfRule>
    <cfRule type="expression" priority="62" aboveAverage="0" equalAverage="0" bottom="0" percent="0" rank="0" text="" dxfId="4347">
      <formula>AND(#ref!=1,#ref!=1)</formula>
    </cfRule>
    <cfRule type="expression" priority="63" aboveAverage="0" equalAverage="0" bottom="0" percent="0" rank="0" text="" dxfId="4348">
      <formula>#ref!=1</formula>
    </cfRule>
    <cfRule type="expression" priority="64" aboveAverage="0" equalAverage="0" bottom="0" percent="0" rank="0" text="" dxfId="4349">
      <formula>#ref!=1</formula>
    </cfRule>
    <cfRule type="expression" priority="65" aboveAverage="0" equalAverage="0" bottom="0" percent="0" rank="0" text="" dxfId="4350">
      <formula>AND($L6="X",OR($B6&lt;&gt;"",$C6&lt;&gt;""))</formula>
    </cfRule>
    <cfRule type="expression" priority="66" aboveAverage="0" equalAverage="0" bottom="0" percent="0" rank="0" text="" dxfId="4351">
      <formula>AND(#ref!=1,#ref!=1)</formula>
    </cfRule>
    <cfRule type="expression" priority="67" aboveAverage="0" equalAverage="0" bottom="0" percent="0" rank="0" text="" dxfId="4352">
      <formula>#ref!=1</formula>
    </cfRule>
    <cfRule type="expression" priority="68" aboveAverage="0" equalAverage="0" bottom="0" percent="0" rank="0" text="" dxfId="4353">
      <formula>#ref!=1</formula>
    </cfRule>
    <cfRule type="expression" priority="69" aboveAverage="0" equalAverage="0" bottom="0" percent="0" rank="0" text="" dxfId="4354">
      <formula>OR(#ref!="X",#ref!="X")</formula>
    </cfRule>
    <cfRule type="expression" priority="70" aboveAverage="0" equalAverage="0" bottom="0" percent="0" rank="0" text="" dxfId="4355">
      <formula>AND(#ref!=1,#ref!=1)</formula>
    </cfRule>
    <cfRule type="expression" priority="71" aboveAverage="0" equalAverage="0" bottom="0" percent="0" rank="0" text="" dxfId="4356">
      <formula>#ref!=1</formula>
    </cfRule>
    <cfRule type="expression" priority="72" aboveAverage="0" equalAverage="0" bottom="0" percent="0" rank="0" text="" dxfId="4357">
      <formula>#ref!=1</formula>
    </cfRule>
    <cfRule type="expression" priority="73" aboveAverage="0" equalAverage="0" bottom="0" percent="0" rank="0" text="" dxfId="4358">
      <formula>OR(#ref!="X",#ref!="X")</formula>
    </cfRule>
    <cfRule type="expression" priority="74" aboveAverage="0" equalAverage="0" bottom="0" percent="0" rank="0" text="" dxfId="4359">
      <formula>AND(#ref!=1,#ref!=1)</formula>
    </cfRule>
    <cfRule type="expression" priority="75" aboveAverage="0" equalAverage="0" bottom="0" percent="0" rank="0" text="" dxfId="4360">
      <formula>#ref!=1</formula>
    </cfRule>
    <cfRule type="expression" priority="76" aboveAverage="0" equalAverage="0" bottom="0" percent="0" rank="0" text="" dxfId="4361">
      <formula>AND(#ref!=1,#ref!=1)</formula>
    </cfRule>
    <cfRule type="expression" priority="77" aboveAverage="0" equalAverage="0" bottom="0" percent="0" rank="0" text="" dxfId="4362">
      <formula>#ref!=1</formula>
    </cfRule>
  </conditionalFormatting>
  <conditionalFormatting sqref="D7:D8">
    <cfRule type="expression" priority="78" aboveAverage="0" equalAverage="0" bottom="0" percent="0" rank="0" text="" dxfId="4363">
      <formula>AND($L7="X",OR($B7&lt;&gt;"",$C7&lt;&gt;""))</formula>
    </cfRule>
  </conditionalFormatting>
  <conditionalFormatting sqref="D8">
    <cfRule type="expression" priority="79" aboveAverage="0" equalAverage="0" bottom="0" percent="0" rank="0" text="" dxfId="4364">
      <formula>AND($L8="X",OR($B8&lt;&gt;"",$C8&lt;&gt;"",$D8&lt;&gt;"",$E8&lt;&gt;""))</formula>
    </cfRule>
    <cfRule type="expression" priority="80" aboveAverage="0" equalAverage="0" bottom="0" percent="0" rank="0" text="" dxfId="4365">
      <formula>AND($L8="X",OR($B8&lt;&gt;"",#ref!&lt;&gt;"",$C8&lt;&gt;"",$D8&lt;&gt;""))</formula>
    </cfRule>
    <cfRule type="expression" priority="81" aboveAverage="0" equalAverage="0" bottom="0" percent="0" rank="0" text="" dxfId="4366">
      <formula>AND(#ref!=1,#ref!=1)</formula>
    </cfRule>
    <cfRule type="expression" priority="82" aboveAverage="0" equalAverage="0" bottom="0" percent="0" rank="0" text="" dxfId="4367">
      <formula>#ref!=1</formula>
    </cfRule>
    <cfRule type="expression" priority="83" aboveAverage="0" equalAverage="0" bottom="0" percent="0" rank="0" text="" dxfId="4368">
      <formula>#ref!=1</formula>
    </cfRule>
    <cfRule type="expression" priority="84" aboveAverage="0" equalAverage="0" bottom="0" percent="0" rank="0" text="" dxfId="4369">
      <formula>AND($L8="X",OR($B8&lt;&gt;"",$C8&lt;&gt;""))</formula>
    </cfRule>
    <cfRule type="expression" priority="85" aboveAverage="0" equalAverage="0" bottom="0" percent="0" rank="0" text="" dxfId="4370">
      <formula>AND(#ref!=1,#ref!=1)</formula>
    </cfRule>
    <cfRule type="expression" priority="86" aboveAverage="0" equalAverage="0" bottom="0" percent="0" rank="0" text="" dxfId="4371">
      <formula>#ref!=1</formula>
    </cfRule>
    <cfRule type="expression" priority="87" aboveAverage="0" equalAverage="0" bottom="0" percent="0" rank="0" text="" dxfId="4372">
      <formula>#ref!=1</formula>
    </cfRule>
    <cfRule type="expression" priority="88" aboveAverage="0" equalAverage="0" bottom="0" percent="0" rank="0" text="" dxfId="4373">
      <formula>AND($L8="X",OR($B8&lt;&gt;"",$C8&lt;&gt;""))</formula>
    </cfRule>
    <cfRule type="expression" priority="89" aboveAverage="0" equalAverage="0" bottom="0" percent="0" rank="0" text="" dxfId="4374">
      <formula>AND(#ref!=1,#ref!=1)</formula>
    </cfRule>
    <cfRule type="expression" priority="90" aboveAverage="0" equalAverage="0" bottom="0" percent="0" rank="0" text="" dxfId="4375">
      <formula>#ref!=1</formula>
    </cfRule>
    <cfRule type="expression" priority="91" aboveAverage="0" equalAverage="0" bottom="0" percent="0" rank="0" text="" dxfId="4376">
      <formula>#ref!=1</formula>
    </cfRule>
    <cfRule type="expression" priority="92" aboveAverage="0" equalAverage="0" bottom="0" percent="0" rank="0" text="" dxfId="4377">
      <formula>AND($L8="X",OR($B8&lt;&gt;"",$C8&lt;&gt;""))</formula>
    </cfRule>
    <cfRule type="expression" priority="93" aboveAverage="0" equalAverage="0" bottom="0" percent="0" rank="0" text="" dxfId="4378">
      <formula>AND(#ref!=1,#ref!=1)</formula>
    </cfRule>
    <cfRule type="expression" priority="94" aboveAverage="0" equalAverage="0" bottom="0" percent="0" rank="0" text="" dxfId="4379">
      <formula>#ref!=1</formula>
    </cfRule>
    <cfRule type="expression" priority="95" aboveAverage="0" equalAverage="0" bottom="0" percent="0" rank="0" text="" dxfId="4380">
      <formula>#ref!=1</formula>
    </cfRule>
    <cfRule type="expression" priority="96" aboveAverage="0" equalAverage="0" bottom="0" percent="0" rank="0" text="" dxfId="4381">
      <formula>AND($L8="X",OR($B8&lt;&gt;"",$C8&lt;&gt;""))</formula>
    </cfRule>
    <cfRule type="expression" priority="97" aboveAverage="0" equalAverage="0" bottom="0" percent="0" rank="0" text="" dxfId="4382">
      <formula>AND(#ref!=1,#ref!=1)</formula>
    </cfRule>
    <cfRule type="expression" priority="98" aboveAverage="0" equalAverage="0" bottom="0" percent="0" rank="0" text="" dxfId="4383">
      <formula>#ref!=1</formula>
    </cfRule>
    <cfRule type="expression" priority="99" aboveAverage="0" equalAverage="0" bottom="0" percent="0" rank="0" text="" dxfId="4384">
      <formula>#ref!=1</formula>
    </cfRule>
    <cfRule type="expression" priority="100" aboveAverage="0" equalAverage="0" bottom="0" percent="0" rank="0" text="" dxfId="4385">
      <formula>AND($L8="X",OR($B8&lt;&gt;"",$C8&lt;&gt;""))</formula>
    </cfRule>
    <cfRule type="expression" priority="101" aboveAverage="0" equalAverage="0" bottom="0" percent="0" rank="0" text="" dxfId="4386">
      <formula>AND(#ref!=1,#ref!=1)</formula>
    </cfRule>
    <cfRule type="expression" priority="102" aboveAverage="0" equalAverage="0" bottom="0" percent="0" rank="0" text="" dxfId="4387">
      <formula>#ref!=1</formula>
    </cfRule>
    <cfRule type="expression" priority="103" aboveAverage="0" equalAverage="0" bottom="0" percent="0" rank="0" text="" dxfId="4388">
      <formula>#ref!=1</formula>
    </cfRule>
    <cfRule type="expression" priority="104" aboveAverage="0" equalAverage="0" bottom="0" percent="0" rank="0" text="" dxfId="4389">
      <formula>AND($L8="X",OR($B8&lt;&gt;"",$C8&lt;&gt;""))</formula>
    </cfRule>
    <cfRule type="expression" priority="105" aboveAverage="0" equalAverage="0" bottom="0" percent="0" rank="0" text="" dxfId="4390">
      <formula>AND(#ref!=1,#ref!=1)</formula>
    </cfRule>
    <cfRule type="expression" priority="106" aboveAverage="0" equalAverage="0" bottom="0" percent="0" rank="0" text="" dxfId="4391">
      <formula>#ref!=1</formula>
    </cfRule>
    <cfRule type="expression" priority="107" aboveAverage="0" equalAverage="0" bottom="0" percent="0" rank="0" text="" dxfId="4392">
      <formula>#ref!=1</formula>
    </cfRule>
    <cfRule type="expression" priority="108" aboveAverage="0" equalAverage="0" bottom="0" percent="0" rank="0" text="" dxfId="4393">
      <formula>OR(#ref!="X",#ref!="X")</formula>
    </cfRule>
    <cfRule type="expression" priority="109" aboveAverage="0" equalAverage="0" bottom="0" percent="0" rank="0" text="" dxfId="4394">
      <formula>AND(#ref!=1,#ref!=1)</formula>
    </cfRule>
    <cfRule type="expression" priority="110" aboveAverage="0" equalAverage="0" bottom="0" percent="0" rank="0" text="" dxfId="4395">
      <formula>#ref!=1</formula>
    </cfRule>
    <cfRule type="expression" priority="111" aboveAverage="0" equalAverage="0" bottom="0" percent="0" rank="0" text="" dxfId="4396">
      <formula>#ref!=1</formula>
    </cfRule>
    <cfRule type="expression" priority="112" aboveAverage="0" equalAverage="0" bottom="0" percent="0" rank="0" text="" dxfId="4397">
      <formula>OR(#ref!="X",#ref!="X")</formula>
    </cfRule>
    <cfRule type="expression" priority="113" aboveAverage="0" equalAverage="0" bottom="0" percent="0" rank="0" text="" dxfId="4398">
      <formula>AND(#ref!=1,#ref!=1)</formula>
    </cfRule>
    <cfRule type="expression" priority="114" aboveAverage="0" equalAverage="0" bottom="0" percent="0" rank="0" text="" dxfId="4399">
      <formula>#ref!=1</formula>
    </cfRule>
    <cfRule type="expression" priority="115" aboveAverage="0" equalAverage="0" bottom="0" percent="0" rank="0" text="" dxfId="4400">
      <formula>AND(#ref!=1,#ref!=1)</formula>
    </cfRule>
    <cfRule type="expression" priority="116" aboveAverage="0" equalAverage="0" bottom="0" percent="0" rank="0" text="" dxfId="4401">
      <formula>#ref!=1</formula>
    </cfRule>
    <cfRule type="expression" priority="117" aboveAverage="0" equalAverage="0" bottom="0" percent="0" rank="0" text="" dxfId="4402">
      <formula>AND($L8="X",OR($B8&lt;&gt;"",#ref!&lt;&gt;"",$C8&lt;&gt;""))</formula>
    </cfRule>
    <cfRule type="expression" priority="118" aboveAverage="0" equalAverage="0" bottom="0" percent="0" rank="0" text="" dxfId="4403">
      <formula>AND($L8="X",OR($B8&lt;&gt;"",$C8&lt;&gt;"",$D8&lt;&gt;""))</formula>
    </cfRule>
    <cfRule type="expression" priority="119" aboveAverage="0" equalAverage="0" bottom="0" percent="0" rank="0" text="" dxfId="4404">
      <formula>AND($L8="X",OR($B8&lt;&gt;"",$C8&lt;&gt;"",$D8&lt;&gt;"",$E8&lt;&gt;""))</formula>
    </cfRule>
    <cfRule type="expression" priority="120" aboveAverage="0" equalAverage="0" bottom="0" percent="0" rank="0" text="" dxfId="4405">
      <formula>AND($L8="X",OR($B8&lt;&gt;"",$C8&lt;&gt;"",$E8&lt;&gt;"",#ref!&lt;&gt;""))</formula>
    </cfRule>
    <cfRule type="expression" priority="121" aboveAverage="0" equalAverage="0" bottom="0" percent="0" rank="0" text="" dxfId="4406">
      <formula>#ref!=1</formula>
    </cfRule>
    <cfRule type="expression" priority="122" aboveAverage="0" equalAverage="0" bottom="0" percent="0" rank="0" text="" dxfId="4407">
      <formula>AND($L8="X",OR($B8&lt;&gt;"",$C8&lt;&gt;"",$D8&lt;&gt;""))</formula>
    </cfRule>
    <cfRule type="expression" priority="123" aboveAverage="0" equalAverage="0" bottom="0" percent="0" rank="0" text="" dxfId="4408">
      <formula>AND($L8="X",OR($B8&lt;&gt;"",$C8&lt;&gt;"",$D8&lt;&gt;"",$E8&lt;&gt;""))</formula>
    </cfRule>
    <cfRule type="expression" priority="124" aboveAverage="0" equalAverage="0" bottom="0" percent="0" rank="0" text="" dxfId="4409">
      <formula>AND(#ref!=1,#ref!=1)</formula>
    </cfRule>
    <cfRule type="expression" priority="125" aboveAverage="0" equalAverage="0" bottom="0" percent="0" rank="0" text="" dxfId="4410">
      <formula>#ref!=1</formula>
    </cfRule>
    <cfRule type="expression" priority="126" aboveAverage="0" equalAverage="0" bottom="0" percent="0" rank="0" text="" dxfId="4411">
      <formula>#ref!=1</formula>
    </cfRule>
    <cfRule type="expression" priority="127" aboveAverage="0" equalAverage="0" bottom="0" percent="0" rank="0" text="" dxfId="4412">
      <formula>AND($L8="X",OR($B8&lt;&gt;"",$C8&lt;&gt;"",$E8&lt;&gt;"",#ref!&lt;&gt;""))</formula>
    </cfRule>
    <cfRule type="expression" priority="128" aboveAverage="0" equalAverage="0" bottom="0" percent="0" rank="0" text="" dxfId="4413">
      <formula>AND($L8="X",OR($B8&lt;&gt;"",$C8&lt;&gt;""))</formula>
    </cfRule>
    <cfRule type="expression" priority="129" aboveAverage="0" equalAverage="0" bottom="0" percent="0" rank="0" text="" dxfId="4414">
      <formula>AND($L8="X",OR($B8&lt;&gt;"",$C8&lt;&gt;"",$D8&lt;&gt;"",$E8&lt;&gt;""))</formula>
    </cfRule>
    <cfRule type="expression" priority="130" aboveAverage="0" equalAverage="0" bottom="0" percent="0" rank="0" text="" dxfId="4415">
      <formula>AND(#ref!=1,#ref!=1)</formula>
    </cfRule>
    <cfRule type="expression" priority="131" aboveAverage="0" equalAverage="0" bottom="0" percent="0" rank="0" text="" dxfId="4416">
      <formula>#ref!=1</formula>
    </cfRule>
    <cfRule type="expression" priority="132" aboveAverage="0" equalAverage="0" bottom="0" percent="0" rank="0" text="" dxfId="4417">
      <formula>#ref!=1</formula>
    </cfRule>
    <cfRule type="expression" priority="133" aboveAverage="0" equalAverage="0" bottom="0" percent="0" rank="0" text="" dxfId="4418">
      <formula>AND($L8="X",OR($B8&lt;&gt;"",$C8&lt;&gt;"",$E8&lt;&gt;"",#ref!&lt;&gt;""))</formula>
    </cfRule>
    <cfRule type="expression" priority="134" aboveAverage="0" equalAverage="0" bottom="0" percent="0" rank="0" text="" dxfId="4419">
      <formula>#ref!=1</formula>
    </cfRule>
    <cfRule type="expression" priority="135" aboveAverage="0" equalAverage="0" bottom="0" percent="0" rank="0" text="" dxfId="4420">
      <formula>AND($L8="X",OR($B8&lt;&gt;"",$C8&lt;&gt;"",$D8&lt;&gt;""))</formula>
    </cfRule>
    <cfRule type="expression" priority="136" aboveAverage="0" equalAverage="0" bottom="0" percent="0" rank="0" text="" dxfId="4421">
      <formula>AND($L8="X",OR($B8&lt;&gt;"",$C8&lt;&gt;"",$D8&lt;&gt;"",$E8&lt;&gt;""))</formula>
    </cfRule>
    <cfRule type="expression" priority="137" aboveAverage="0" equalAverage="0" bottom="0" percent="0" rank="0" text="" dxfId="4422">
      <formula>AND(#ref!=1,#ref!=1)</formula>
    </cfRule>
    <cfRule type="expression" priority="138" aboveAverage="0" equalAverage="0" bottom="0" percent="0" rank="0" text="" dxfId="4423">
      <formula>#ref!=1</formula>
    </cfRule>
    <cfRule type="expression" priority="139" aboveAverage="0" equalAverage="0" bottom="0" percent="0" rank="0" text="" dxfId="4424">
      <formula>AND($L8="X",OR($B8&lt;&gt;"",$C8&lt;&gt;"",$E8&lt;&gt;"",#ref!&lt;&gt;""))</formula>
    </cfRule>
    <cfRule type="expression" priority="140" aboveAverage="0" equalAverage="0" bottom="0" percent="0" rank="0" text="" dxfId="4425">
      <formula>AND($L8="X",$B8&lt;&gt;"")</formula>
    </cfRule>
    <cfRule type="expression" priority="141" aboveAverage="0" equalAverage="0" bottom="0" percent="0" rank="0" text="" dxfId="4426">
      <formula>AND($L8="X",OR($B8&lt;&gt;"",$C8&lt;&gt;"",$D8&lt;&gt;""))</formula>
    </cfRule>
    <cfRule type="expression" priority="142" aboveAverage="0" equalAverage="0" bottom="0" percent="0" rank="0" text="" dxfId="4427">
      <formula>AND($L8="X",OR($B8&lt;&gt;"",#ref!&lt;&gt;"",$C8&lt;&gt;""))</formula>
    </cfRule>
    <cfRule type="expression" priority="143" aboveAverage="0" equalAverage="0" bottom="0" percent="0" rank="0" text="" dxfId="4428">
      <formula>AND($L8="X",OR($B8&lt;&gt;"",#ref!&lt;&gt;"",$C8&lt;&gt;"",$D8&lt;&gt;""))</formula>
    </cfRule>
    <cfRule type="expression" priority="144" aboveAverage="0" equalAverage="0" bottom="0" percent="0" rank="0" text="" dxfId="4429">
      <formula>AND($L8="X",OR($B8&lt;&gt;"",#ref!&lt;&gt;"",$D8&lt;&gt;"",#ref!&lt;&gt;""))</formula>
    </cfRule>
    <cfRule type="expression" priority="145" aboveAverage="0" equalAverage="0" bottom="0" percent="0" rank="0" text="" dxfId="4430">
      <formula>#ref!=1</formula>
    </cfRule>
    <cfRule type="expression" priority="146" aboveAverage="0" equalAverage="0" bottom="0" percent="0" rank="0" text="" dxfId="4431">
      <formula>AND($L8="X",OR($B8&lt;&gt;"",#ref!&lt;&gt;"",$C8&lt;&gt;""))</formula>
    </cfRule>
    <cfRule type="expression" priority="147" aboveAverage="0" equalAverage="0" bottom="0" percent="0" rank="0" text="" dxfId="4432">
      <formula>AND(#ref!=1,#ref!=1)</formula>
    </cfRule>
    <cfRule type="expression" priority="148" aboveAverage="0" equalAverage="0" bottom="0" percent="0" rank="0" text="" dxfId="4433">
      <formula>#ref!=1</formula>
    </cfRule>
    <cfRule type="expression" priority="149" aboveAverage="0" equalAverage="0" bottom="0" percent="0" rank="0" text="" dxfId="4434">
      <formula>AND($L8="X",$B8&lt;&gt;"")</formula>
    </cfRule>
    <cfRule type="expression" priority="150" aboveAverage="0" equalAverage="0" bottom="0" percent="0" rank="0" text="" dxfId="4435">
      <formula>AND($L8="X",OR($B8&lt;&gt;"",#ref!&lt;&gt;""))</formula>
    </cfRule>
  </conditionalFormatting>
  <conditionalFormatting sqref="D11">
    <cfRule type="expression" priority="151" aboveAverage="0" equalAverage="0" bottom="0" percent="0" rank="0" text="" dxfId="4436">
      <formula>AND($L11="X",OR($B11&lt;&gt;"",$C11&lt;&gt;"",$D11&lt;&gt;""))</formula>
    </cfRule>
    <cfRule type="expression" priority="152" aboveAverage="0" equalAverage="0" bottom="0" percent="0" rank="0" text="" dxfId="4437">
      <formula>AND($L11="X",OR($B11&lt;&gt;"",$C11&lt;&gt;"",$D11&lt;&gt;"",$E11&lt;&gt;""))</formula>
    </cfRule>
    <cfRule type="expression" priority="153" aboveAverage="0" equalAverage="0" bottom="0" percent="0" rank="0" text="" dxfId="4438">
      <formula>AND($L11="X",OR($B11&lt;&gt;"",$C11&lt;&gt;"",$E11&lt;&gt;"",#ref!&lt;&gt;""))</formula>
    </cfRule>
    <cfRule type="expression" priority="154" aboveAverage="0" equalAverage="0" bottom="0" percent="0" rank="0" text="" dxfId="4439">
      <formula>#ref!=1</formula>
    </cfRule>
    <cfRule type="expression" priority="155" aboveAverage="0" equalAverage="0" bottom="0" percent="0" rank="0" text="" dxfId="4440">
      <formula>AND($L11="X",OR($B11&lt;&gt;"",$C11&lt;&gt;"",$D11&lt;&gt;""))</formula>
    </cfRule>
    <cfRule type="expression" priority="156" aboveAverage="0" equalAverage="0" bottom="0" percent="0" rank="0" text="" dxfId="4441">
      <formula>AND($L11="X",OR($B11&lt;&gt;"",$C11&lt;&gt;"",$D11&lt;&gt;"",$E11&lt;&gt;""))</formula>
    </cfRule>
    <cfRule type="expression" priority="157" aboveAverage="0" equalAverage="0" bottom="0" percent="0" rank="0" text="" dxfId="4442">
      <formula>AND(#ref!=1,#ref!=1)</formula>
    </cfRule>
    <cfRule type="expression" priority="158" aboveAverage="0" equalAverage="0" bottom="0" percent="0" rank="0" text="" dxfId="4443">
      <formula>#ref!=1</formula>
    </cfRule>
    <cfRule type="expression" priority="159" aboveAverage="0" equalAverage="0" bottom="0" percent="0" rank="0" text="" dxfId="4444">
      <formula>#ref!=1</formula>
    </cfRule>
    <cfRule type="expression" priority="160" aboveAverage="0" equalAverage="0" bottom="0" percent="0" rank="0" text="" dxfId="4445">
      <formula>AND($L11="X",OR($B11&lt;&gt;"",$C11&lt;&gt;"",$E11&lt;&gt;"",#ref!&lt;&gt;""))</formula>
    </cfRule>
    <cfRule type="expression" priority="161" aboveAverage="0" equalAverage="0" bottom="0" percent="0" rank="0" text="" dxfId="4446">
      <formula>AND($L11="X",OR($B11&lt;&gt;"",$C11&lt;&gt;""))</formula>
    </cfRule>
    <cfRule type="expression" priority="162" aboveAverage="0" equalAverage="0" bottom="0" percent="0" rank="0" text="" dxfId="4447">
      <formula>AND($L11="X",OR($B11&lt;&gt;"",$C11&lt;&gt;"",$D11&lt;&gt;"",$E11&lt;&gt;""))</formula>
    </cfRule>
    <cfRule type="expression" priority="163" aboveAverage="0" equalAverage="0" bottom="0" percent="0" rank="0" text="" dxfId="4448">
      <formula>AND(#ref!=1,#ref!=1)</formula>
    </cfRule>
    <cfRule type="expression" priority="164" aboveAverage="0" equalAverage="0" bottom="0" percent="0" rank="0" text="" dxfId="4449">
      <formula>#ref!=1</formula>
    </cfRule>
    <cfRule type="expression" priority="165" aboveAverage="0" equalAverage="0" bottom="0" percent="0" rank="0" text="" dxfId="4450">
      <formula>#ref!=1</formula>
    </cfRule>
    <cfRule type="expression" priority="166" aboveAverage="0" equalAverage="0" bottom="0" percent="0" rank="0" text="" dxfId="4451">
      <formula>AND($L11="X",OR($B11&lt;&gt;"",$C11&lt;&gt;"",$E11&lt;&gt;"",#ref!&lt;&gt;""))</formula>
    </cfRule>
    <cfRule type="expression" priority="167" aboveAverage="0" equalAverage="0" bottom="0" percent="0" rank="0" text="" dxfId="4452">
      <formula>#ref!=1</formula>
    </cfRule>
    <cfRule type="expression" priority="168" aboveAverage="0" equalAverage="0" bottom="0" percent="0" rank="0" text="" dxfId="4453">
      <formula>AND($L11="X",OR($B11&lt;&gt;"",$C11&lt;&gt;"",$D11&lt;&gt;""))</formula>
    </cfRule>
    <cfRule type="expression" priority="169" aboveAverage="0" equalAverage="0" bottom="0" percent="0" rank="0" text="" dxfId="4454">
      <formula>AND(#ref!=1,#ref!=1)</formula>
    </cfRule>
    <cfRule type="expression" priority="170" aboveAverage="0" equalAverage="0" bottom="0" percent="0" rank="0" text="" dxfId="4455">
      <formula>#ref!=1</formula>
    </cfRule>
    <cfRule type="expression" priority="171" aboveAverage="0" equalAverage="0" bottom="0" percent="0" rank="0" text="" dxfId="4456">
      <formula>AND($L11="X",OR($B11&lt;&gt;"",$C11&lt;&gt;""))</formula>
    </cfRule>
    <cfRule type="expression" priority="172" aboveAverage="0" equalAverage="0" bottom="0" percent="0" rank="0" text="" dxfId="4457">
      <formula>AND($L11="X",$B11&lt;&gt;"")</formula>
    </cfRule>
  </conditionalFormatting>
  <conditionalFormatting sqref="D19 G19 E11">
    <cfRule type="expression" priority="173" aboveAverage="0" equalAverage="0" bottom="0" percent="0" rank="0" text="" dxfId="4458">
      <formula>#ref!=1</formula>
    </cfRule>
  </conditionalFormatting>
  <conditionalFormatting sqref="D19 G19">
    <cfRule type="expression" priority="174" aboveAverage="0" equalAverage="0" bottom="0" percent="0" rank="0" text="" dxfId="4459">
      <formula>AND($L19="X",OR($B19&lt;&gt;"",$C19&lt;&gt;"",$E19&lt;&gt;"",#ref!&lt;&gt;""))</formula>
    </cfRule>
  </conditionalFormatting>
  <conditionalFormatting sqref="D19">
    <cfRule type="expression" priority="175" aboveAverage="0" equalAverage="0" bottom="0" percent="0" rank="0" text="" dxfId="4460">
      <formula>AND($L19="X",OR($B19&lt;&gt;"",$C19&lt;&gt;"",$D19&lt;&gt;""))</formula>
    </cfRule>
  </conditionalFormatting>
  <conditionalFormatting sqref="D11:E11">
    <cfRule type="expression" priority="176" aboveAverage="0" equalAverage="0" bottom="0" percent="0" rank="0" text="" dxfId="4461">
      <formula>AND($L11="X",OR($B11&lt;&gt;"",$C11&lt;&gt;"",$D11&lt;&gt;"",$E11&lt;&gt;""))</formula>
    </cfRule>
    <cfRule type="expression" priority="177" aboveAverage="0" equalAverage="0" bottom="0" percent="0" rank="0" text="" dxfId="4462">
      <formula>AND($L11="X",OR($B11&lt;&gt;"",$C11&lt;&gt;"",$E11&lt;&gt;"",#ref!&lt;&gt;""))</formula>
    </cfRule>
    <cfRule type="expression" priority="178" aboveAverage="0" equalAverage="0" bottom="0" percent="0" rank="0" text="" dxfId="4463">
      <formula>AND($L11="X",OR($B11&lt;&gt;"",$C11&lt;&gt;"",$D11&lt;&gt;""))</formula>
    </cfRule>
  </conditionalFormatting>
  <conditionalFormatting sqref="D19:E19">
    <cfRule type="expression" priority="179" aboveAverage="0" equalAverage="0" bottom="0" percent="0" rank="0" text="" dxfId="4464">
      <formula>AND($L19="X",OR($B19&lt;&gt;"",$C19&lt;&gt;"",$D19&lt;&gt;"",$E19&lt;&gt;""))</formula>
    </cfRule>
  </conditionalFormatting>
  <conditionalFormatting sqref="D6:F6 E7">
    <cfRule type="expression" priority="180" aboveAverage="0" equalAverage="0" bottom="0" percent="0" rank="0" text="" dxfId="4465">
      <formula>AND($L6="X",OR($B6&lt;&gt;"",$C6&lt;&gt;"",$D6&lt;&gt;""))</formula>
    </cfRule>
  </conditionalFormatting>
  <conditionalFormatting sqref="D6:F6">
    <cfRule type="expression" priority="181" aboveAverage="0" equalAverage="0" bottom="0" percent="0" rank="0" text="" dxfId="4466">
      <formula>AND($L6="X",OR($B6&lt;&gt;"",#ref!&lt;&gt;"",$C6&lt;&gt;"",$D6&lt;&gt;""))</formula>
    </cfRule>
    <cfRule type="expression" priority="182" aboveAverage="0" equalAverage="0" bottom="0" percent="0" rank="0" text="" dxfId="4467">
      <formula>AND($L6="X",OR($B6&lt;&gt;"",$C6&lt;&gt;"",$D6&lt;&gt;"",$E6&lt;&gt;""))</formula>
    </cfRule>
    <cfRule type="expression" priority="183" aboveAverage="0" equalAverage="0" bottom="0" percent="0" rank="0" text="" dxfId="4468">
      <formula>AND($L6="X",OR($B6&lt;&gt;"",#ref!&lt;&gt;"",$C6&lt;&gt;""))</formula>
    </cfRule>
  </conditionalFormatting>
  <conditionalFormatting sqref="D8:G8">
    <cfRule type="expression" priority="184" aboveAverage="0" equalAverage="0" bottom="0" percent="0" rank="0" text="" dxfId="4469">
      <formula>AND($L8="X",OR($B8&lt;&gt;"",$C8&lt;&gt;"",$D8&lt;&gt;"",$E8&lt;&gt;"",$F8&lt;&gt;""))</formula>
    </cfRule>
    <cfRule type="expression" priority="185" aboveAverage="0" equalAverage="0" bottom="0" percent="0" rank="0" text="" dxfId="4470">
      <formula>AND(#ref!=1,#ref!=1)</formula>
    </cfRule>
    <cfRule type="expression" priority="186" aboveAverage="0" equalAverage="0" bottom="0" percent="0" rank="0" text="" dxfId="4471">
      <formula>#ref!=1</formula>
    </cfRule>
    <cfRule type="expression" priority="187" aboveAverage="0" equalAverage="0" bottom="0" percent="0" rank="0" text="" dxfId="4472">
      <formula>OR(#ref!="X",#ref!="X")</formula>
    </cfRule>
  </conditionalFormatting>
  <conditionalFormatting sqref="D11:G11">
    <cfRule type="expression" priority="188" aboveAverage="0" equalAverage="0" bottom="0" percent="0" rank="0" text="" dxfId="4473">
      <formula>AND($L11="X",OR($B11&lt;&gt;"",#ref!&lt;&gt;"",$C11&lt;&gt;""))</formula>
    </cfRule>
  </conditionalFormatting>
  <conditionalFormatting sqref="D19:G19">
    <cfRule type="expression" priority="189" aboveAverage="0" equalAverage="0" bottom="0" percent="0" rank="0" text="" dxfId="4474">
      <formula>AND($L19="X",OR($B19&lt;&gt;"",#ref!&lt;&gt;"",$C19&lt;&gt;""))</formula>
    </cfRule>
  </conditionalFormatting>
  <conditionalFormatting sqref="E9:E10">
    <cfRule type="expression" priority="190" aboveAverage="0" equalAverage="0" bottom="0" percent="0" rank="0" text="" dxfId="4475">
      <formula>AND($L9="X",OR($B9&lt;&gt;"",#ref!&lt;&gt;""))</formula>
    </cfRule>
  </conditionalFormatting>
  <conditionalFormatting sqref="E11 D11:D29 G19">
    <cfRule type="expression" priority="191" aboveAverage="0" equalAverage="0" bottom="0" percent="0" rank="0" text="" dxfId="4476">
      <formula>AND($L11="X",OR($B11&lt;&gt;"",$C11&lt;&gt;""))</formula>
    </cfRule>
  </conditionalFormatting>
  <conditionalFormatting sqref="E11 D19 G19">
    <cfRule type="expression" priority="192" aboveAverage="0" equalAverage="0" bottom="0" percent="0" rank="0" text="" dxfId="4477">
      <formula>AND($L11="X",OR($B11&lt;&gt;"",$C11&lt;&gt;"",$D11&lt;&gt;""))</formula>
    </cfRule>
    <cfRule type="expression" priority="193" aboveAverage="0" equalAverage="0" bottom="0" percent="0" rank="0" text="" dxfId="4478">
      <formula>AND($L11="X",OR($B11&lt;&gt;"",$C11&lt;&gt;"",$D11&lt;&gt;"",$E11&lt;&gt;""))</formula>
    </cfRule>
    <cfRule type="expression" priority="194" aboveAverage="0" equalAverage="0" bottom="0" percent="0" rank="0" text="" dxfId="4479">
      <formula>AND(#ref!=1,#ref!=1)</formula>
    </cfRule>
    <cfRule type="expression" priority="195" aboveAverage="0" equalAverage="0" bottom="0" percent="0" rank="0" text="" dxfId="4480">
      <formula>#ref!=1</formula>
    </cfRule>
    <cfRule type="expression" priority="196" aboveAverage="0" equalAverage="0" bottom="0" percent="0" rank="0" text="" dxfId="4481">
      <formula>#ref!=1</formula>
    </cfRule>
    <cfRule type="expression" priority="197" aboveAverage="0" equalAverage="0" bottom="0" percent="0" rank="0" text="" dxfId="4482">
      <formula>AND($L11="X",OR($B11&lt;&gt;"",$C11&lt;&gt;"",$E11&lt;&gt;"",#ref!&lt;&gt;""))</formula>
    </cfRule>
    <cfRule type="expression" priority="198" aboveAverage="0" equalAverage="0" bottom="0" percent="0" rank="0" text="" dxfId="4483">
      <formula>AND($L11="X",OR($B11&lt;&gt;"",$C11&lt;&gt;""))</formula>
    </cfRule>
    <cfRule type="expression" priority="199" aboveAverage="0" equalAverage="0" bottom="0" percent="0" rank="0" text="" dxfId="4484">
      <formula>AND($L11="X",OR($B11&lt;&gt;"",$C11&lt;&gt;"",$D11&lt;&gt;"",$E11&lt;&gt;""))</formula>
    </cfRule>
    <cfRule type="expression" priority="200" aboveAverage="0" equalAverage="0" bottom="0" percent="0" rank="0" text="" dxfId="4485">
      <formula>AND(#ref!=1,#ref!=1)</formula>
    </cfRule>
    <cfRule type="expression" priority="201" aboveAverage="0" equalAverage="0" bottom="0" percent="0" rank="0" text="" dxfId="4486">
      <formula>#ref!=1</formula>
    </cfRule>
    <cfRule type="expression" priority="202" aboveAverage="0" equalAverage="0" bottom="0" percent="0" rank="0" text="" dxfId="4487">
      <formula>#ref!=1</formula>
    </cfRule>
    <cfRule type="expression" priority="203" aboveAverage="0" equalAverage="0" bottom="0" percent="0" rank="0" text="" dxfId="4488">
      <formula>AND($L11="X",OR($B11&lt;&gt;"",$C11&lt;&gt;"",$E11&lt;&gt;"",#ref!&lt;&gt;""))</formula>
    </cfRule>
    <cfRule type="expression" priority="204" aboveAverage="0" equalAverage="0" bottom="0" percent="0" rank="0" text="" dxfId="4489">
      <formula>#ref!=1</formula>
    </cfRule>
    <cfRule type="expression" priority="205" aboveAverage="0" equalAverage="0" bottom="0" percent="0" rank="0" text="" dxfId="4490">
      <formula>AND($L11="X",OR($B11&lt;&gt;"",$C11&lt;&gt;"",$D11&lt;&gt;""))</formula>
    </cfRule>
    <cfRule type="expression" priority="206" aboveAverage="0" equalAverage="0" bottom="0" percent="0" rank="0" text="" dxfId="4491">
      <formula>AND(#ref!=1,#ref!=1)</formula>
    </cfRule>
    <cfRule type="expression" priority="207" aboveAverage="0" equalAverage="0" bottom="0" percent="0" rank="0" text="" dxfId="4492">
      <formula>#ref!=1</formula>
    </cfRule>
    <cfRule type="expression" priority="208" aboveAverage="0" equalAverage="0" bottom="0" percent="0" rank="0" text="" dxfId="4493">
      <formula>AND($L11="X",OR($B11&lt;&gt;"",$C11&lt;&gt;"",$E11&lt;&gt;"",#ref!&lt;&gt;""))</formula>
    </cfRule>
    <cfRule type="expression" priority="209" aboveAverage="0" equalAverage="0" bottom="0" percent="0" rank="0" text="" dxfId="4494">
      <formula>AND($L11="X",$B11&lt;&gt;"")</formula>
    </cfRule>
  </conditionalFormatting>
  <conditionalFormatting sqref="E12:E29">
    <cfRule type="expression" priority="210" aboveAverage="0" equalAverage="0" bottom="0" percent="0" rank="0" text="" dxfId="4495">
      <formula>AND($L12="X",OR($B12&lt;&gt;"",$C12&lt;&gt;"",$D12&lt;&gt;""))</formula>
    </cfRule>
  </conditionalFormatting>
  <conditionalFormatting sqref="E14">
    <cfRule type="expression" priority="211" aboveAverage="0" equalAverage="0" bottom="0" percent="0" rank="0" text="" dxfId="4496">
      <formula>AND($L14="X",OR($B14&lt;&gt;"",$C14&lt;&gt;"",$D14&lt;&gt;"",$E14&lt;&gt;""))</formula>
    </cfRule>
    <cfRule type="expression" priority="212" aboveAverage="0" equalAverage="0" bottom="0" percent="0" rank="0" text="" dxfId="4497">
      <formula>AND($L14="X",OR($B14&lt;&gt;"",$C14&lt;&gt;"",$E14&lt;&gt;"",#ref!&lt;&gt;""))</formula>
    </cfRule>
    <cfRule type="expression" priority="213" aboveAverage="0" equalAverage="0" bottom="0" percent="0" rank="0" text="" dxfId="4498">
      <formula>#ref!=1</formula>
    </cfRule>
    <cfRule type="expression" priority="214" aboveAverage="0" equalAverage="0" bottom="0" percent="0" rank="0" text="" dxfId="4499">
      <formula>AND($L14="X",OR($B14&lt;&gt;"",$C14&lt;&gt;"",$D14&lt;&gt;""))</formula>
    </cfRule>
    <cfRule type="expression" priority="215" aboveAverage="0" equalAverage="0" bottom="0" percent="0" rank="0" text="" dxfId="4500">
      <formula>AND($L14="X",OR($B14&lt;&gt;"",$C14&lt;&gt;"",$D14&lt;&gt;"",$E14&lt;&gt;""))</formula>
    </cfRule>
    <cfRule type="expression" priority="216" aboveAverage="0" equalAverage="0" bottom="0" percent="0" rank="0" text="" dxfId="4501">
      <formula>AND(#ref!=1,#ref!=1)</formula>
    </cfRule>
    <cfRule type="expression" priority="217" aboveAverage="0" equalAverage="0" bottom="0" percent="0" rank="0" text="" dxfId="4502">
      <formula>#ref!=1</formula>
    </cfRule>
    <cfRule type="expression" priority="218" aboveAverage="0" equalAverage="0" bottom="0" percent="0" rank="0" text="" dxfId="4503">
      <formula>#ref!=1</formula>
    </cfRule>
    <cfRule type="expression" priority="219" aboveAverage="0" equalAverage="0" bottom="0" percent="0" rank="0" text="" dxfId="4504">
      <formula>AND($L14="X",OR($B14&lt;&gt;"",$C14&lt;&gt;"",$E14&lt;&gt;"",#ref!&lt;&gt;""))</formula>
    </cfRule>
    <cfRule type="expression" priority="220" aboveAverage="0" equalAverage="0" bottom="0" percent="0" rank="0" text="" dxfId="4505">
      <formula>AND($L14="X",OR($B14&lt;&gt;"",$C14&lt;&gt;""))</formula>
    </cfRule>
    <cfRule type="expression" priority="221" aboveAverage="0" equalAverage="0" bottom="0" percent="0" rank="0" text="" dxfId="4506">
      <formula>AND($L14="X",OR($B14&lt;&gt;"",$C14&lt;&gt;"",$D14&lt;&gt;"",$E14&lt;&gt;""))</formula>
    </cfRule>
    <cfRule type="expression" priority="222" aboveAverage="0" equalAverage="0" bottom="0" percent="0" rank="0" text="" dxfId="4507">
      <formula>AND(#ref!=1,#ref!=1)</formula>
    </cfRule>
    <cfRule type="expression" priority="223" aboveAverage="0" equalAverage="0" bottom="0" percent="0" rank="0" text="" dxfId="4508">
      <formula>#ref!=1</formula>
    </cfRule>
    <cfRule type="expression" priority="224" aboveAverage="0" equalAverage="0" bottom="0" percent="0" rank="0" text="" dxfId="4509">
      <formula>#ref!=1</formula>
    </cfRule>
    <cfRule type="expression" priority="225" aboveAverage="0" equalAverage="0" bottom="0" percent="0" rank="0" text="" dxfId="4510">
      <formula>AND($L14="X",OR($B14&lt;&gt;"",$C14&lt;&gt;"",$E14&lt;&gt;"",#ref!&lt;&gt;""))</formula>
    </cfRule>
    <cfRule type="expression" priority="226" aboveAverage="0" equalAverage="0" bottom="0" percent="0" rank="0" text="" dxfId="4511">
      <formula>#ref!=1</formula>
    </cfRule>
    <cfRule type="expression" priority="227" aboveAverage="0" equalAverage="0" bottom="0" percent="0" rank="0" text="" dxfId="4512">
      <formula>AND($L14="X",OR($B14&lt;&gt;"",$C14&lt;&gt;"",$D14&lt;&gt;""))</formula>
    </cfRule>
    <cfRule type="expression" priority="228" aboveAverage="0" equalAverage="0" bottom="0" percent="0" rank="0" text="" dxfId="4513">
      <formula>AND($L14="X",OR($B14&lt;&gt;"",$C14&lt;&gt;"",$D14&lt;&gt;"",$E14&lt;&gt;""))</formula>
    </cfRule>
    <cfRule type="expression" priority="229" aboveAverage="0" equalAverage="0" bottom="0" percent="0" rank="0" text="" dxfId="4514">
      <formula>AND(#ref!=1,#ref!=1)</formula>
    </cfRule>
    <cfRule type="expression" priority="230" aboveAverage="0" equalAverage="0" bottom="0" percent="0" rank="0" text="" dxfId="4515">
      <formula>#ref!=1</formula>
    </cfRule>
    <cfRule type="expression" priority="231" aboveAverage="0" equalAverage="0" bottom="0" percent="0" rank="0" text="" dxfId="4516">
      <formula>AND($L14="X",OR($B14&lt;&gt;"",$C14&lt;&gt;"",$E14&lt;&gt;"",#ref!&lt;&gt;""))</formula>
    </cfRule>
    <cfRule type="expression" priority="232" aboveAverage="0" equalAverage="0" bottom="0" percent="0" rank="0" text="" dxfId="4517">
      <formula>AND($L14="X",OR($B14&lt;&gt;"",$C14&lt;&gt;""))</formula>
    </cfRule>
    <cfRule type="expression" priority="233" aboveAverage="0" equalAverage="0" bottom="0" percent="0" rank="0" text="" dxfId="4518">
      <formula>AND($L14="X",$B14&lt;&gt;"")</formula>
    </cfRule>
  </conditionalFormatting>
  <conditionalFormatting sqref="E6:F6">
    <cfRule type="expression" priority="234" aboveAverage="0" equalAverage="0" bottom="0" percent="0" rank="0" text="" dxfId="4519">
      <formula>AND($L6="X",OR($B6&lt;&gt;"",#ref!&lt;&gt;"",$C6&lt;&gt;"",$D6&lt;&gt;"",$F6&lt;&gt;""))</formula>
    </cfRule>
  </conditionalFormatting>
  <conditionalFormatting sqref="E11:F11 D19 G19">
    <cfRule type="expression" priority="235" aboveAverage="0" equalAverage="0" bottom="0" percent="0" rank="0" text="" dxfId="4520">
      <formula>AND($L11="X",OR($B11&lt;&gt;"",$C11&lt;&gt;"",$D11&lt;&gt;""))</formula>
    </cfRule>
  </conditionalFormatting>
  <conditionalFormatting sqref="E6:G6">
    <cfRule type="expression" priority="236" aboveAverage="0" equalAverage="0" bottom="0" percent="0" rank="0" text="" dxfId="4521">
      <formula>AND($L6="X",OR($B6&lt;&gt;"",$C6&lt;&gt;"",$D6&lt;&gt;"",$E6&lt;&gt;"",$F6&lt;&gt;""))</formula>
    </cfRule>
  </conditionalFormatting>
  <conditionalFormatting sqref="E11:G11 D19 G19">
    <cfRule type="expression" priority="237" aboveAverage="0" equalAverage="0" bottom="0" percent="0" rank="0" text="" dxfId="4522">
      <formula>AND($L11="X",OR($B11&lt;&gt;"",$C11&lt;&gt;"",$D11&lt;&gt;"",$E11&lt;&gt;""))</formula>
    </cfRule>
  </conditionalFormatting>
  <conditionalFormatting sqref="E14:G14">
    <cfRule type="expression" priority="238" aboveAverage="0" equalAverage="0" bottom="0" percent="0" rank="0" text="" dxfId="4523">
      <formula>AND($L14="X",OR($B14&lt;&gt;"",$C14&lt;&gt;"",$D14&lt;&gt;""))</formula>
    </cfRule>
    <cfRule type="expression" priority="239" aboveAverage="0" equalAverage="0" bottom="0" percent="0" rank="0" text="" dxfId="4524">
      <formula>AND($L14="X",OR($B14&lt;&gt;"",#ref!&lt;&gt;"",$C14&lt;&gt;""))</formula>
    </cfRule>
  </conditionalFormatting>
  <conditionalFormatting sqref="F7 F12:F29">
    <cfRule type="expression" priority="240" aboveAverage="0" equalAverage="0" bottom="0" percent="0" rank="0" text="" dxfId="4525">
      <formula>AND($L7="X",OR($B7&lt;&gt;"",$C7&lt;&gt;"",$D7&lt;&gt;"",$E7&lt;&gt;""))</formula>
    </cfRule>
  </conditionalFormatting>
  <conditionalFormatting sqref="F9:F10">
    <cfRule type="expression" priority="241" aboveAverage="0" equalAverage="0" bottom="0" percent="0" rank="0" text="" dxfId="4526">
      <formula>AND($L9="X",OR($B9&lt;&gt;"",#ref!&lt;&gt;"",$D9&lt;&gt;"",#ref!&lt;&gt;""))</formula>
    </cfRule>
  </conditionalFormatting>
  <conditionalFormatting sqref="F11 F14 E19">
    <cfRule type="expression" priority="242" aboveAverage="0" equalAverage="0" bottom="0" percent="0" rank="0" text="" dxfId="4527">
      <formula>AND($L11="X",OR($B11&lt;&gt;"",$C11&lt;&gt;""))</formula>
    </cfRule>
  </conditionalFormatting>
  <conditionalFormatting sqref="F19">
    <cfRule type="expression" priority="243" aboveAverage="0" equalAverage="0" bottom="0" percent="0" rank="0" text="" dxfId="4528">
      <formula>AND($L19="X",OR($B19&lt;&gt;"",$C19&lt;&gt;"",$D19&lt;&gt;"",$E19&lt;&gt;"",$F19&lt;&gt;""))</formula>
    </cfRule>
  </conditionalFormatting>
  <conditionalFormatting sqref="F11:G11 F14:G14 E19:F19">
    <cfRule type="expression" priority="244" aboveAverage="0" equalAverage="0" bottom="0" percent="0" rank="0" text="" dxfId="4529">
      <formula>AND($L11="X",OR($B11&lt;&gt;"",#ref!&lt;&gt;"",$C11&lt;&gt;"",$D11&lt;&gt;""))</formula>
    </cfRule>
  </conditionalFormatting>
  <conditionalFormatting sqref="G9:G10">
    <cfRule type="expression" priority="245" aboveAverage="0" equalAverage="0" bottom="0" percent="0" rank="0" text="" dxfId="4530">
      <formula>AND($L9="X",OR($B9&lt;&gt;"",#ref!&lt;&gt;"",$D9&lt;&gt;"",#ref!&lt;&gt;"",$F9&lt;&gt;""))</formula>
    </cfRule>
  </conditionalFormatting>
  <conditionalFormatting sqref="G11 F19:G19">
    <cfRule type="expression" priority="246" aboveAverage="0" equalAverage="0" bottom="0" percent="0" rank="0" text="" dxfId="4531">
      <formula>AND($L11="X",OR($B11&lt;&gt;"",$C11&lt;&gt;"",$D11&lt;&gt;""))</formula>
    </cfRule>
  </conditionalFormatting>
  <conditionalFormatting sqref="G11 G14 F19">
    <cfRule type="expression" priority="247" aboveAverage="0" equalAverage="0" bottom="0" percent="0" rank="0" text="" dxfId="4532">
      <formula>AND($L11="X",OR($B11&lt;&gt;"",#ref!&lt;&gt;"",$C11&lt;&gt;"",$D11&lt;&gt;"",$F11&lt;&gt;""))</formula>
    </cfRule>
  </conditionalFormatting>
  <conditionalFormatting sqref="G11:G29 G7">
    <cfRule type="expression" priority="248" aboveAverage="0" equalAverage="0" bottom="0" percent="0" rank="0" text="" dxfId="4533">
      <formula>AND($L7="X",OR($B7&lt;&gt;"",$C7&lt;&gt;"",$D7&lt;&gt;"",$E7&lt;&gt;"",$F7&lt;&gt;""))</formula>
    </cfRule>
  </conditionalFormatting>
  <conditionalFormatting sqref="G14">
    <cfRule type="expression" priority="249" aboveAverage="0" equalAverage="0" bottom="0" percent="0" rank="0" text="" dxfId="4534">
      <formula>AND($L14="X",OR($B14&lt;&gt;"",$C14&lt;&gt;"",$D14&lt;&gt;"",$E14&lt;&gt;""))</formula>
    </cfRule>
  </conditionalFormatting>
  <conditionalFormatting sqref="G19">
    <cfRule type="expression" priority="250" aboveAverage="0" equalAverage="0" bottom="0" percent="0" rank="0" text="" dxfId="4535">
      <formula>AND($L19="X",OR($B19&lt;&gt;"",$C19&lt;&gt;"",$D19&lt;&gt;"",$E19&lt;&gt;""))</formula>
    </cfRule>
  </conditionalFormatting>
  <conditionalFormatting sqref="I6:I25 H12 I27:I29">
    <cfRule type="expression" priority="251" aboveAverage="0" equalAverage="0" bottom="0" percent="0" rank="0" text="" dxfId="4536">
      <formula>$L6="X"</formula>
    </cfRule>
  </conditionalFormatting>
  <conditionalFormatting sqref="K6:K29">
    <cfRule type="cellIs" priority="252" operator="equal" aboveAverage="0" equalAverage="0" bottom="0" percent="0" rank="0" text="" dxfId="4537">
      <formula>"1..1"</formula>
    </cfRule>
    <cfRule type="cellIs" priority="253" operator="equal" aboveAverage="0" equalAverage="0" bottom="0" percent="0" rank="0" text="" dxfId="4538">
      <formula>"0..n"</formula>
    </cfRule>
    <cfRule type="cellIs" priority="254" operator="equal" aboveAverage="0" equalAverage="0" bottom="0" percent="0" rank="0" text="" dxfId="4539">
      <formula>"0..1"</formula>
    </cfRule>
  </conditionalFormatting>
  <conditionalFormatting sqref="R6">
    <cfRule type="cellIs" priority="255" operator="equal" aboveAverage="0" equalAverage="0" bottom="0" percent="0" rank="0" text="" dxfId="4540">
      <formula>"1..1"</formula>
    </cfRule>
    <cfRule type="cellIs" priority="256" operator="equal" aboveAverage="0" equalAverage="0" bottom="0" percent="0" rank="0" text="" dxfId="4541">
      <formula>"0..n"</formula>
    </cfRule>
    <cfRule type="cellIs" priority="257" operator="equal" aboveAverage="0" equalAverage="0" bottom="0" percent="0" rank="0" text="" dxfId="454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4.25" zeroHeight="false" outlineLevelRow="0" outlineLevelCol="0"/>
  <cols>
    <col collapsed="false" customWidth="true" hidden="false" outlineLevel="0" max="1" min="1" style="61" width="3.5"/>
    <col collapsed="false" customWidth="true" hidden="false" outlineLevel="0" max="2" min="2" style="61" width="24"/>
    <col collapsed="false" customWidth="false" hidden="false" outlineLevel="0" max="5" min="3" style="61" width="9"/>
    <col collapsed="false" customWidth="true" hidden="false" outlineLevel="0" max="6" min="6" style="61" width="22"/>
    <col collapsed="false" customWidth="false" hidden="false" outlineLevel="0" max="1024" min="7" style="61" width="9"/>
  </cols>
  <sheetData>
    <row r="1" s="398" customFormat="true" ht="14.25" hidden="false" customHeight="false" outlineLevel="0" collapsed="false">
      <c r="B1" s="399" t="s">
        <v>3189</v>
      </c>
    </row>
    <row r="2" s="400" customFormat="true" ht="14.25" hidden="false" customHeight="false" outlineLevel="0" collapsed="false"/>
    <row r="3" s="401" customFormat="true" ht="14.25" hidden="false" customHeight="false" outlineLevel="0" collapsed="false">
      <c r="B3" s="399" t="s">
        <v>3190</v>
      </c>
      <c r="C3" s="402"/>
      <c r="D3" s="402"/>
      <c r="E3" s="402"/>
      <c r="F3" s="402"/>
    </row>
    <row r="4" customFormat="false" ht="18" hidden="false" customHeight="true" outlineLevel="0" collapsed="false">
      <c r="B4" s="61" t="s">
        <v>3191</v>
      </c>
    </row>
    <row r="5" customFormat="false" ht="18" hidden="false" customHeight="true" outlineLevel="0" collapsed="false">
      <c r="B5" s="61" t="s">
        <v>3192</v>
      </c>
    </row>
    <row r="6" customFormat="false" ht="18" hidden="false" customHeight="true" outlineLevel="0" collapsed="false">
      <c r="B6" s="61" t="s">
        <v>3193</v>
      </c>
    </row>
    <row r="7" customFormat="false" ht="18" hidden="false" customHeight="true" outlineLevel="0" collapsed="false">
      <c r="B7" s="61" t="s">
        <v>3194</v>
      </c>
    </row>
    <row r="8" customFormat="false" ht="18" hidden="false" customHeight="true" outlineLevel="0" collapsed="false">
      <c r="B8" s="61" t="s">
        <v>3195</v>
      </c>
    </row>
    <row r="9" customFormat="false" ht="24" hidden="false" customHeight="true" outlineLevel="0" collapsed="false">
      <c r="B9" s="403" t="s">
        <v>3196</v>
      </c>
      <c r="C9" s="403"/>
      <c r="D9" s="403"/>
      <c r="E9" s="403"/>
      <c r="F9" s="403"/>
    </row>
    <row r="10" customFormat="false" ht="14.25" hidden="false" customHeight="true" outlineLevel="0" collapsed="false">
      <c r="B10" s="404" t="s">
        <v>3197</v>
      </c>
      <c r="C10" s="404"/>
      <c r="D10" s="404"/>
      <c r="E10" s="404"/>
      <c r="F10" s="404"/>
    </row>
  </sheetData>
  <mergeCells count="2">
    <mergeCell ref="B9:F9"/>
    <mergeCell ref="B10:F10"/>
  </mergeCells>
  <printOptions headings="false" gridLines="false" gridLinesSet="true" horizontalCentered="false" verticalCentered="false"/>
  <pageMargins left="0" right="0" top="0.138888888888889" bottom="0.277777777777778" header="0" footer="0"/>
  <pageSetup paperSize="77" scale="100" fitToWidth="1" fitToHeight="1" pageOrder="overThenDown" orientation="landscape" blackAndWhite="false" draft="false" cellComments="none" horizontalDpi="300" verticalDpi="300" copies="1"/>
  <headerFooter differentFirst="false" differentOddEven="false">
    <oddHeader>&amp;C&amp;"Calibri,Regular"&amp;10&amp;Kffffff&amp;F, Page &amp;P</oddHeader>
    <oddFooter>&amp;C&amp;"Calibri,Regular"&amp;K000000Page &amp;P of &amp;N
&amp;1#&amp;9Confidential</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DataMashup xmlns="http://schemas.microsoft.com/DataMashup">AAAAABUDAABQSwMEFAACAAgA+IqTWB7Ty0GlAAAA9gAAABIAHABDb25maWcvUGFja2FnZS54bWwgohgAKKAUAAAAAAAAAAAAAAAAAAAAAAAAAAAAhY8xDoIwGIWvQrrTljpgyE8ZTJwkMZoY1wYKNEIxbbHczcEjeQUxiro5vu99w3v36w2ysWuDizRW9TpFEaYokLroS6XrFA2uCpco47AVxUnUMphkbZPRlilqnDsnhHjvsV/g3tSEURqRY77ZF43sBPrI6r8cKm2d0IVEHA6vMZzhiMWYxTGmQGYIudJfgU17n+0PhNXQusFIXplwvQMyRyDvD/wBUEsDBBQAAgAIAPiKk1gPyumrpAAAAOkAAAATABwAW0NvbnRlbnRfVHlwZXNdLnhtbCCiGAAooBQAAAAAAAAAAAAAAAAAAAAAAAAAAABtjksOwjAMRK8SeZ+6sEAINWUB3IALRMH9iOajxkXhbCw4ElcgbXeIpWfmeebzelfHZAfxoDH23inYFCUIcsbfetcqmLiRezjW1fUZKIocdVFBxxwOiNF0ZHUsfCCXncaPVnM+xxaDNnfdEm7LcofGOybHkucfUFdnavQ0sLikLK+1GQdxWnNzlQKmxLjI+JewP3kdwtAbzdnEJG2UdiFxGV5/AVBLAwQUAAIACAD4ipNYKIpHuA4AAAARAAAAEwAcAEZvcm11bGFzL1NlY3Rpb24xLm0gohgAKKAUAAAAAAAAAAAAAAAAAAAAAAAAAAAAK05NLsnMz1MIhtCG1gBQSwECLQAUAAIACAD4ipNYHtPLQaUAAAD2AAAAEgAAAAAAAAAAAAAAAAAAAAAAQ29uZmlnL1BhY2thZ2UueG1sUEsBAi0AFAACAAgA+IqTWA/K6aukAAAA6QAAABMAAAAAAAAAAAAAAAAA8QAAAFtDb250ZW50X1R5cGVzXS54bWxQSwECLQAUAAIACAD4ipNYKIpHuA4AAAARAAAAEwAAAAAAAAAAAAAAAADiAQAARm9ybXVsYXMvU2VjdGlvbjEubVBLBQYAAAAAAwADAMIAAAA9AgAAAAAQAQAA77u/PD94bWwgdmVyc2lvbj0iMS4wIiBlbmNvZGluZz0idXRmLTgi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XAQAAAAAAAHUBAADvu788P3htbCB2ZXJzaW9uPSIxLjAiIGVuY29kaW5nPSJ1dGYtOCI/PjxMb2NhbFBhY2thZ2VNZXRhZGF0YUZpbGUgeG1sbnM6eHNkPSJodHRwOi8vd3d3LnczLm9yZy8yMDAxL1hNTFNjaGVtYSIgeG1sbnM6eHNpPSJodHRwOi8vd3d3LnczLm9yZy8yMDAxL1hNTFNjaGVtYS1pbnN0YW5jZSI+PEl0ZW1zPjxJdGVtPjxJdGVtTG9jYXRpb24+PEl0ZW1UeXBlPkFsbEZvcm11bGFzPC9JdGVtVHlwZT48SXRlbVBhdGggLz48L0l0ZW1Mb2NhdGlvbj48U3RhYmxlRW50cmllcz48RW50cnkgVHlwZT0iUmVsYXRpb25zaGlwcyIgVmFsdWU9InNBQUFBQUE9PSIgLz48L1N0YWJsZUVudHJpZXM+PC9JdGVtPjwvSXRlbXM+PC9Mb2NhbFBhY2thZ2VNZXRhZGF0YUZpbGU+FgAAAFBLBQYAAAAAAAAAAAAAAAAAAAAAAADaAAAAAQAAANCMnd8BFdERjHoAwE/Cl+sBAAAApXhaksOt9E6PNNVJPJprlgAAAAACAAAAAAADZgAAwAAAABAAAAAlwNVd8ni+u22TikXwomx1AAAAAASAAACgAAAAEAAAACv4LeLdYUG17SvUo3zODXVQAAAAnkc8Yav25v1EYQTkCNTv17FNh+Vo3z57amEItPaUhtbyqhGTByLhwPL/KMNO935Hygef/K55miv8WTf77geihEtwQmlTfFMiS6cnaaBHzw8UAAAAdUMuHw/2lt3myE/PRk2JplVOV/4=</DataMashup>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49E74849-571D-498F-9EA9-059AAC23B9B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6</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2021-02-10T14:57:43Z</dcterms:created>
  <dc:creator>Romain FOUILLAND</dc:creator>
  <dc:description/>
  <dc:language>en-US</dc:language>
  <cp:lastModifiedBy/>
  <dcterms:modified xsi:type="dcterms:W3CDTF">2025-11-11T10:50:39Z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_x005F_x00e9_gorie_x0020_Documentaire">
    <vt:lpwstr/>
  </property>
  <property fmtid="{D5CDD505-2E9C-101B-9397-08002B2CF9AE}" pid="3" name="Catégorie Documentaire">
    <vt:lpwstr/>
  </property>
  <property fmtid="{D5CDD505-2E9C-101B-9397-08002B2CF9AE}" pid="4" name="Classification">
    <vt:lpwstr/>
  </property>
  <property fmtid="{D5CDD505-2E9C-101B-9397-08002B2CF9AE}" pid="5" name="ContentTypeId">
    <vt:lpwstr>0x010100333226B5D6902549BFE4A72F45A4400B0100E98F8C089710A74CA077FC6D601326A8</vt:lpwstr>
  </property>
  <property fmtid="{D5CDD505-2E9C-101B-9397-08002B2CF9AE}" pid="6" name="Direction / Service">
    <vt:lpwstr/>
  </property>
  <property fmtid="{D5CDD505-2E9C-101B-9397-08002B2CF9AE}" pid="7" name="Direction_x0020__x005F_x002F__x0020_Service">
    <vt:lpwstr/>
  </property>
  <property fmtid="{D5CDD505-2E9C-101B-9397-08002B2CF9AE}" pid="8" name="MSIP_Label_cfda7223-0b27-438a-9933-c804b7524467_ActionId">
    <vt:lpwstr>77270d4f-f197-43eb-949e-91e7dfe0f444</vt:lpwstr>
  </property>
  <property fmtid="{D5CDD505-2E9C-101B-9397-08002B2CF9AE}" pid="9" name="MSIP_Label_cfda7223-0b27-438a-9933-c804b7524467_Application">
    <vt:lpwstr>Microsoft Azure Information Protection</vt:lpwstr>
  </property>
  <property fmtid="{D5CDD505-2E9C-101B-9397-08002B2CF9AE}" pid="10" name="MSIP_Label_cfda7223-0b27-438a-9933-c804b7524467_Enabled">
    <vt:lpwstr>True</vt:lpwstr>
  </property>
  <property fmtid="{D5CDD505-2E9C-101B-9397-08002B2CF9AE}" pid="11" name="MSIP_Label_cfda7223-0b27-438a-9933-c804b7524467_Extended_MSFT_Method">
    <vt:lpwstr>Manual</vt:lpwstr>
  </property>
  <property fmtid="{D5CDD505-2E9C-101B-9397-08002B2CF9AE}" pid="12" name="MSIP_Label_cfda7223-0b27-438a-9933-c804b7524467_Name">
    <vt:lpwstr>Confidential</vt:lpwstr>
  </property>
  <property fmtid="{D5CDD505-2E9C-101B-9397-08002B2CF9AE}" pid="13" name="MSIP_Label_cfda7223-0b27-438a-9933-c804b7524467_Owner">
    <vt:lpwstr>sarah.renard@wavestone.com</vt:lpwstr>
  </property>
  <property fmtid="{D5CDD505-2E9C-101B-9397-08002B2CF9AE}" pid="14" name="MSIP_Label_cfda7223-0b27-438a-9933-c804b7524467_SetDate">
    <vt:lpwstr>2020-12-21T09:38:32.5213542Z</vt:lpwstr>
  </property>
  <property fmtid="{D5CDD505-2E9C-101B-9397-08002B2CF9AE}" pid="15" name="MSIP_Label_cfda7223-0b27-438a-9933-c804b7524467_SiteId">
    <vt:lpwstr>5de96c96-c87c-4dce-aad9-f5c557b52ac1</vt:lpwstr>
  </property>
  <property fmtid="{D5CDD505-2E9C-101B-9397-08002B2CF9AE}" pid="16" name="March_x005F_x00e9_">
    <vt:lpwstr/>
  </property>
  <property fmtid="{D5CDD505-2E9C-101B-9397-08002B2CF9AE}" pid="17" name="Marché">
    <vt:lpwstr/>
  </property>
  <property fmtid="{D5CDD505-2E9C-101B-9397-08002B2CF9AE}" pid="18" name="MediaServiceImageTags">
    <vt:lpwstr/>
  </property>
  <property fmtid="{D5CDD505-2E9C-101B-9397-08002B2CF9AE}" pid="19" name="Prestataire(s)">
    <vt:lpwstr/>
  </property>
  <property fmtid="{D5CDD505-2E9C-101B-9397-08002B2CF9AE}" pid="20" name="Prestataire_x005F_x0028_s_x005F_x0029_">
    <vt:lpwstr/>
  </property>
  <property fmtid="{D5CDD505-2E9C-101B-9397-08002B2CF9AE}" pid="21" name="Projet">
    <vt:lpwstr/>
  </property>
  <property fmtid="{D5CDD505-2E9C-101B-9397-08002B2CF9AE}" pid="22" name="Sensitivity">
    <vt:lpwstr>Confidential</vt:lpwstr>
  </property>
  <property fmtid="{D5CDD505-2E9C-101B-9397-08002B2CF9AE}" pid="23" name="Sort Final (Archivage)1">
    <vt:lpwstr/>
  </property>
  <property fmtid="{D5CDD505-2E9C-101B-9397-08002B2CF9AE}" pid="24" name="Sort_x0020_Final_x0020__x005F_x0028_Archivage_x005F_x0029_1">
    <vt:lpwstr/>
  </property>
  <property fmtid="{D5CDD505-2E9C-101B-9397-08002B2CF9AE}" pid="25" name="Statut du document">
    <vt:lpwstr/>
  </property>
  <property fmtid="{D5CDD505-2E9C-101B-9397-08002B2CF9AE}" pid="26" name="Statut_x0020_du_x0020_document">
    <vt:lpwstr/>
  </property>
  <property fmtid="{D5CDD505-2E9C-101B-9397-08002B2CF9AE}" pid="27" name="Type de document ANS">
    <vt:lpwstr/>
  </property>
  <property fmtid="{D5CDD505-2E9C-101B-9397-08002B2CF9AE}" pid="28" name="Type_x0020_de_x0020_document_x0020_ANS">
    <vt:lpwstr/>
  </property>
  <property fmtid="{D5CDD505-2E9C-101B-9397-08002B2CF9AE}" pid="29" name="Version Applicative0">
    <vt:lpwstr/>
  </property>
  <property fmtid="{D5CDD505-2E9C-101B-9397-08002B2CF9AE}" pid="30" name="Version_x0020_Applicative0">
    <vt:lpwstr/>
  </property>
</Properties>
</file>